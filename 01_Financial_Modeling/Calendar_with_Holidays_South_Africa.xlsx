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c04201e4fb2a04af/Desktop/Local Work Portfolio/Payroll Budget ^0 Forecasting/"/>
    </mc:Choice>
  </mc:AlternateContent>
  <xr:revisionPtr revIDLastSave="152" documentId="8_{B7AE4282-97EB-40CF-97C8-9133B42173C6}" xr6:coauthVersionLast="47" xr6:coauthVersionMax="47" xr10:uidLastSave="{9532626A-D51A-4B59-893F-27296BE59FB8}"/>
  <workbookProtection lockStructure="1"/>
  <bookViews>
    <workbookView xWindow="28710" yWindow="0" windowWidth="9780" windowHeight="20970" tabRatio="673" activeTab="5" xr2:uid="{00000000-000D-0000-FFFF-FFFF00000000}"/>
  </bookViews>
  <sheets>
    <sheet name="DocInfo" sheetId="10" r:id="rId1"/>
    <sheet name="Public_Holidays" sheetId="9" r:id="rId2"/>
    <sheet name="Events_All" sheetId="13" r:id="rId3"/>
    <sheet name="School_Holidays" sheetId="14" r:id="rId4"/>
    <sheet name="2020" sheetId="17" r:id="rId5"/>
    <sheet name="2019" sheetId="16" r:id="rId6"/>
    <sheet name="2018" sheetId="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7" l="1"/>
  <c r="A2" i="16"/>
  <c r="I2" i="16"/>
  <c r="G2" i="16"/>
  <c r="E2" i="16"/>
  <c r="F2" i="16" s="1"/>
  <c r="D2" i="16"/>
  <c r="C2" i="16"/>
  <c r="B2" i="16"/>
  <c r="K366" i="1" a="1"/>
  <c r="K366" i="1" s="1"/>
  <c r="J366" i="1"/>
  <c r="I366" i="1"/>
  <c r="H366" i="1"/>
  <c r="G366" i="1"/>
  <c r="F366" i="1"/>
  <c r="K365" i="1" a="1"/>
  <c r="K365" i="1" s="1"/>
  <c r="J365" i="1"/>
  <c r="I365" i="1"/>
  <c r="H365" i="1"/>
  <c r="G365" i="1"/>
  <c r="F365" i="1"/>
  <c r="K364" i="1" a="1"/>
  <c r="K364" i="1" s="1"/>
  <c r="J364" i="1"/>
  <c r="I364" i="1"/>
  <c r="H364" i="1"/>
  <c r="G364" i="1"/>
  <c r="F364" i="1"/>
  <c r="K363" i="1" a="1"/>
  <c r="K363" i="1" s="1"/>
  <c r="J363" i="1"/>
  <c r="I363" i="1"/>
  <c r="H363" i="1"/>
  <c r="G363" i="1"/>
  <c r="F363" i="1"/>
  <c r="K362" i="1" a="1"/>
  <c r="K362" i="1" s="1"/>
  <c r="J362" i="1"/>
  <c r="I362" i="1"/>
  <c r="H362" i="1"/>
  <c r="G362" i="1"/>
  <c r="F362" i="1"/>
  <c r="K361" i="1" a="1"/>
  <c r="K361" i="1" s="1"/>
  <c r="J361" i="1"/>
  <c r="I361" i="1"/>
  <c r="H361" i="1"/>
  <c r="G361" i="1"/>
  <c r="F361" i="1"/>
  <c r="K360" i="1" a="1"/>
  <c r="K360" i="1" s="1"/>
  <c r="J360" i="1"/>
  <c r="I360" i="1"/>
  <c r="H360" i="1"/>
  <c r="G360" i="1"/>
  <c r="F360" i="1"/>
  <c r="K359" i="1" a="1"/>
  <c r="K359" i="1" s="1"/>
  <c r="J359" i="1"/>
  <c r="I359" i="1"/>
  <c r="H359" i="1"/>
  <c r="G359" i="1"/>
  <c r="F359" i="1"/>
  <c r="K358" i="1" a="1"/>
  <c r="K358" i="1" s="1"/>
  <c r="J358" i="1"/>
  <c r="I358" i="1"/>
  <c r="H358" i="1"/>
  <c r="G358" i="1"/>
  <c r="F358" i="1"/>
  <c r="K357" i="1" a="1"/>
  <c r="K357" i="1" s="1"/>
  <c r="J357" i="1"/>
  <c r="I357" i="1"/>
  <c r="H357" i="1"/>
  <c r="G357" i="1"/>
  <c r="F357" i="1"/>
  <c r="K356" i="1" a="1"/>
  <c r="K356" i="1" s="1"/>
  <c r="J356" i="1"/>
  <c r="I356" i="1"/>
  <c r="H356" i="1"/>
  <c r="G356" i="1"/>
  <c r="F356" i="1"/>
  <c r="K355" i="1" a="1"/>
  <c r="K355" i="1" s="1"/>
  <c r="J355" i="1"/>
  <c r="I355" i="1"/>
  <c r="H355" i="1"/>
  <c r="G355" i="1"/>
  <c r="F355" i="1"/>
  <c r="K354" i="1" a="1"/>
  <c r="K354" i="1" s="1"/>
  <c r="J354" i="1"/>
  <c r="I354" i="1"/>
  <c r="H354" i="1"/>
  <c r="G354" i="1"/>
  <c r="F354" i="1"/>
  <c r="K353" i="1" a="1"/>
  <c r="K353" i="1" s="1"/>
  <c r="J353" i="1"/>
  <c r="I353" i="1"/>
  <c r="H353" i="1"/>
  <c r="G353" i="1"/>
  <c r="F353" i="1"/>
  <c r="K352" i="1" a="1"/>
  <c r="K352" i="1" s="1"/>
  <c r="J352" i="1"/>
  <c r="I352" i="1"/>
  <c r="H352" i="1"/>
  <c r="G352" i="1"/>
  <c r="F352" i="1"/>
  <c r="K351" i="1" a="1"/>
  <c r="K351" i="1" s="1"/>
  <c r="J351" i="1"/>
  <c r="I351" i="1"/>
  <c r="H351" i="1"/>
  <c r="G351" i="1"/>
  <c r="F351" i="1"/>
  <c r="K350" i="1" a="1"/>
  <c r="K350" i="1" s="1"/>
  <c r="J350" i="1"/>
  <c r="I350" i="1"/>
  <c r="H350" i="1"/>
  <c r="G350" i="1"/>
  <c r="F350" i="1"/>
  <c r="K349" i="1" a="1"/>
  <c r="K349" i="1" s="1"/>
  <c r="J349" i="1"/>
  <c r="I349" i="1"/>
  <c r="H349" i="1"/>
  <c r="G349" i="1"/>
  <c r="F349" i="1"/>
  <c r="K348" i="1" a="1"/>
  <c r="K348" i="1" s="1"/>
  <c r="J348" i="1"/>
  <c r="I348" i="1"/>
  <c r="H348" i="1"/>
  <c r="G348" i="1"/>
  <c r="F348" i="1"/>
  <c r="K347" i="1" a="1"/>
  <c r="K347" i="1" s="1"/>
  <c r="J347" i="1"/>
  <c r="I347" i="1"/>
  <c r="H347" i="1"/>
  <c r="G347" i="1"/>
  <c r="F347" i="1"/>
  <c r="K346" i="1" a="1"/>
  <c r="K346" i="1" s="1"/>
  <c r="J346" i="1"/>
  <c r="I346" i="1"/>
  <c r="H346" i="1"/>
  <c r="G346" i="1"/>
  <c r="F346" i="1"/>
  <c r="K345" i="1" a="1"/>
  <c r="K345" i="1" s="1"/>
  <c r="J345" i="1"/>
  <c r="I345" i="1"/>
  <c r="H345" i="1"/>
  <c r="G345" i="1"/>
  <c r="F345" i="1"/>
  <c r="K344" i="1" a="1"/>
  <c r="K344" i="1" s="1"/>
  <c r="J344" i="1"/>
  <c r="I344" i="1"/>
  <c r="H344" i="1"/>
  <c r="G344" i="1"/>
  <c r="F344" i="1"/>
  <c r="K343" i="1" a="1"/>
  <c r="K343" i="1" s="1"/>
  <c r="J343" i="1"/>
  <c r="I343" i="1"/>
  <c r="H343" i="1"/>
  <c r="G343" i="1"/>
  <c r="F343" i="1"/>
  <c r="K342" i="1" a="1"/>
  <c r="K342" i="1" s="1"/>
  <c r="J342" i="1"/>
  <c r="I342" i="1"/>
  <c r="H342" i="1"/>
  <c r="G342" i="1"/>
  <c r="F342" i="1"/>
  <c r="K341" i="1" a="1"/>
  <c r="K341" i="1" s="1"/>
  <c r="J341" i="1"/>
  <c r="I341" i="1"/>
  <c r="H341" i="1"/>
  <c r="G341" i="1"/>
  <c r="F341" i="1"/>
  <c r="K340" i="1" a="1"/>
  <c r="K340" i="1" s="1"/>
  <c r="J340" i="1"/>
  <c r="I340" i="1"/>
  <c r="H340" i="1"/>
  <c r="G340" i="1"/>
  <c r="F340" i="1"/>
  <c r="K339" i="1" a="1"/>
  <c r="K339" i="1" s="1"/>
  <c r="J339" i="1"/>
  <c r="I339" i="1"/>
  <c r="H339" i="1"/>
  <c r="G339" i="1"/>
  <c r="F339" i="1"/>
  <c r="K338" i="1" a="1"/>
  <c r="K338" i="1" s="1"/>
  <c r="J338" i="1"/>
  <c r="I338" i="1"/>
  <c r="H338" i="1"/>
  <c r="G338" i="1"/>
  <c r="F338" i="1"/>
  <c r="K337" i="1" a="1"/>
  <c r="K337" i="1" s="1"/>
  <c r="J337" i="1"/>
  <c r="I337" i="1"/>
  <c r="H337" i="1"/>
  <c r="G337" i="1"/>
  <c r="F337" i="1"/>
  <c r="K336" i="1" a="1"/>
  <c r="K336" i="1" s="1"/>
  <c r="J336" i="1"/>
  <c r="I336" i="1"/>
  <c r="H336" i="1"/>
  <c r="G336" i="1"/>
  <c r="F336" i="1"/>
  <c r="K335" i="1" a="1"/>
  <c r="K335" i="1" s="1"/>
  <c r="J335" i="1"/>
  <c r="I335" i="1"/>
  <c r="H335" i="1"/>
  <c r="G335" i="1"/>
  <c r="F335" i="1"/>
  <c r="K334" i="1" a="1"/>
  <c r="K334" i="1" s="1"/>
  <c r="J334" i="1"/>
  <c r="I334" i="1"/>
  <c r="H334" i="1"/>
  <c r="G334" i="1"/>
  <c r="F334" i="1"/>
  <c r="K333" i="1" a="1"/>
  <c r="K333" i="1" s="1"/>
  <c r="J333" i="1"/>
  <c r="I333" i="1"/>
  <c r="H333" i="1"/>
  <c r="G333" i="1"/>
  <c r="F333" i="1"/>
  <c r="K332" i="1" a="1"/>
  <c r="K332" i="1" s="1"/>
  <c r="J332" i="1"/>
  <c r="I332" i="1"/>
  <c r="H332" i="1"/>
  <c r="G332" i="1"/>
  <c r="F332" i="1"/>
  <c r="K331" i="1" a="1"/>
  <c r="K331" i="1" s="1"/>
  <c r="J331" i="1"/>
  <c r="I331" i="1"/>
  <c r="H331" i="1"/>
  <c r="G331" i="1"/>
  <c r="F331" i="1"/>
  <c r="K330" i="1" a="1"/>
  <c r="K330" i="1" s="1"/>
  <c r="J330" i="1"/>
  <c r="I330" i="1"/>
  <c r="H330" i="1"/>
  <c r="G330" i="1"/>
  <c r="F330" i="1"/>
  <c r="K329" i="1" a="1"/>
  <c r="K329" i="1" s="1"/>
  <c r="J329" i="1"/>
  <c r="I329" i="1"/>
  <c r="H329" i="1"/>
  <c r="G329" i="1"/>
  <c r="F329" i="1"/>
  <c r="K328" i="1" a="1"/>
  <c r="K328" i="1" s="1"/>
  <c r="J328" i="1"/>
  <c r="I328" i="1"/>
  <c r="H328" i="1"/>
  <c r="G328" i="1"/>
  <c r="F328" i="1"/>
  <c r="K327" i="1" a="1"/>
  <c r="K327" i="1" s="1"/>
  <c r="J327" i="1"/>
  <c r="I327" i="1"/>
  <c r="H327" i="1"/>
  <c r="G327" i="1"/>
  <c r="F327" i="1"/>
  <c r="K326" i="1" a="1"/>
  <c r="K326" i="1" s="1"/>
  <c r="J326" i="1"/>
  <c r="I326" i="1"/>
  <c r="H326" i="1"/>
  <c r="G326" i="1"/>
  <c r="F326" i="1"/>
  <c r="K325" i="1" a="1"/>
  <c r="K325" i="1" s="1"/>
  <c r="J325" i="1"/>
  <c r="I325" i="1"/>
  <c r="H325" i="1"/>
  <c r="G325" i="1"/>
  <c r="F325" i="1"/>
  <c r="K324" i="1" a="1"/>
  <c r="K324" i="1" s="1"/>
  <c r="J324" i="1"/>
  <c r="I324" i="1"/>
  <c r="H324" i="1"/>
  <c r="G324" i="1"/>
  <c r="F324" i="1"/>
  <c r="K323" i="1" a="1"/>
  <c r="K323" i="1" s="1"/>
  <c r="J323" i="1"/>
  <c r="I323" i="1"/>
  <c r="H323" i="1"/>
  <c r="G323" i="1"/>
  <c r="F323" i="1"/>
  <c r="K322" i="1" a="1"/>
  <c r="K322" i="1" s="1"/>
  <c r="J322" i="1"/>
  <c r="I322" i="1"/>
  <c r="H322" i="1"/>
  <c r="G322" i="1"/>
  <c r="F322" i="1"/>
  <c r="K321" i="1" a="1"/>
  <c r="K321" i="1" s="1"/>
  <c r="J321" i="1"/>
  <c r="I321" i="1"/>
  <c r="H321" i="1"/>
  <c r="G321" i="1"/>
  <c r="F321" i="1"/>
  <c r="K320" i="1" a="1"/>
  <c r="K320" i="1" s="1"/>
  <c r="J320" i="1"/>
  <c r="I320" i="1"/>
  <c r="H320" i="1"/>
  <c r="G320" i="1"/>
  <c r="F320" i="1"/>
  <c r="K319" i="1" a="1"/>
  <c r="K319" i="1" s="1"/>
  <c r="J319" i="1"/>
  <c r="I319" i="1"/>
  <c r="H319" i="1"/>
  <c r="G319" i="1"/>
  <c r="F319" i="1"/>
  <c r="K318" i="1" a="1"/>
  <c r="K318" i="1" s="1"/>
  <c r="J318" i="1"/>
  <c r="I318" i="1"/>
  <c r="H318" i="1"/>
  <c r="G318" i="1"/>
  <c r="F318" i="1"/>
  <c r="K317" i="1" a="1"/>
  <c r="K317" i="1" s="1"/>
  <c r="J317" i="1"/>
  <c r="I317" i="1"/>
  <c r="H317" i="1"/>
  <c r="G317" i="1"/>
  <c r="F317" i="1"/>
  <c r="K316" i="1" a="1"/>
  <c r="K316" i="1" s="1"/>
  <c r="J316" i="1"/>
  <c r="I316" i="1"/>
  <c r="H316" i="1"/>
  <c r="G316" i="1"/>
  <c r="F316" i="1"/>
  <c r="K315" i="1" a="1"/>
  <c r="K315" i="1" s="1"/>
  <c r="J315" i="1"/>
  <c r="I315" i="1"/>
  <c r="H315" i="1"/>
  <c r="G315" i="1"/>
  <c r="F315" i="1"/>
  <c r="K314" i="1" a="1"/>
  <c r="K314" i="1" s="1"/>
  <c r="J314" i="1"/>
  <c r="I314" i="1"/>
  <c r="H314" i="1"/>
  <c r="G314" i="1"/>
  <c r="F314" i="1"/>
  <c r="K313" i="1" a="1"/>
  <c r="K313" i="1" s="1"/>
  <c r="J313" i="1"/>
  <c r="I313" i="1"/>
  <c r="H313" i="1"/>
  <c r="G313" i="1"/>
  <c r="F313" i="1"/>
  <c r="K312" i="1" a="1"/>
  <c r="K312" i="1" s="1"/>
  <c r="J312" i="1"/>
  <c r="I312" i="1"/>
  <c r="H312" i="1"/>
  <c r="G312" i="1"/>
  <c r="F312" i="1"/>
  <c r="K311" i="1" a="1"/>
  <c r="K311" i="1" s="1"/>
  <c r="J311" i="1"/>
  <c r="I311" i="1"/>
  <c r="H311" i="1"/>
  <c r="G311" i="1"/>
  <c r="F311" i="1"/>
  <c r="K310" i="1" a="1"/>
  <c r="K310" i="1" s="1"/>
  <c r="J310" i="1"/>
  <c r="I310" i="1"/>
  <c r="H310" i="1"/>
  <c r="G310" i="1"/>
  <c r="F310" i="1"/>
  <c r="K309" i="1" a="1"/>
  <c r="K309" i="1" s="1"/>
  <c r="J309" i="1"/>
  <c r="I309" i="1"/>
  <c r="H309" i="1"/>
  <c r="G309" i="1"/>
  <c r="F309" i="1"/>
  <c r="K308" i="1" a="1"/>
  <c r="K308" i="1" s="1"/>
  <c r="J308" i="1"/>
  <c r="I308" i="1"/>
  <c r="H308" i="1"/>
  <c r="G308" i="1"/>
  <c r="F308" i="1"/>
  <c r="K307" i="1" a="1"/>
  <c r="K307" i="1" s="1"/>
  <c r="J307" i="1"/>
  <c r="I307" i="1"/>
  <c r="H307" i="1"/>
  <c r="G307" i="1"/>
  <c r="F307" i="1"/>
  <c r="K306" i="1" a="1"/>
  <c r="K306" i="1" s="1"/>
  <c r="J306" i="1"/>
  <c r="I306" i="1"/>
  <c r="H306" i="1"/>
  <c r="G306" i="1"/>
  <c r="F306" i="1"/>
  <c r="K305" i="1" a="1"/>
  <c r="K305" i="1" s="1"/>
  <c r="J305" i="1"/>
  <c r="I305" i="1"/>
  <c r="H305" i="1"/>
  <c r="G305" i="1"/>
  <c r="F305" i="1"/>
  <c r="K304" i="1" a="1"/>
  <c r="K304" i="1" s="1"/>
  <c r="J304" i="1"/>
  <c r="I304" i="1"/>
  <c r="H304" i="1"/>
  <c r="G304" i="1"/>
  <c r="F304" i="1"/>
  <c r="K303" i="1" a="1"/>
  <c r="K303" i="1" s="1"/>
  <c r="J303" i="1"/>
  <c r="I303" i="1"/>
  <c r="H303" i="1"/>
  <c r="G303" i="1"/>
  <c r="F303" i="1"/>
  <c r="K302" i="1" a="1"/>
  <c r="K302" i="1" s="1"/>
  <c r="J302" i="1"/>
  <c r="I302" i="1"/>
  <c r="H302" i="1"/>
  <c r="G302" i="1"/>
  <c r="F302" i="1"/>
  <c r="K301" i="1" a="1"/>
  <c r="K301" i="1" s="1"/>
  <c r="J301" i="1"/>
  <c r="I301" i="1"/>
  <c r="H301" i="1"/>
  <c r="G301" i="1"/>
  <c r="F301" i="1"/>
  <c r="K300" i="1" a="1"/>
  <c r="K300" i="1" s="1"/>
  <c r="J300" i="1"/>
  <c r="I300" i="1"/>
  <c r="H300" i="1"/>
  <c r="G300" i="1"/>
  <c r="F300" i="1"/>
  <c r="K299" i="1" a="1"/>
  <c r="K299" i="1" s="1"/>
  <c r="J299" i="1"/>
  <c r="I299" i="1"/>
  <c r="H299" i="1"/>
  <c r="G299" i="1"/>
  <c r="F299" i="1"/>
  <c r="K298" i="1" a="1"/>
  <c r="K298" i="1" s="1"/>
  <c r="J298" i="1"/>
  <c r="I298" i="1"/>
  <c r="H298" i="1"/>
  <c r="G298" i="1"/>
  <c r="F298" i="1"/>
  <c r="K297" i="1" a="1"/>
  <c r="K297" i="1" s="1"/>
  <c r="J297" i="1"/>
  <c r="I297" i="1"/>
  <c r="H297" i="1"/>
  <c r="G297" i="1"/>
  <c r="F297" i="1"/>
  <c r="K296" i="1" a="1"/>
  <c r="K296" i="1" s="1"/>
  <c r="J296" i="1"/>
  <c r="I296" i="1"/>
  <c r="H296" i="1"/>
  <c r="G296" i="1"/>
  <c r="F296" i="1"/>
  <c r="K295" i="1" a="1"/>
  <c r="K295" i="1" s="1"/>
  <c r="J295" i="1"/>
  <c r="I295" i="1"/>
  <c r="H295" i="1"/>
  <c r="G295" i="1"/>
  <c r="F295" i="1"/>
  <c r="K294" i="1" a="1"/>
  <c r="K294" i="1" s="1"/>
  <c r="J294" i="1"/>
  <c r="I294" i="1"/>
  <c r="H294" i="1"/>
  <c r="G294" i="1"/>
  <c r="F294" i="1"/>
  <c r="K293" i="1" a="1"/>
  <c r="K293" i="1" s="1"/>
  <c r="J293" i="1"/>
  <c r="I293" i="1"/>
  <c r="H293" i="1"/>
  <c r="G293" i="1"/>
  <c r="F293" i="1"/>
  <c r="K292" i="1" a="1"/>
  <c r="K292" i="1" s="1"/>
  <c r="J292" i="1"/>
  <c r="I292" i="1"/>
  <c r="H292" i="1"/>
  <c r="G292" i="1"/>
  <c r="F292" i="1"/>
  <c r="K291" i="1" a="1"/>
  <c r="K291" i="1" s="1"/>
  <c r="J291" i="1"/>
  <c r="I291" i="1"/>
  <c r="H291" i="1"/>
  <c r="G291" i="1"/>
  <c r="F291" i="1"/>
  <c r="K290" i="1" a="1"/>
  <c r="K290" i="1" s="1"/>
  <c r="J290" i="1"/>
  <c r="I290" i="1"/>
  <c r="H290" i="1"/>
  <c r="G290" i="1"/>
  <c r="F290" i="1"/>
  <c r="K289" i="1" a="1"/>
  <c r="K289" i="1" s="1"/>
  <c r="J289" i="1"/>
  <c r="I289" i="1"/>
  <c r="H289" i="1"/>
  <c r="G289" i="1"/>
  <c r="F289" i="1"/>
  <c r="K288" i="1" a="1"/>
  <c r="K288" i="1" s="1"/>
  <c r="J288" i="1"/>
  <c r="I288" i="1"/>
  <c r="H288" i="1"/>
  <c r="G288" i="1"/>
  <c r="F288" i="1"/>
  <c r="K287" i="1" a="1"/>
  <c r="K287" i="1" s="1"/>
  <c r="J287" i="1"/>
  <c r="I287" i="1"/>
  <c r="H287" i="1"/>
  <c r="G287" i="1"/>
  <c r="F287" i="1"/>
  <c r="K286" i="1" a="1"/>
  <c r="K286" i="1" s="1"/>
  <c r="J286" i="1"/>
  <c r="I286" i="1"/>
  <c r="H286" i="1"/>
  <c r="G286" i="1"/>
  <c r="F286" i="1"/>
  <c r="K285" i="1" a="1"/>
  <c r="K285" i="1" s="1"/>
  <c r="J285" i="1"/>
  <c r="I285" i="1"/>
  <c r="H285" i="1"/>
  <c r="G285" i="1"/>
  <c r="F285" i="1"/>
  <c r="K284" i="1" a="1"/>
  <c r="K284" i="1" s="1"/>
  <c r="J284" i="1"/>
  <c r="I284" i="1"/>
  <c r="H284" i="1"/>
  <c r="G284" i="1"/>
  <c r="F284" i="1"/>
  <c r="K283" i="1" a="1"/>
  <c r="K283" i="1" s="1"/>
  <c r="J283" i="1"/>
  <c r="I283" i="1"/>
  <c r="H283" i="1"/>
  <c r="G283" i="1"/>
  <c r="F283" i="1"/>
  <c r="K282" i="1" a="1"/>
  <c r="K282" i="1" s="1"/>
  <c r="J282" i="1"/>
  <c r="I282" i="1"/>
  <c r="H282" i="1"/>
  <c r="G282" i="1"/>
  <c r="F282" i="1"/>
  <c r="K281" i="1" a="1"/>
  <c r="K281" i="1" s="1"/>
  <c r="J281" i="1"/>
  <c r="I281" i="1"/>
  <c r="H281" i="1"/>
  <c r="G281" i="1"/>
  <c r="F281" i="1"/>
  <c r="K280" i="1" a="1"/>
  <c r="K280" i="1" s="1"/>
  <c r="J280" i="1"/>
  <c r="I280" i="1"/>
  <c r="H280" i="1"/>
  <c r="G280" i="1"/>
  <c r="F280" i="1"/>
  <c r="K279" i="1" a="1"/>
  <c r="K279" i="1" s="1"/>
  <c r="J279" i="1"/>
  <c r="I279" i="1"/>
  <c r="H279" i="1"/>
  <c r="G279" i="1"/>
  <c r="F279" i="1"/>
  <c r="K278" i="1" a="1"/>
  <c r="K278" i="1" s="1"/>
  <c r="J278" i="1"/>
  <c r="I278" i="1"/>
  <c r="H278" i="1"/>
  <c r="G278" i="1"/>
  <c r="F278" i="1"/>
  <c r="K277" i="1" a="1"/>
  <c r="K277" i="1" s="1"/>
  <c r="J277" i="1"/>
  <c r="I277" i="1"/>
  <c r="H277" i="1"/>
  <c r="G277" i="1"/>
  <c r="F277" i="1"/>
  <c r="K276" i="1" a="1"/>
  <c r="K276" i="1" s="1"/>
  <c r="J276" i="1"/>
  <c r="I276" i="1"/>
  <c r="H276" i="1"/>
  <c r="G276" i="1"/>
  <c r="F276" i="1"/>
  <c r="K275" i="1" a="1"/>
  <c r="K275" i="1" s="1"/>
  <c r="J275" i="1"/>
  <c r="I275" i="1"/>
  <c r="H275" i="1"/>
  <c r="G275" i="1"/>
  <c r="F275" i="1"/>
  <c r="K274" i="1" a="1"/>
  <c r="K274" i="1" s="1"/>
  <c r="J274" i="1"/>
  <c r="I274" i="1"/>
  <c r="H274" i="1"/>
  <c r="G274" i="1"/>
  <c r="F274" i="1"/>
  <c r="K273" i="1" a="1"/>
  <c r="K273" i="1" s="1"/>
  <c r="J273" i="1"/>
  <c r="I273" i="1"/>
  <c r="H273" i="1"/>
  <c r="G273" i="1"/>
  <c r="F273" i="1"/>
  <c r="K272" i="1" a="1"/>
  <c r="K272" i="1" s="1"/>
  <c r="J272" i="1"/>
  <c r="I272" i="1"/>
  <c r="H272" i="1"/>
  <c r="G272" i="1"/>
  <c r="F272" i="1"/>
  <c r="K271" i="1" a="1"/>
  <c r="K271" i="1" s="1"/>
  <c r="J271" i="1"/>
  <c r="I271" i="1"/>
  <c r="H271" i="1"/>
  <c r="G271" i="1"/>
  <c r="F271" i="1"/>
  <c r="K270" i="1" a="1"/>
  <c r="K270" i="1" s="1"/>
  <c r="J270" i="1"/>
  <c r="I270" i="1"/>
  <c r="H270" i="1"/>
  <c r="G270" i="1"/>
  <c r="F270" i="1"/>
  <c r="K269" i="1" a="1"/>
  <c r="K269" i="1" s="1"/>
  <c r="J269" i="1"/>
  <c r="I269" i="1"/>
  <c r="H269" i="1"/>
  <c r="G269" i="1"/>
  <c r="F269" i="1"/>
  <c r="K268" i="1" a="1"/>
  <c r="K268" i="1" s="1"/>
  <c r="J268" i="1"/>
  <c r="I268" i="1"/>
  <c r="H268" i="1"/>
  <c r="G268" i="1"/>
  <c r="F268" i="1"/>
  <c r="K267" i="1" a="1"/>
  <c r="K267" i="1" s="1"/>
  <c r="J267" i="1"/>
  <c r="I267" i="1"/>
  <c r="H267" i="1"/>
  <c r="G267" i="1"/>
  <c r="F267" i="1"/>
  <c r="K266" i="1" a="1"/>
  <c r="K266" i="1" s="1"/>
  <c r="J266" i="1"/>
  <c r="I266" i="1"/>
  <c r="H266" i="1"/>
  <c r="G266" i="1"/>
  <c r="F266" i="1"/>
  <c r="K265" i="1" a="1"/>
  <c r="K265" i="1" s="1"/>
  <c r="J265" i="1"/>
  <c r="I265" i="1"/>
  <c r="H265" i="1"/>
  <c r="G265" i="1"/>
  <c r="F265" i="1"/>
  <c r="K264" i="1" a="1"/>
  <c r="K264" i="1" s="1"/>
  <c r="J264" i="1"/>
  <c r="I264" i="1"/>
  <c r="H264" i="1"/>
  <c r="G264" i="1"/>
  <c r="F264" i="1"/>
  <c r="K263" i="1" a="1"/>
  <c r="K263" i="1" s="1"/>
  <c r="J263" i="1"/>
  <c r="I263" i="1"/>
  <c r="H263" i="1"/>
  <c r="G263" i="1"/>
  <c r="F263" i="1"/>
  <c r="K262" i="1" a="1"/>
  <c r="K262" i="1" s="1"/>
  <c r="J262" i="1"/>
  <c r="I262" i="1"/>
  <c r="H262" i="1"/>
  <c r="G262" i="1"/>
  <c r="F262" i="1"/>
  <c r="K261" i="1" a="1"/>
  <c r="K261" i="1" s="1"/>
  <c r="J261" i="1"/>
  <c r="I261" i="1"/>
  <c r="H261" i="1"/>
  <c r="G261" i="1"/>
  <c r="F261" i="1"/>
  <c r="K260" i="1" a="1"/>
  <c r="K260" i="1" s="1"/>
  <c r="J260" i="1"/>
  <c r="I260" i="1"/>
  <c r="H260" i="1"/>
  <c r="G260" i="1"/>
  <c r="F260" i="1"/>
  <c r="K259" i="1" a="1"/>
  <c r="K259" i="1" s="1"/>
  <c r="J259" i="1"/>
  <c r="I259" i="1"/>
  <c r="H259" i="1"/>
  <c r="G259" i="1"/>
  <c r="F259" i="1"/>
  <c r="K258" i="1" a="1"/>
  <c r="K258" i="1" s="1"/>
  <c r="J258" i="1"/>
  <c r="I258" i="1"/>
  <c r="H258" i="1"/>
  <c r="G258" i="1"/>
  <c r="F258" i="1"/>
  <c r="K257" i="1" a="1"/>
  <c r="K257" i="1" s="1"/>
  <c r="J257" i="1"/>
  <c r="I257" i="1"/>
  <c r="H257" i="1"/>
  <c r="G257" i="1"/>
  <c r="F257" i="1"/>
  <c r="K256" i="1" a="1"/>
  <c r="K256" i="1" s="1"/>
  <c r="J256" i="1"/>
  <c r="I256" i="1"/>
  <c r="H256" i="1"/>
  <c r="G256" i="1"/>
  <c r="F256" i="1"/>
  <c r="K255" i="1" a="1"/>
  <c r="K255" i="1" s="1"/>
  <c r="J255" i="1"/>
  <c r="I255" i="1"/>
  <c r="H255" i="1"/>
  <c r="G255" i="1"/>
  <c r="F255" i="1"/>
  <c r="K254" i="1" a="1"/>
  <c r="K254" i="1" s="1"/>
  <c r="J254" i="1"/>
  <c r="I254" i="1"/>
  <c r="H254" i="1"/>
  <c r="G254" i="1"/>
  <c r="F254" i="1"/>
  <c r="K253" i="1" a="1"/>
  <c r="K253" i="1" s="1"/>
  <c r="J253" i="1"/>
  <c r="I253" i="1"/>
  <c r="H253" i="1"/>
  <c r="G253" i="1"/>
  <c r="F253" i="1"/>
  <c r="K252" i="1" a="1"/>
  <c r="K252" i="1" s="1"/>
  <c r="J252" i="1"/>
  <c r="I252" i="1"/>
  <c r="H252" i="1"/>
  <c r="G252" i="1"/>
  <c r="F252" i="1"/>
  <c r="K251" i="1" a="1"/>
  <c r="K251" i="1" s="1"/>
  <c r="J251" i="1"/>
  <c r="I251" i="1"/>
  <c r="H251" i="1"/>
  <c r="G251" i="1"/>
  <c r="F251" i="1"/>
  <c r="K250" i="1" a="1"/>
  <c r="K250" i="1" s="1"/>
  <c r="J250" i="1"/>
  <c r="I250" i="1"/>
  <c r="H250" i="1"/>
  <c r="G250" i="1"/>
  <c r="F250" i="1"/>
  <c r="K249" i="1" a="1"/>
  <c r="K249" i="1" s="1"/>
  <c r="J249" i="1"/>
  <c r="I249" i="1"/>
  <c r="H249" i="1"/>
  <c r="G249" i="1"/>
  <c r="F249" i="1"/>
  <c r="K248" i="1" a="1"/>
  <c r="K248" i="1" s="1"/>
  <c r="J248" i="1"/>
  <c r="I248" i="1"/>
  <c r="H248" i="1"/>
  <c r="G248" i="1"/>
  <c r="F248" i="1"/>
  <c r="K247" i="1" a="1"/>
  <c r="K247" i="1" s="1"/>
  <c r="J247" i="1"/>
  <c r="I247" i="1"/>
  <c r="H247" i="1"/>
  <c r="G247" i="1"/>
  <c r="F247" i="1"/>
  <c r="K246" i="1" a="1"/>
  <c r="K246" i="1" s="1"/>
  <c r="J246" i="1"/>
  <c r="I246" i="1"/>
  <c r="H246" i="1"/>
  <c r="G246" i="1"/>
  <c r="F246" i="1"/>
  <c r="K245" i="1" a="1"/>
  <c r="K245" i="1" s="1"/>
  <c r="J245" i="1"/>
  <c r="I245" i="1"/>
  <c r="H245" i="1"/>
  <c r="G245" i="1"/>
  <c r="F245" i="1"/>
  <c r="K244" i="1" a="1"/>
  <c r="K244" i="1" s="1"/>
  <c r="J244" i="1"/>
  <c r="I244" i="1"/>
  <c r="H244" i="1"/>
  <c r="G244" i="1"/>
  <c r="F244" i="1"/>
  <c r="K243" i="1" a="1"/>
  <c r="K243" i="1" s="1"/>
  <c r="J243" i="1"/>
  <c r="I243" i="1"/>
  <c r="H243" i="1"/>
  <c r="G243" i="1"/>
  <c r="F243" i="1"/>
  <c r="K242" i="1" a="1"/>
  <c r="K242" i="1" s="1"/>
  <c r="J242" i="1"/>
  <c r="I242" i="1"/>
  <c r="H242" i="1"/>
  <c r="G242" i="1"/>
  <c r="F242" i="1"/>
  <c r="K241" i="1" a="1"/>
  <c r="K241" i="1" s="1"/>
  <c r="J241" i="1"/>
  <c r="I241" i="1"/>
  <c r="H241" i="1"/>
  <c r="G241" i="1"/>
  <c r="F241" i="1"/>
  <c r="K240" i="1" a="1"/>
  <c r="K240" i="1" s="1"/>
  <c r="J240" i="1"/>
  <c r="I240" i="1"/>
  <c r="H240" i="1"/>
  <c r="G240" i="1"/>
  <c r="F240" i="1"/>
  <c r="K239" i="1" a="1"/>
  <c r="K239" i="1" s="1"/>
  <c r="J239" i="1"/>
  <c r="I239" i="1"/>
  <c r="H239" i="1"/>
  <c r="G239" i="1"/>
  <c r="F239" i="1"/>
  <c r="K238" i="1" a="1"/>
  <c r="K238" i="1" s="1"/>
  <c r="J238" i="1"/>
  <c r="I238" i="1"/>
  <c r="H238" i="1"/>
  <c r="G238" i="1"/>
  <c r="F238" i="1"/>
  <c r="K237" i="1" a="1"/>
  <c r="K237" i="1" s="1"/>
  <c r="J237" i="1"/>
  <c r="I237" i="1"/>
  <c r="H237" i="1"/>
  <c r="G237" i="1"/>
  <c r="F237" i="1"/>
  <c r="K236" i="1" a="1"/>
  <c r="K236" i="1" s="1"/>
  <c r="J236" i="1"/>
  <c r="I236" i="1"/>
  <c r="H236" i="1"/>
  <c r="G236" i="1"/>
  <c r="F236" i="1"/>
  <c r="K235" i="1" a="1"/>
  <c r="K235" i="1" s="1"/>
  <c r="J235" i="1"/>
  <c r="I235" i="1"/>
  <c r="H235" i="1"/>
  <c r="G235" i="1"/>
  <c r="F235" i="1"/>
  <c r="K234" i="1" a="1"/>
  <c r="K234" i="1" s="1"/>
  <c r="J234" i="1"/>
  <c r="I234" i="1"/>
  <c r="H234" i="1"/>
  <c r="G234" i="1"/>
  <c r="F234" i="1"/>
  <c r="K233" i="1" a="1"/>
  <c r="K233" i="1" s="1"/>
  <c r="J233" i="1"/>
  <c r="I233" i="1"/>
  <c r="H233" i="1"/>
  <c r="G233" i="1"/>
  <c r="F233" i="1"/>
  <c r="K232" i="1" a="1"/>
  <c r="K232" i="1" s="1"/>
  <c r="J232" i="1"/>
  <c r="I232" i="1"/>
  <c r="H232" i="1"/>
  <c r="G232" i="1"/>
  <c r="F232" i="1"/>
  <c r="K231" i="1" a="1"/>
  <c r="K231" i="1" s="1"/>
  <c r="J231" i="1"/>
  <c r="I231" i="1"/>
  <c r="H231" i="1"/>
  <c r="G231" i="1"/>
  <c r="F231" i="1"/>
  <c r="K230" i="1" a="1"/>
  <c r="K230" i="1" s="1"/>
  <c r="J230" i="1"/>
  <c r="I230" i="1"/>
  <c r="H230" i="1"/>
  <c r="G230" i="1"/>
  <c r="F230" i="1"/>
  <c r="K229" i="1" a="1"/>
  <c r="K229" i="1" s="1"/>
  <c r="J229" i="1"/>
  <c r="I229" i="1"/>
  <c r="H229" i="1"/>
  <c r="G229" i="1"/>
  <c r="F229" i="1"/>
  <c r="K228" i="1" a="1"/>
  <c r="K228" i="1" s="1"/>
  <c r="J228" i="1"/>
  <c r="I228" i="1"/>
  <c r="H228" i="1"/>
  <c r="G228" i="1"/>
  <c r="F228" i="1"/>
  <c r="K227" i="1" a="1"/>
  <c r="K227" i="1" s="1"/>
  <c r="J227" i="1"/>
  <c r="I227" i="1"/>
  <c r="H227" i="1"/>
  <c r="G227" i="1"/>
  <c r="F227" i="1"/>
  <c r="K226" i="1" a="1"/>
  <c r="K226" i="1" s="1"/>
  <c r="J226" i="1"/>
  <c r="I226" i="1"/>
  <c r="H226" i="1"/>
  <c r="G226" i="1"/>
  <c r="F226" i="1"/>
  <c r="K225" i="1" a="1"/>
  <c r="K225" i="1" s="1"/>
  <c r="J225" i="1"/>
  <c r="I225" i="1"/>
  <c r="H225" i="1"/>
  <c r="G225" i="1"/>
  <c r="F225" i="1"/>
  <c r="K224" i="1" a="1"/>
  <c r="K224" i="1" s="1"/>
  <c r="J224" i="1"/>
  <c r="I224" i="1"/>
  <c r="H224" i="1"/>
  <c r="G224" i="1"/>
  <c r="F224" i="1"/>
  <c r="K223" i="1" a="1"/>
  <c r="K223" i="1" s="1"/>
  <c r="J223" i="1"/>
  <c r="I223" i="1"/>
  <c r="H223" i="1"/>
  <c r="G223" i="1"/>
  <c r="F223" i="1"/>
  <c r="K222" i="1" a="1"/>
  <c r="K222" i="1" s="1"/>
  <c r="J222" i="1"/>
  <c r="I222" i="1"/>
  <c r="H222" i="1"/>
  <c r="G222" i="1"/>
  <c r="F222" i="1"/>
  <c r="K221" i="1" a="1"/>
  <c r="K221" i="1" s="1"/>
  <c r="J221" i="1"/>
  <c r="I221" i="1"/>
  <c r="H221" i="1"/>
  <c r="G221" i="1"/>
  <c r="F221" i="1"/>
  <c r="K220" i="1" a="1"/>
  <c r="K220" i="1" s="1"/>
  <c r="J220" i="1"/>
  <c r="I220" i="1"/>
  <c r="H220" i="1"/>
  <c r="G220" i="1"/>
  <c r="F220" i="1"/>
  <c r="K219" i="1" a="1"/>
  <c r="K219" i="1" s="1"/>
  <c r="J219" i="1"/>
  <c r="I219" i="1"/>
  <c r="H219" i="1"/>
  <c r="G219" i="1"/>
  <c r="F219" i="1"/>
  <c r="K218" i="1" a="1"/>
  <c r="K218" i="1" s="1"/>
  <c r="J218" i="1"/>
  <c r="I218" i="1"/>
  <c r="H218" i="1"/>
  <c r="G218" i="1"/>
  <c r="F218" i="1"/>
  <c r="K217" i="1" a="1"/>
  <c r="K217" i="1" s="1"/>
  <c r="J217" i="1"/>
  <c r="I217" i="1"/>
  <c r="H217" i="1"/>
  <c r="G217" i="1"/>
  <c r="F217" i="1"/>
  <c r="K216" i="1" a="1"/>
  <c r="K216" i="1" s="1"/>
  <c r="J216" i="1"/>
  <c r="I216" i="1"/>
  <c r="H216" i="1"/>
  <c r="G216" i="1"/>
  <c r="F216" i="1"/>
  <c r="K215" i="1" a="1"/>
  <c r="K215" i="1" s="1"/>
  <c r="J215" i="1"/>
  <c r="I215" i="1"/>
  <c r="H215" i="1"/>
  <c r="G215" i="1"/>
  <c r="F215" i="1"/>
  <c r="K214" i="1" a="1"/>
  <c r="K214" i="1" s="1"/>
  <c r="J214" i="1"/>
  <c r="I214" i="1"/>
  <c r="H214" i="1"/>
  <c r="G214" i="1"/>
  <c r="F214" i="1"/>
  <c r="K213" i="1" a="1"/>
  <c r="K213" i="1" s="1"/>
  <c r="J213" i="1"/>
  <c r="I213" i="1"/>
  <c r="H213" i="1"/>
  <c r="G213" i="1"/>
  <c r="F213" i="1"/>
  <c r="K212" i="1" a="1"/>
  <c r="K212" i="1" s="1"/>
  <c r="J212" i="1"/>
  <c r="I212" i="1"/>
  <c r="H212" i="1"/>
  <c r="G212" i="1"/>
  <c r="F212" i="1"/>
  <c r="K211" i="1" a="1"/>
  <c r="K211" i="1" s="1"/>
  <c r="J211" i="1"/>
  <c r="I211" i="1"/>
  <c r="H211" i="1"/>
  <c r="G211" i="1"/>
  <c r="F211" i="1"/>
  <c r="K210" i="1" a="1"/>
  <c r="K210" i="1" s="1"/>
  <c r="J210" i="1"/>
  <c r="I210" i="1"/>
  <c r="H210" i="1"/>
  <c r="G210" i="1"/>
  <c r="F210" i="1"/>
  <c r="K209" i="1" a="1"/>
  <c r="K209" i="1" s="1"/>
  <c r="J209" i="1"/>
  <c r="I209" i="1"/>
  <c r="H209" i="1"/>
  <c r="G209" i="1"/>
  <c r="F209" i="1"/>
  <c r="K208" i="1" a="1"/>
  <c r="K208" i="1" s="1"/>
  <c r="J208" i="1"/>
  <c r="I208" i="1"/>
  <c r="H208" i="1"/>
  <c r="G208" i="1"/>
  <c r="F208" i="1"/>
  <c r="K207" i="1" a="1"/>
  <c r="K207" i="1" s="1"/>
  <c r="J207" i="1"/>
  <c r="I207" i="1"/>
  <c r="H207" i="1"/>
  <c r="G207" i="1"/>
  <c r="F207" i="1"/>
  <c r="K206" i="1" a="1"/>
  <c r="K206" i="1" s="1"/>
  <c r="J206" i="1"/>
  <c r="I206" i="1"/>
  <c r="H206" i="1"/>
  <c r="G206" i="1"/>
  <c r="F206" i="1"/>
  <c r="K205" i="1" a="1"/>
  <c r="K205" i="1" s="1"/>
  <c r="J205" i="1"/>
  <c r="I205" i="1"/>
  <c r="H205" i="1"/>
  <c r="G205" i="1"/>
  <c r="F205" i="1"/>
  <c r="K204" i="1" a="1"/>
  <c r="K204" i="1" s="1"/>
  <c r="J204" i="1"/>
  <c r="I204" i="1"/>
  <c r="H204" i="1"/>
  <c r="G204" i="1"/>
  <c r="F204" i="1"/>
  <c r="K203" i="1" a="1"/>
  <c r="K203" i="1" s="1"/>
  <c r="J203" i="1"/>
  <c r="I203" i="1"/>
  <c r="H203" i="1"/>
  <c r="G203" i="1"/>
  <c r="F203" i="1"/>
  <c r="K202" i="1" a="1"/>
  <c r="K202" i="1" s="1"/>
  <c r="J202" i="1"/>
  <c r="I202" i="1"/>
  <c r="H202" i="1"/>
  <c r="G202" i="1"/>
  <c r="F202" i="1"/>
  <c r="K201" i="1" a="1"/>
  <c r="K201" i="1" s="1"/>
  <c r="J201" i="1"/>
  <c r="I201" i="1"/>
  <c r="H201" i="1"/>
  <c r="G201" i="1"/>
  <c r="F201" i="1"/>
  <c r="K200" i="1" a="1"/>
  <c r="K200" i="1" s="1"/>
  <c r="J200" i="1"/>
  <c r="I200" i="1"/>
  <c r="H200" i="1"/>
  <c r="G200" i="1"/>
  <c r="F200" i="1"/>
  <c r="K199" i="1" a="1"/>
  <c r="K199" i="1" s="1"/>
  <c r="J199" i="1"/>
  <c r="I199" i="1"/>
  <c r="H199" i="1"/>
  <c r="G199" i="1"/>
  <c r="F199" i="1"/>
  <c r="K198" i="1" a="1"/>
  <c r="K198" i="1" s="1"/>
  <c r="J198" i="1"/>
  <c r="I198" i="1"/>
  <c r="H198" i="1"/>
  <c r="G198" i="1"/>
  <c r="F198" i="1"/>
  <c r="K197" i="1" a="1"/>
  <c r="K197" i="1" s="1"/>
  <c r="J197" i="1"/>
  <c r="I197" i="1"/>
  <c r="H197" i="1"/>
  <c r="G197" i="1"/>
  <c r="F197" i="1"/>
  <c r="K196" i="1" a="1"/>
  <c r="K196" i="1" s="1"/>
  <c r="J196" i="1"/>
  <c r="I196" i="1"/>
  <c r="H196" i="1"/>
  <c r="G196" i="1"/>
  <c r="F196" i="1"/>
  <c r="K195" i="1" a="1"/>
  <c r="K195" i="1" s="1"/>
  <c r="J195" i="1"/>
  <c r="I195" i="1"/>
  <c r="H195" i="1"/>
  <c r="G195" i="1"/>
  <c r="F195" i="1"/>
  <c r="K194" i="1" a="1"/>
  <c r="K194" i="1" s="1"/>
  <c r="J194" i="1"/>
  <c r="I194" i="1"/>
  <c r="H194" i="1"/>
  <c r="G194" i="1"/>
  <c r="F194" i="1"/>
  <c r="K193" i="1" a="1"/>
  <c r="K193" i="1" s="1"/>
  <c r="J193" i="1"/>
  <c r="I193" i="1"/>
  <c r="H193" i="1"/>
  <c r="G193" i="1"/>
  <c r="F193" i="1"/>
  <c r="K192" i="1" a="1"/>
  <c r="K192" i="1" s="1"/>
  <c r="J192" i="1"/>
  <c r="I192" i="1"/>
  <c r="H192" i="1"/>
  <c r="G192" i="1"/>
  <c r="F192" i="1"/>
  <c r="K191" i="1" a="1"/>
  <c r="K191" i="1" s="1"/>
  <c r="J191" i="1"/>
  <c r="I191" i="1"/>
  <c r="H191" i="1"/>
  <c r="G191" i="1"/>
  <c r="F191" i="1"/>
  <c r="K190" i="1" a="1"/>
  <c r="K190" i="1" s="1"/>
  <c r="J190" i="1"/>
  <c r="I190" i="1"/>
  <c r="H190" i="1"/>
  <c r="G190" i="1"/>
  <c r="F190" i="1"/>
  <c r="K189" i="1" a="1"/>
  <c r="K189" i="1" s="1"/>
  <c r="J189" i="1"/>
  <c r="I189" i="1"/>
  <c r="H189" i="1"/>
  <c r="G189" i="1"/>
  <c r="F189" i="1"/>
  <c r="K188" i="1" a="1"/>
  <c r="K188" i="1" s="1"/>
  <c r="J188" i="1"/>
  <c r="I188" i="1"/>
  <c r="H188" i="1"/>
  <c r="G188" i="1"/>
  <c r="F188" i="1"/>
  <c r="K187" i="1" a="1"/>
  <c r="K187" i="1" s="1"/>
  <c r="J187" i="1"/>
  <c r="I187" i="1"/>
  <c r="H187" i="1"/>
  <c r="G187" i="1"/>
  <c r="F187" i="1"/>
  <c r="K186" i="1" a="1"/>
  <c r="K186" i="1" s="1"/>
  <c r="J186" i="1"/>
  <c r="I186" i="1"/>
  <c r="H186" i="1"/>
  <c r="G186" i="1"/>
  <c r="F186" i="1"/>
  <c r="K185" i="1" a="1"/>
  <c r="K185" i="1" s="1"/>
  <c r="J185" i="1"/>
  <c r="I185" i="1"/>
  <c r="H185" i="1"/>
  <c r="G185" i="1"/>
  <c r="F185" i="1"/>
  <c r="K184" i="1" a="1"/>
  <c r="K184" i="1" s="1"/>
  <c r="J184" i="1"/>
  <c r="I184" i="1"/>
  <c r="H184" i="1"/>
  <c r="G184" i="1"/>
  <c r="F184" i="1"/>
  <c r="K183" i="1" a="1"/>
  <c r="K183" i="1" s="1"/>
  <c r="J183" i="1"/>
  <c r="I183" i="1"/>
  <c r="H183" i="1"/>
  <c r="G183" i="1"/>
  <c r="F183" i="1"/>
  <c r="K182" i="1" a="1"/>
  <c r="K182" i="1" s="1"/>
  <c r="J182" i="1"/>
  <c r="I182" i="1"/>
  <c r="H182" i="1"/>
  <c r="G182" i="1"/>
  <c r="F182" i="1"/>
  <c r="K181" i="1" a="1"/>
  <c r="K181" i="1" s="1"/>
  <c r="J181" i="1"/>
  <c r="I181" i="1"/>
  <c r="H181" i="1"/>
  <c r="G181" i="1"/>
  <c r="F181" i="1"/>
  <c r="K180" i="1" a="1"/>
  <c r="K180" i="1" s="1"/>
  <c r="J180" i="1"/>
  <c r="I180" i="1"/>
  <c r="H180" i="1"/>
  <c r="G180" i="1"/>
  <c r="F180" i="1"/>
  <c r="K179" i="1" a="1"/>
  <c r="K179" i="1" s="1"/>
  <c r="J179" i="1"/>
  <c r="I179" i="1"/>
  <c r="H179" i="1"/>
  <c r="G179" i="1"/>
  <c r="F179" i="1"/>
  <c r="K178" i="1" a="1"/>
  <c r="K178" i="1" s="1"/>
  <c r="J178" i="1"/>
  <c r="I178" i="1"/>
  <c r="H178" i="1"/>
  <c r="G178" i="1"/>
  <c r="F178" i="1"/>
  <c r="K177" i="1" a="1"/>
  <c r="K177" i="1" s="1"/>
  <c r="J177" i="1"/>
  <c r="I177" i="1"/>
  <c r="H177" i="1"/>
  <c r="G177" i="1"/>
  <c r="F177" i="1"/>
  <c r="K176" i="1" a="1"/>
  <c r="K176" i="1" s="1"/>
  <c r="J176" i="1"/>
  <c r="I176" i="1"/>
  <c r="H176" i="1"/>
  <c r="G176" i="1"/>
  <c r="F176" i="1"/>
  <c r="K175" i="1" a="1"/>
  <c r="K175" i="1" s="1"/>
  <c r="J175" i="1"/>
  <c r="I175" i="1"/>
  <c r="H175" i="1"/>
  <c r="G175" i="1"/>
  <c r="F175" i="1"/>
  <c r="K174" i="1" a="1"/>
  <c r="K174" i="1" s="1"/>
  <c r="J174" i="1"/>
  <c r="I174" i="1"/>
  <c r="H174" i="1"/>
  <c r="G174" i="1"/>
  <c r="F174" i="1"/>
  <c r="K173" i="1" a="1"/>
  <c r="K173" i="1" s="1"/>
  <c r="J173" i="1"/>
  <c r="I173" i="1"/>
  <c r="H173" i="1"/>
  <c r="G173" i="1"/>
  <c r="F173" i="1"/>
  <c r="K172" i="1" a="1"/>
  <c r="K172" i="1" s="1"/>
  <c r="J172" i="1"/>
  <c r="I172" i="1"/>
  <c r="H172" i="1"/>
  <c r="G172" i="1"/>
  <c r="F172" i="1"/>
  <c r="K171" i="1" a="1"/>
  <c r="K171" i="1" s="1"/>
  <c r="J171" i="1"/>
  <c r="I171" i="1"/>
  <c r="H171" i="1"/>
  <c r="G171" i="1"/>
  <c r="F171" i="1"/>
  <c r="K170" i="1" a="1"/>
  <c r="K170" i="1" s="1"/>
  <c r="J170" i="1"/>
  <c r="I170" i="1"/>
  <c r="H170" i="1"/>
  <c r="G170" i="1"/>
  <c r="F170" i="1"/>
  <c r="K169" i="1" a="1"/>
  <c r="K169" i="1" s="1"/>
  <c r="J169" i="1"/>
  <c r="I169" i="1"/>
  <c r="H169" i="1"/>
  <c r="G169" i="1"/>
  <c r="F169" i="1"/>
  <c r="K168" i="1" a="1"/>
  <c r="K168" i="1" s="1"/>
  <c r="J168" i="1"/>
  <c r="I168" i="1"/>
  <c r="H168" i="1"/>
  <c r="G168" i="1"/>
  <c r="F168" i="1"/>
  <c r="K167" i="1" a="1"/>
  <c r="K167" i="1" s="1"/>
  <c r="J167" i="1"/>
  <c r="I167" i="1"/>
  <c r="H167" i="1"/>
  <c r="G167" i="1"/>
  <c r="F167" i="1"/>
  <c r="K166" i="1" a="1"/>
  <c r="K166" i="1" s="1"/>
  <c r="J166" i="1"/>
  <c r="I166" i="1"/>
  <c r="H166" i="1"/>
  <c r="G166" i="1"/>
  <c r="F166" i="1"/>
  <c r="K165" i="1" a="1"/>
  <c r="K165" i="1" s="1"/>
  <c r="J165" i="1"/>
  <c r="I165" i="1"/>
  <c r="H165" i="1"/>
  <c r="G165" i="1"/>
  <c r="F165" i="1"/>
  <c r="K164" i="1" a="1"/>
  <c r="K164" i="1" s="1"/>
  <c r="J164" i="1"/>
  <c r="I164" i="1"/>
  <c r="H164" i="1"/>
  <c r="G164" i="1"/>
  <c r="F164" i="1"/>
  <c r="K163" i="1" a="1"/>
  <c r="K163" i="1" s="1"/>
  <c r="J163" i="1"/>
  <c r="I163" i="1"/>
  <c r="H163" i="1"/>
  <c r="G163" i="1"/>
  <c r="F163" i="1"/>
  <c r="K162" i="1" a="1"/>
  <c r="K162" i="1" s="1"/>
  <c r="J162" i="1"/>
  <c r="I162" i="1"/>
  <c r="H162" i="1"/>
  <c r="G162" i="1"/>
  <c r="F162" i="1"/>
  <c r="K161" i="1" a="1"/>
  <c r="K161" i="1" s="1"/>
  <c r="J161" i="1"/>
  <c r="I161" i="1"/>
  <c r="H161" i="1"/>
  <c r="G161" i="1"/>
  <c r="F161" i="1"/>
  <c r="K160" i="1" a="1"/>
  <c r="K160" i="1" s="1"/>
  <c r="J160" i="1"/>
  <c r="I160" i="1"/>
  <c r="H160" i="1"/>
  <c r="G160" i="1"/>
  <c r="F160" i="1"/>
  <c r="K159" i="1" a="1"/>
  <c r="K159" i="1" s="1"/>
  <c r="J159" i="1"/>
  <c r="I159" i="1"/>
  <c r="H159" i="1"/>
  <c r="G159" i="1"/>
  <c r="F159" i="1"/>
  <c r="K158" i="1" a="1"/>
  <c r="K158" i="1" s="1"/>
  <c r="J158" i="1"/>
  <c r="I158" i="1"/>
  <c r="H158" i="1"/>
  <c r="G158" i="1"/>
  <c r="F158" i="1"/>
  <c r="K157" i="1" a="1"/>
  <c r="K157" i="1" s="1"/>
  <c r="J157" i="1"/>
  <c r="I157" i="1"/>
  <c r="H157" i="1"/>
  <c r="G157" i="1"/>
  <c r="F157" i="1"/>
  <c r="K156" i="1" a="1"/>
  <c r="K156" i="1" s="1"/>
  <c r="J156" i="1"/>
  <c r="I156" i="1"/>
  <c r="H156" i="1"/>
  <c r="G156" i="1"/>
  <c r="F156" i="1"/>
  <c r="K155" i="1" a="1"/>
  <c r="K155" i="1" s="1"/>
  <c r="J155" i="1"/>
  <c r="I155" i="1"/>
  <c r="H155" i="1"/>
  <c r="G155" i="1"/>
  <c r="F155" i="1"/>
  <c r="K154" i="1" a="1"/>
  <c r="K154" i="1" s="1"/>
  <c r="J154" i="1"/>
  <c r="I154" i="1"/>
  <c r="H154" i="1"/>
  <c r="G154" i="1"/>
  <c r="F154" i="1"/>
  <c r="K153" i="1" a="1"/>
  <c r="K153" i="1" s="1"/>
  <c r="J153" i="1"/>
  <c r="I153" i="1"/>
  <c r="H153" i="1"/>
  <c r="G153" i="1"/>
  <c r="F153" i="1"/>
  <c r="K152" i="1" a="1"/>
  <c r="K152" i="1" s="1"/>
  <c r="J152" i="1"/>
  <c r="I152" i="1"/>
  <c r="H152" i="1"/>
  <c r="G152" i="1"/>
  <c r="F152" i="1"/>
  <c r="K151" i="1" a="1"/>
  <c r="K151" i="1" s="1"/>
  <c r="J151" i="1"/>
  <c r="I151" i="1"/>
  <c r="H151" i="1"/>
  <c r="G151" i="1"/>
  <c r="F151" i="1"/>
  <c r="K150" i="1" a="1"/>
  <c r="K150" i="1" s="1"/>
  <c r="J150" i="1"/>
  <c r="I150" i="1"/>
  <c r="H150" i="1"/>
  <c r="G150" i="1"/>
  <c r="F150" i="1"/>
  <c r="K149" i="1" a="1"/>
  <c r="K149" i="1" s="1"/>
  <c r="J149" i="1"/>
  <c r="I149" i="1"/>
  <c r="H149" i="1"/>
  <c r="G149" i="1"/>
  <c r="F149" i="1"/>
  <c r="K148" i="1" a="1"/>
  <c r="K148" i="1" s="1"/>
  <c r="J148" i="1"/>
  <c r="I148" i="1"/>
  <c r="H148" i="1"/>
  <c r="G148" i="1"/>
  <c r="F148" i="1"/>
  <c r="K147" i="1" a="1"/>
  <c r="K147" i="1" s="1"/>
  <c r="J147" i="1"/>
  <c r="I147" i="1"/>
  <c r="H147" i="1"/>
  <c r="G147" i="1"/>
  <c r="F147" i="1"/>
  <c r="K146" i="1" a="1"/>
  <c r="K146" i="1" s="1"/>
  <c r="J146" i="1"/>
  <c r="I146" i="1"/>
  <c r="H146" i="1"/>
  <c r="G146" i="1"/>
  <c r="F146" i="1"/>
  <c r="K145" i="1" a="1"/>
  <c r="K145" i="1" s="1"/>
  <c r="J145" i="1"/>
  <c r="I145" i="1"/>
  <c r="H145" i="1"/>
  <c r="G145" i="1"/>
  <c r="F145" i="1"/>
  <c r="K144" i="1" a="1"/>
  <c r="K144" i="1" s="1"/>
  <c r="J144" i="1"/>
  <c r="I144" i="1"/>
  <c r="H144" i="1"/>
  <c r="G144" i="1"/>
  <c r="F144" i="1"/>
  <c r="K143" i="1" a="1"/>
  <c r="K143" i="1" s="1"/>
  <c r="J143" i="1"/>
  <c r="I143" i="1"/>
  <c r="H143" i="1"/>
  <c r="G143" i="1"/>
  <c r="F143" i="1"/>
  <c r="K142" i="1" a="1"/>
  <c r="K142" i="1" s="1"/>
  <c r="J142" i="1"/>
  <c r="I142" i="1"/>
  <c r="H142" i="1"/>
  <c r="G142" i="1"/>
  <c r="F142" i="1"/>
  <c r="K141" i="1" a="1"/>
  <c r="K141" i="1" s="1"/>
  <c r="J141" i="1"/>
  <c r="I141" i="1"/>
  <c r="H141" i="1"/>
  <c r="G141" i="1"/>
  <c r="F141" i="1"/>
  <c r="K140" i="1" a="1"/>
  <c r="K140" i="1" s="1"/>
  <c r="J140" i="1"/>
  <c r="I140" i="1"/>
  <c r="H140" i="1"/>
  <c r="G140" i="1"/>
  <c r="F140" i="1"/>
  <c r="K139" i="1" a="1"/>
  <c r="K139" i="1" s="1"/>
  <c r="J139" i="1"/>
  <c r="I139" i="1"/>
  <c r="H139" i="1"/>
  <c r="G139" i="1"/>
  <c r="F139" i="1"/>
  <c r="K138" i="1" a="1"/>
  <c r="K138" i="1" s="1"/>
  <c r="J138" i="1"/>
  <c r="I138" i="1"/>
  <c r="H138" i="1"/>
  <c r="G138" i="1"/>
  <c r="F138" i="1"/>
  <c r="K137" i="1" a="1"/>
  <c r="K137" i="1" s="1"/>
  <c r="J137" i="1"/>
  <c r="I137" i="1"/>
  <c r="H137" i="1"/>
  <c r="G137" i="1"/>
  <c r="F137" i="1"/>
  <c r="K136" i="1" a="1"/>
  <c r="K136" i="1" s="1"/>
  <c r="J136" i="1"/>
  <c r="I136" i="1"/>
  <c r="H136" i="1"/>
  <c r="G136" i="1"/>
  <c r="F136" i="1"/>
  <c r="K135" i="1" a="1"/>
  <c r="K135" i="1" s="1"/>
  <c r="J135" i="1"/>
  <c r="I135" i="1"/>
  <c r="H135" i="1"/>
  <c r="G135" i="1"/>
  <c r="F135" i="1"/>
  <c r="K134" i="1" a="1"/>
  <c r="K134" i="1" s="1"/>
  <c r="J134" i="1"/>
  <c r="I134" i="1"/>
  <c r="H134" i="1"/>
  <c r="G134" i="1"/>
  <c r="F134" i="1"/>
  <c r="K133" i="1" a="1"/>
  <c r="K133" i="1" s="1"/>
  <c r="J133" i="1"/>
  <c r="I133" i="1"/>
  <c r="H133" i="1"/>
  <c r="G133" i="1"/>
  <c r="F133" i="1"/>
  <c r="K132" i="1" a="1"/>
  <c r="K132" i="1" s="1"/>
  <c r="J132" i="1"/>
  <c r="I132" i="1"/>
  <c r="H132" i="1"/>
  <c r="G132" i="1"/>
  <c r="F132" i="1"/>
  <c r="K131" i="1" a="1"/>
  <c r="K131" i="1" s="1"/>
  <c r="J131" i="1"/>
  <c r="I131" i="1"/>
  <c r="H131" i="1"/>
  <c r="G131" i="1"/>
  <c r="F131" i="1"/>
  <c r="K130" i="1" a="1"/>
  <c r="K130" i="1" s="1"/>
  <c r="J130" i="1"/>
  <c r="I130" i="1"/>
  <c r="H130" i="1"/>
  <c r="G130" i="1"/>
  <c r="F130" i="1"/>
  <c r="K129" i="1" a="1"/>
  <c r="K129" i="1" s="1"/>
  <c r="J129" i="1"/>
  <c r="I129" i="1"/>
  <c r="H129" i="1"/>
  <c r="G129" i="1"/>
  <c r="F129" i="1"/>
  <c r="K128" i="1" a="1"/>
  <c r="K128" i="1" s="1"/>
  <c r="J128" i="1"/>
  <c r="I128" i="1"/>
  <c r="H128" i="1"/>
  <c r="G128" i="1"/>
  <c r="F128" i="1"/>
  <c r="K127" i="1" a="1"/>
  <c r="K127" i="1" s="1"/>
  <c r="J127" i="1"/>
  <c r="I127" i="1"/>
  <c r="H127" i="1"/>
  <c r="G127" i="1"/>
  <c r="F127" i="1"/>
  <c r="K126" i="1" a="1"/>
  <c r="K126" i="1" s="1"/>
  <c r="J126" i="1"/>
  <c r="I126" i="1"/>
  <c r="H126" i="1"/>
  <c r="G126" i="1"/>
  <c r="F126" i="1"/>
  <c r="K125" i="1" a="1"/>
  <c r="K125" i="1" s="1"/>
  <c r="J125" i="1"/>
  <c r="I125" i="1"/>
  <c r="H125" i="1"/>
  <c r="G125" i="1"/>
  <c r="F125" i="1"/>
  <c r="K124" i="1" a="1"/>
  <c r="K124" i="1" s="1"/>
  <c r="J124" i="1"/>
  <c r="I124" i="1"/>
  <c r="H124" i="1"/>
  <c r="G124" i="1"/>
  <c r="F124" i="1"/>
  <c r="K123" i="1" a="1"/>
  <c r="K123" i="1" s="1"/>
  <c r="J123" i="1"/>
  <c r="I123" i="1"/>
  <c r="H123" i="1"/>
  <c r="G123" i="1"/>
  <c r="F123" i="1"/>
  <c r="K122" i="1" a="1"/>
  <c r="K122" i="1" s="1"/>
  <c r="J122" i="1"/>
  <c r="I122" i="1"/>
  <c r="H122" i="1"/>
  <c r="G122" i="1"/>
  <c r="F122" i="1"/>
  <c r="K121" i="1" a="1"/>
  <c r="K121" i="1" s="1"/>
  <c r="J121" i="1"/>
  <c r="I121" i="1"/>
  <c r="H121" i="1"/>
  <c r="G121" i="1"/>
  <c r="F121" i="1"/>
  <c r="K120" i="1" a="1"/>
  <c r="K120" i="1" s="1"/>
  <c r="J120" i="1"/>
  <c r="I120" i="1"/>
  <c r="H120" i="1"/>
  <c r="G120" i="1"/>
  <c r="F120" i="1"/>
  <c r="K119" i="1" a="1"/>
  <c r="K119" i="1" s="1"/>
  <c r="J119" i="1"/>
  <c r="I119" i="1"/>
  <c r="H119" i="1"/>
  <c r="G119" i="1"/>
  <c r="F119" i="1"/>
  <c r="K118" i="1" a="1"/>
  <c r="K118" i="1" s="1"/>
  <c r="J118" i="1"/>
  <c r="I118" i="1"/>
  <c r="H118" i="1"/>
  <c r="G118" i="1"/>
  <c r="F118" i="1"/>
  <c r="K117" i="1" a="1"/>
  <c r="K117" i="1" s="1"/>
  <c r="J117" i="1"/>
  <c r="I117" i="1"/>
  <c r="H117" i="1"/>
  <c r="G117" i="1"/>
  <c r="F117" i="1"/>
  <c r="K116" i="1" a="1"/>
  <c r="K116" i="1" s="1"/>
  <c r="J116" i="1"/>
  <c r="I116" i="1"/>
  <c r="H116" i="1"/>
  <c r="G116" i="1"/>
  <c r="F116" i="1"/>
  <c r="K115" i="1" a="1"/>
  <c r="K115" i="1" s="1"/>
  <c r="J115" i="1"/>
  <c r="I115" i="1"/>
  <c r="H115" i="1"/>
  <c r="G115" i="1"/>
  <c r="F115" i="1"/>
  <c r="K114" i="1" a="1"/>
  <c r="K114" i="1" s="1"/>
  <c r="J114" i="1"/>
  <c r="I114" i="1"/>
  <c r="H114" i="1"/>
  <c r="G114" i="1"/>
  <c r="F114" i="1"/>
  <c r="K113" i="1" a="1"/>
  <c r="K113" i="1" s="1"/>
  <c r="J113" i="1"/>
  <c r="I113" i="1"/>
  <c r="H113" i="1"/>
  <c r="G113" i="1"/>
  <c r="F113" i="1"/>
  <c r="K112" i="1" a="1"/>
  <c r="K112" i="1" s="1"/>
  <c r="J112" i="1"/>
  <c r="I112" i="1"/>
  <c r="H112" i="1"/>
  <c r="G112" i="1"/>
  <c r="F112" i="1"/>
  <c r="K111" i="1" a="1"/>
  <c r="K111" i="1" s="1"/>
  <c r="J111" i="1"/>
  <c r="I111" i="1"/>
  <c r="H111" i="1"/>
  <c r="G111" i="1"/>
  <c r="F111" i="1"/>
  <c r="K110" i="1" a="1"/>
  <c r="K110" i="1" s="1"/>
  <c r="J110" i="1"/>
  <c r="I110" i="1"/>
  <c r="H110" i="1"/>
  <c r="G110" i="1"/>
  <c r="F110" i="1"/>
  <c r="K109" i="1" a="1"/>
  <c r="K109" i="1" s="1"/>
  <c r="J109" i="1"/>
  <c r="I109" i="1"/>
  <c r="H109" i="1"/>
  <c r="G109" i="1"/>
  <c r="F109" i="1"/>
  <c r="K108" i="1" a="1"/>
  <c r="K108" i="1" s="1"/>
  <c r="J108" i="1"/>
  <c r="I108" i="1"/>
  <c r="H108" i="1"/>
  <c r="G108" i="1"/>
  <c r="F108" i="1"/>
  <c r="K107" i="1" a="1"/>
  <c r="K107" i="1" s="1"/>
  <c r="J107" i="1"/>
  <c r="I107" i="1"/>
  <c r="H107" i="1"/>
  <c r="G107" i="1"/>
  <c r="F107" i="1"/>
  <c r="K106" i="1" a="1"/>
  <c r="K106" i="1" s="1"/>
  <c r="J106" i="1"/>
  <c r="I106" i="1"/>
  <c r="H106" i="1"/>
  <c r="G106" i="1"/>
  <c r="F106" i="1"/>
  <c r="K105" i="1" a="1"/>
  <c r="K105" i="1" s="1"/>
  <c r="J105" i="1"/>
  <c r="I105" i="1"/>
  <c r="H105" i="1"/>
  <c r="G105" i="1"/>
  <c r="F105" i="1"/>
  <c r="K104" i="1" a="1"/>
  <c r="K104" i="1" s="1"/>
  <c r="J104" i="1"/>
  <c r="I104" i="1"/>
  <c r="H104" i="1"/>
  <c r="G104" i="1"/>
  <c r="F104" i="1"/>
  <c r="K103" i="1" a="1"/>
  <c r="K103" i="1" s="1"/>
  <c r="J103" i="1"/>
  <c r="I103" i="1"/>
  <c r="H103" i="1"/>
  <c r="G103" i="1"/>
  <c r="F103" i="1"/>
  <c r="K102" i="1" a="1"/>
  <c r="K102" i="1" s="1"/>
  <c r="J102" i="1"/>
  <c r="I102" i="1"/>
  <c r="H102" i="1"/>
  <c r="G102" i="1"/>
  <c r="F102" i="1"/>
  <c r="K101" i="1" a="1"/>
  <c r="K101" i="1" s="1"/>
  <c r="J101" i="1"/>
  <c r="I101" i="1"/>
  <c r="H101" i="1"/>
  <c r="G101" i="1"/>
  <c r="F101" i="1"/>
  <c r="K100" i="1" a="1"/>
  <c r="K100" i="1" s="1"/>
  <c r="J100" i="1"/>
  <c r="I100" i="1"/>
  <c r="H100" i="1"/>
  <c r="G100" i="1"/>
  <c r="F100" i="1"/>
  <c r="K99" i="1" a="1"/>
  <c r="K99" i="1" s="1"/>
  <c r="J99" i="1"/>
  <c r="I99" i="1"/>
  <c r="H99" i="1"/>
  <c r="G99" i="1"/>
  <c r="F99" i="1"/>
  <c r="K98" i="1" a="1"/>
  <c r="K98" i="1" s="1"/>
  <c r="J98" i="1"/>
  <c r="I98" i="1"/>
  <c r="H98" i="1"/>
  <c r="G98" i="1"/>
  <c r="F98" i="1"/>
  <c r="K97" i="1" a="1"/>
  <c r="K97" i="1" s="1"/>
  <c r="J97" i="1"/>
  <c r="I97" i="1"/>
  <c r="H97" i="1"/>
  <c r="G97" i="1"/>
  <c r="F97" i="1"/>
  <c r="K96" i="1" a="1"/>
  <c r="K96" i="1" s="1"/>
  <c r="J96" i="1"/>
  <c r="I96" i="1"/>
  <c r="H96" i="1"/>
  <c r="G96" i="1"/>
  <c r="F96" i="1"/>
  <c r="K95" i="1" a="1"/>
  <c r="K95" i="1" s="1"/>
  <c r="J95" i="1"/>
  <c r="I95" i="1"/>
  <c r="H95" i="1"/>
  <c r="G95" i="1"/>
  <c r="F95" i="1"/>
  <c r="K94" i="1" a="1"/>
  <c r="K94" i="1" s="1"/>
  <c r="J94" i="1"/>
  <c r="I94" i="1"/>
  <c r="H94" i="1"/>
  <c r="G94" i="1"/>
  <c r="F94" i="1"/>
  <c r="K93" i="1" a="1"/>
  <c r="K93" i="1" s="1"/>
  <c r="J93" i="1"/>
  <c r="I93" i="1"/>
  <c r="H93" i="1"/>
  <c r="G93" i="1"/>
  <c r="F93" i="1"/>
  <c r="K92" i="1" a="1"/>
  <c r="K92" i="1" s="1"/>
  <c r="J92" i="1"/>
  <c r="I92" i="1"/>
  <c r="H92" i="1"/>
  <c r="G92" i="1"/>
  <c r="F92" i="1"/>
  <c r="K91" i="1" a="1"/>
  <c r="K91" i="1" s="1"/>
  <c r="J91" i="1"/>
  <c r="I91" i="1"/>
  <c r="H91" i="1"/>
  <c r="G91" i="1"/>
  <c r="F91" i="1"/>
  <c r="K90" i="1" a="1"/>
  <c r="K90" i="1" s="1"/>
  <c r="J90" i="1"/>
  <c r="I90" i="1"/>
  <c r="H90" i="1"/>
  <c r="G90" i="1"/>
  <c r="F90" i="1"/>
  <c r="K89" i="1" a="1"/>
  <c r="K89" i="1" s="1"/>
  <c r="J89" i="1"/>
  <c r="I89" i="1"/>
  <c r="H89" i="1"/>
  <c r="G89" i="1"/>
  <c r="F89" i="1"/>
  <c r="K88" i="1" a="1"/>
  <c r="K88" i="1" s="1"/>
  <c r="J88" i="1"/>
  <c r="I88" i="1"/>
  <c r="H88" i="1"/>
  <c r="G88" i="1"/>
  <c r="F88" i="1"/>
  <c r="K87" i="1" a="1"/>
  <c r="K87" i="1" s="1"/>
  <c r="J87" i="1"/>
  <c r="I87" i="1"/>
  <c r="H87" i="1"/>
  <c r="G87" i="1"/>
  <c r="F87" i="1"/>
  <c r="K86" i="1" a="1"/>
  <c r="K86" i="1" s="1"/>
  <c r="J86" i="1"/>
  <c r="I86" i="1"/>
  <c r="H86" i="1"/>
  <c r="G86" i="1"/>
  <c r="F86" i="1"/>
  <c r="K85" i="1" a="1"/>
  <c r="K85" i="1" s="1"/>
  <c r="J85" i="1"/>
  <c r="I85" i="1"/>
  <c r="H85" i="1"/>
  <c r="G85" i="1"/>
  <c r="F85" i="1"/>
  <c r="K84" i="1" a="1"/>
  <c r="K84" i="1" s="1"/>
  <c r="J84" i="1"/>
  <c r="I84" i="1"/>
  <c r="H84" i="1"/>
  <c r="G84" i="1"/>
  <c r="F84" i="1"/>
  <c r="K83" i="1" a="1"/>
  <c r="K83" i="1" s="1"/>
  <c r="J83" i="1"/>
  <c r="I83" i="1"/>
  <c r="H83" i="1"/>
  <c r="G83" i="1"/>
  <c r="F83" i="1"/>
  <c r="K82" i="1" a="1"/>
  <c r="K82" i="1" s="1"/>
  <c r="J82" i="1"/>
  <c r="I82" i="1"/>
  <c r="H82" i="1"/>
  <c r="G82" i="1"/>
  <c r="F82" i="1"/>
  <c r="K81" i="1" a="1"/>
  <c r="K81" i="1" s="1"/>
  <c r="J81" i="1"/>
  <c r="I81" i="1"/>
  <c r="H81" i="1"/>
  <c r="G81" i="1"/>
  <c r="F81" i="1"/>
  <c r="K80" i="1" a="1"/>
  <c r="K80" i="1" s="1"/>
  <c r="J80" i="1"/>
  <c r="I80" i="1"/>
  <c r="H80" i="1"/>
  <c r="G80" i="1"/>
  <c r="F80" i="1"/>
  <c r="K79" i="1" a="1"/>
  <c r="K79" i="1" s="1"/>
  <c r="J79" i="1"/>
  <c r="I79" i="1"/>
  <c r="H79" i="1"/>
  <c r="G79" i="1"/>
  <c r="F79" i="1"/>
  <c r="K78" i="1" a="1"/>
  <c r="K78" i="1" s="1"/>
  <c r="J78" i="1"/>
  <c r="I78" i="1"/>
  <c r="H78" i="1"/>
  <c r="G78" i="1"/>
  <c r="F78" i="1"/>
  <c r="K77" i="1" a="1"/>
  <c r="K77" i="1" s="1"/>
  <c r="J77" i="1"/>
  <c r="I77" i="1"/>
  <c r="H77" i="1"/>
  <c r="G77" i="1"/>
  <c r="F77" i="1"/>
  <c r="K76" i="1" a="1"/>
  <c r="K76" i="1" s="1"/>
  <c r="J76" i="1"/>
  <c r="I76" i="1"/>
  <c r="H76" i="1"/>
  <c r="G76" i="1"/>
  <c r="F76" i="1"/>
  <c r="K75" i="1" a="1"/>
  <c r="K75" i="1" s="1"/>
  <c r="J75" i="1"/>
  <c r="I75" i="1"/>
  <c r="H75" i="1"/>
  <c r="G75" i="1"/>
  <c r="F75" i="1"/>
  <c r="K74" i="1" a="1"/>
  <c r="K74" i="1" s="1"/>
  <c r="J74" i="1"/>
  <c r="I74" i="1"/>
  <c r="H74" i="1"/>
  <c r="G74" i="1"/>
  <c r="F74" i="1"/>
  <c r="K73" i="1" a="1"/>
  <c r="K73" i="1" s="1"/>
  <c r="J73" i="1"/>
  <c r="I73" i="1"/>
  <c r="H73" i="1"/>
  <c r="G73" i="1"/>
  <c r="F73" i="1"/>
  <c r="K72" i="1" a="1"/>
  <c r="K72" i="1" s="1"/>
  <c r="J72" i="1"/>
  <c r="I72" i="1"/>
  <c r="H72" i="1"/>
  <c r="G72" i="1"/>
  <c r="F72" i="1"/>
  <c r="K71" i="1" a="1"/>
  <c r="K71" i="1" s="1"/>
  <c r="J71" i="1"/>
  <c r="I71" i="1"/>
  <c r="H71" i="1"/>
  <c r="G71" i="1"/>
  <c r="F71" i="1"/>
  <c r="K70" i="1" a="1"/>
  <c r="K70" i="1" s="1"/>
  <c r="J70" i="1"/>
  <c r="I70" i="1"/>
  <c r="H70" i="1"/>
  <c r="G70" i="1"/>
  <c r="F70" i="1"/>
  <c r="K69" i="1" a="1"/>
  <c r="K69" i="1" s="1"/>
  <c r="J69" i="1"/>
  <c r="I69" i="1"/>
  <c r="H69" i="1"/>
  <c r="G69" i="1"/>
  <c r="F69" i="1"/>
  <c r="K68" i="1" a="1"/>
  <c r="K68" i="1" s="1"/>
  <c r="J68" i="1"/>
  <c r="I68" i="1"/>
  <c r="H68" i="1"/>
  <c r="G68" i="1"/>
  <c r="F68" i="1"/>
  <c r="K67" i="1" a="1"/>
  <c r="K67" i="1" s="1"/>
  <c r="J67" i="1"/>
  <c r="I67" i="1"/>
  <c r="H67" i="1"/>
  <c r="G67" i="1"/>
  <c r="F67" i="1"/>
  <c r="K66" i="1" a="1"/>
  <c r="K66" i="1" s="1"/>
  <c r="J66" i="1"/>
  <c r="I66" i="1"/>
  <c r="H66" i="1"/>
  <c r="G66" i="1"/>
  <c r="F66" i="1"/>
  <c r="K65" i="1" a="1"/>
  <c r="K65" i="1" s="1"/>
  <c r="J65" i="1"/>
  <c r="I65" i="1"/>
  <c r="H65" i="1"/>
  <c r="G65" i="1"/>
  <c r="F65" i="1"/>
  <c r="K64" i="1" a="1"/>
  <c r="K64" i="1" s="1"/>
  <c r="J64" i="1"/>
  <c r="I64" i="1"/>
  <c r="H64" i="1"/>
  <c r="G64" i="1"/>
  <c r="F64" i="1"/>
  <c r="K63" i="1" a="1"/>
  <c r="K63" i="1" s="1"/>
  <c r="J63" i="1"/>
  <c r="I63" i="1"/>
  <c r="H63" i="1"/>
  <c r="G63" i="1"/>
  <c r="F63" i="1"/>
  <c r="K62" i="1" a="1"/>
  <c r="K62" i="1" s="1"/>
  <c r="J62" i="1"/>
  <c r="I62" i="1"/>
  <c r="H62" i="1"/>
  <c r="G62" i="1"/>
  <c r="F62" i="1"/>
  <c r="K61" i="1" a="1"/>
  <c r="K61" i="1" s="1"/>
  <c r="J61" i="1"/>
  <c r="I61" i="1"/>
  <c r="H61" i="1"/>
  <c r="G61" i="1"/>
  <c r="F61" i="1"/>
  <c r="K60" i="1" a="1"/>
  <c r="K60" i="1" s="1"/>
  <c r="J60" i="1"/>
  <c r="I60" i="1"/>
  <c r="H60" i="1"/>
  <c r="G60" i="1"/>
  <c r="F60" i="1"/>
  <c r="K59" i="1" a="1"/>
  <c r="K59" i="1" s="1"/>
  <c r="J59" i="1"/>
  <c r="I59" i="1"/>
  <c r="H59" i="1"/>
  <c r="G59" i="1"/>
  <c r="F59" i="1"/>
  <c r="K58" i="1" a="1"/>
  <c r="K58" i="1" s="1"/>
  <c r="J58" i="1"/>
  <c r="I58" i="1"/>
  <c r="H58" i="1"/>
  <c r="G58" i="1"/>
  <c r="F58" i="1"/>
  <c r="K57" i="1" a="1"/>
  <c r="K57" i="1" s="1"/>
  <c r="J57" i="1"/>
  <c r="I57" i="1"/>
  <c r="H57" i="1"/>
  <c r="G57" i="1"/>
  <c r="F57" i="1"/>
  <c r="K56" i="1" a="1"/>
  <c r="K56" i="1" s="1"/>
  <c r="J56" i="1"/>
  <c r="I56" i="1"/>
  <c r="H56" i="1"/>
  <c r="G56" i="1"/>
  <c r="F56" i="1"/>
  <c r="K55" i="1" a="1"/>
  <c r="K55" i="1" s="1"/>
  <c r="J55" i="1"/>
  <c r="I55" i="1"/>
  <c r="H55" i="1"/>
  <c r="G55" i="1"/>
  <c r="F55" i="1"/>
  <c r="K54" i="1" a="1"/>
  <c r="K54" i="1" s="1"/>
  <c r="J54" i="1"/>
  <c r="I54" i="1"/>
  <c r="H54" i="1"/>
  <c r="G54" i="1"/>
  <c r="F54" i="1"/>
  <c r="K53" i="1" a="1"/>
  <c r="K53" i="1" s="1"/>
  <c r="J53" i="1"/>
  <c r="I53" i="1"/>
  <c r="H53" i="1"/>
  <c r="G53" i="1"/>
  <c r="F53" i="1"/>
  <c r="K52" i="1" a="1"/>
  <c r="K52" i="1" s="1"/>
  <c r="J52" i="1"/>
  <c r="I52" i="1"/>
  <c r="H52" i="1"/>
  <c r="G52" i="1"/>
  <c r="F52" i="1"/>
  <c r="K51" i="1" a="1"/>
  <c r="K51" i="1" s="1"/>
  <c r="J51" i="1"/>
  <c r="I51" i="1"/>
  <c r="H51" i="1"/>
  <c r="G51" i="1"/>
  <c r="F51" i="1"/>
  <c r="K50" i="1" a="1"/>
  <c r="K50" i="1" s="1"/>
  <c r="J50" i="1"/>
  <c r="I50" i="1"/>
  <c r="H50" i="1"/>
  <c r="G50" i="1"/>
  <c r="F50" i="1"/>
  <c r="K49" i="1" a="1"/>
  <c r="K49" i="1" s="1"/>
  <c r="J49" i="1"/>
  <c r="I49" i="1"/>
  <c r="H49" i="1"/>
  <c r="G49" i="1"/>
  <c r="F49" i="1"/>
  <c r="K48" i="1" a="1"/>
  <c r="K48" i="1" s="1"/>
  <c r="J48" i="1"/>
  <c r="I48" i="1"/>
  <c r="H48" i="1"/>
  <c r="G48" i="1"/>
  <c r="F48" i="1"/>
  <c r="K47" i="1" a="1"/>
  <c r="K47" i="1" s="1"/>
  <c r="J47" i="1"/>
  <c r="I47" i="1"/>
  <c r="H47" i="1"/>
  <c r="G47" i="1"/>
  <c r="F47" i="1"/>
  <c r="K46" i="1" a="1"/>
  <c r="K46" i="1" s="1"/>
  <c r="J46" i="1"/>
  <c r="I46" i="1"/>
  <c r="H46" i="1"/>
  <c r="G46" i="1"/>
  <c r="F46" i="1"/>
  <c r="K45" i="1" a="1"/>
  <c r="K45" i="1" s="1"/>
  <c r="J45" i="1"/>
  <c r="I45" i="1"/>
  <c r="H45" i="1"/>
  <c r="G45" i="1"/>
  <c r="F45" i="1"/>
  <c r="K44" i="1" a="1"/>
  <c r="K44" i="1" s="1"/>
  <c r="J44" i="1"/>
  <c r="I44" i="1"/>
  <c r="H44" i="1"/>
  <c r="G44" i="1"/>
  <c r="F44" i="1"/>
  <c r="K43" i="1" a="1"/>
  <c r="K43" i="1" s="1"/>
  <c r="J43" i="1"/>
  <c r="I43" i="1"/>
  <c r="H43" i="1"/>
  <c r="G43" i="1"/>
  <c r="F43" i="1"/>
  <c r="K42" i="1" a="1"/>
  <c r="K42" i="1" s="1"/>
  <c r="J42" i="1"/>
  <c r="I42" i="1"/>
  <c r="H42" i="1"/>
  <c r="G42" i="1"/>
  <c r="F42" i="1"/>
  <c r="K41" i="1" a="1"/>
  <c r="K41" i="1" s="1"/>
  <c r="J41" i="1"/>
  <c r="I41" i="1"/>
  <c r="H41" i="1"/>
  <c r="G41" i="1"/>
  <c r="F41" i="1"/>
  <c r="K40" i="1" a="1"/>
  <c r="K40" i="1" s="1"/>
  <c r="J40" i="1"/>
  <c r="I40" i="1"/>
  <c r="H40" i="1"/>
  <c r="G40" i="1"/>
  <c r="F40" i="1"/>
  <c r="K39" i="1" a="1"/>
  <c r="K39" i="1" s="1"/>
  <c r="J39" i="1"/>
  <c r="I39" i="1"/>
  <c r="H39" i="1"/>
  <c r="G39" i="1"/>
  <c r="F39" i="1"/>
  <c r="K38" i="1" a="1"/>
  <c r="K38" i="1" s="1"/>
  <c r="J38" i="1"/>
  <c r="I38" i="1"/>
  <c r="H38" i="1"/>
  <c r="G38" i="1"/>
  <c r="F38" i="1"/>
  <c r="K37" i="1" a="1"/>
  <c r="K37" i="1" s="1"/>
  <c r="J37" i="1"/>
  <c r="I37" i="1"/>
  <c r="H37" i="1"/>
  <c r="G37" i="1"/>
  <c r="F37" i="1"/>
  <c r="K36" i="1" a="1"/>
  <c r="K36" i="1" s="1"/>
  <c r="J36" i="1"/>
  <c r="I36" i="1"/>
  <c r="H36" i="1"/>
  <c r="G36" i="1"/>
  <c r="F36" i="1"/>
  <c r="K35" i="1" a="1"/>
  <c r="K35" i="1" s="1"/>
  <c r="J35" i="1"/>
  <c r="I35" i="1"/>
  <c r="H35" i="1"/>
  <c r="G35" i="1"/>
  <c r="F35" i="1"/>
  <c r="K34" i="1" a="1"/>
  <c r="K34" i="1" s="1"/>
  <c r="J34" i="1"/>
  <c r="I34" i="1"/>
  <c r="H34" i="1"/>
  <c r="G34" i="1"/>
  <c r="F34" i="1"/>
  <c r="K33" i="1" a="1"/>
  <c r="K33" i="1" s="1"/>
  <c r="J33" i="1"/>
  <c r="I33" i="1"/>
  <c r="H33" i="1"/>
  <c r="G33" i="1"/>
  <c r="F33" i="1"/>
  <c r="K32" i="1" a="1"/>
  <c r="K32" i="1" s="1"/>
  <c r="J32" i="1"/>
  <c r="I32" i="1"/>
  <c r="H32" i="1"/>
  <c r="G32" i="1"/>
  <c r="F32" i="1"/>
  <c r="K31" i="1" a="1"/>
  <c r="K31" i="1" s="1"/>
  <c r="J31" i="1"/>
  <c r="I31" i="1"/>
  <c r="H31" i="1"/>
  <c r="G31" i="1"/>
  <c r="F31" i="1"/>
  <c r="K30" i="1" a="1"/>
  <c r="K30" i="1" s="1"/>
  <c r="J30" i="1"/>
  <c r="I30" i="1"/>
  <c r="H30" i="1"/>
  <c r="G30" i="1"/>
  <c r="F30" i="1"/>
  <c r="K29" i="1" a="1"/>
  <c r="K29" i="1" s="1"/>
  <c r="J29" i="1"/>
  <c r="I29" i="1"/>
  <c r="H29" i="1"/>
  <c r="G29" i="1"/>
  <c r="F29" i="1"/>
  <c r="K28" i="1" a="1"/>
  <c r="K28" i="1" s="1"/>
  <c r="J28" i="1"/>
  <c r="I28" i="1"/>
  <c r="H28" i="1"/>
  <c r="G28" i="1"/>
  <c r="F28" i="1"/>
  <c r="K27" i="1" a="1"/>
  <c r="K27" i="1" s="1"/>
  <c r="J27" i="1"/>
  <c r="I27" i="1"/>
  <c r="H27" i="1"/>
  <c r="G27" i="1"/>
  <c r="F27" i="1"/>
  <c r="K26" i="1" a="1"/>
  <c r="K26" i="1" s="1"/>
  <c r="J26" i="1"/>
  <c r="I26" i="1"/>
  <c r="H26" i="1"/>
  <c r="G26" i="1"/>
  <c r="F26" i="1"/>
  <c r="K25" i="1" a="1"/>
  <c r="K25" i="1" s="1"/>
  <c r="J25" i="1"/>
  <c r="I25" i="1"/>
  <c r="H25" i="1"/>
  <c r="G25" i="1"/>
  <c r="F25" i="1"/>
  <c r="K24" i="1" a="1"/>
  <c r="K24" i="1" s="1"/>
  <c r="J24" i="1"/>
  <c r="I24" i="1"/>
  <c r="H24" i="1"/>
  <c r="G24" i="1"/>
  <c r="F24" i="1"/>
  <c r="K23" i="1" a="1"/>
  <c r="K23" i="1" s="1"/>
  <c r="J23" i="1"/>
  <c r="I23" i="1"/>
  <c r="H23" i="1"/>
  <c r="G23" i="1"/>
  <c r="F23" i="1"/>
  <c r="K22" i="1" a="1"/>
  <c r="K22" i="1" s="1"/>
  <c r="J22" i="1"/>
  <c r="I22" i="1"/>
  <c r="H22" i="1"/>
  <c r="G22" i="1"/>
  <c r="F22" i="1"/>
  <c r="K21" i="1" a="1"/>
  <c r="K21" i="1" s="1"/>
  <c r="J21" i="1"/>
  <c r="I21" i="1"/>
  <c r="H21" i="1"/>
  <c r="G21" i="1"/>
  <c r="F21" i="1"/>
  <c r="K20" i="1" a="1"/>
  <c r="K20" i="1" s="1"/>
  <c r="J20" i="1"/>
  <c r="I20" i="1"/>
  <c r="H20" i="1"/>
  <c r="G20" i="1"/>
  <c r="F20" i="1"/>
  <c r="K19" i="1" a="1"/>
  <c r="K19" i="1" s="1"/>
  <c r="J19" i="1"/>
  <c r="I19" i="1"/>
  <c r="H19" i="1"/>
  <c r="G19" i="1"/>
  <c r="F19" i="1"/>
  <c r="K18" i="1" a="1"/>
  <c r="K18" i="1" s="1"/>
  <c r="J18" i="1"/>
  <c r="I18" i="1"/>
  <c r="H18" i="1"/>
  <c r="G18" i="1"/>
  <c r="F18" i="1"/>
  <c r="K17" i="1" a="1"/>
  <c r="K17" i="1" s="1"/>
  <c r="J17" i="1"/>
  <c r="I17" i="1"/>
  <c r="H17" i="1"/>
  <c r="G17" i="1"/>
  <c r="F17" i="1"/>
  <c r="K16" i="1" a="1"/>
  <c r="K16" i="1" s="1"/>
  <c r="J16" i="1"/>
  <c r="I16" i="1"/>
  <c r="H16" i="1"/>
  <c r="G16" i="1"/>
  <c r="F16" i="1"/>
  <c r="K15" i="1" a="1"/>
  <c r="K15" i="1" s="1"/>
  <c r="J15" i="1"/>
  <c r="I15" i="1"/>
  <c r="H15" i="1"/>
  <c r="G15" i="1"/>
  <c r="F15" i="1"/>
  <c r="K14" i="1" a="1"/>
  <c r="K14" i="1" s="1"/>
  <c r="J14" i="1"/>
  <c r="I14" i="1"/>
  <c r="H14" i="1"/>
  <c r="G14" i="1"/>
  <c r="F14" i="1"/>
  <c r="K13" i="1" a="1"/>
  <c r="K13" i="1" s="1"/>
  <c r="J13" i="1"/>
  <c r="I13" i="1"/>
  <c r="H13" i="1"/>
  <c r="G13" i="1"/>
  <c r="F13" i="1"/>
  <c r="K12" i="1" a="1"/>
  <c r="K12" i="1" s="1"/>
  <c r="J12" i="1"/>
  <c r="I12" i="1"/>
  <c r="H12" i="1"/>
  <c r="G12" i="1"/>
  <c r="F12" i="1"/>
  <c r="K11" i="1" a="1"/>
  <c r="K11" i="1" s="1"/>
  <c r="J11" i="1"/>
  <c r="I11" i="1"/>
  <c r="H11" i="1"/>
  <c r="G11" i="1"/>
  <c r="F11" i="1"/>
  <c r="K10" i="1" a="1"/>
  <c r="K10" i="1" s="1"/>
  <c r="J10" i="1"/>
  <c r="I10" i="1"/>
  <c r="H10" i="1"/>
  <c r="G10" i="1"/>
  <c r="F10" i="1"/>
  <c r="K9" i="1" a="1"/>
  <c r="K9" i="1" s="1"/>
  <c r="J9" i="1"/>
  <c r="I9" i="1"/>
  <c r="H9" i="1"/>
  <c r="G9" i="1"/>
  <c r="F9" i="1"/>
  <c r="K8" i="1" a="1"/>
  <c r="K8" i="1" s="1"/>
  <c r="J8" i="1"/>
  <c r="I8" i="1"/>
  <c r="H8" i="1"/>
  <c r="G8" i="1"/>
  <c r="F8" i="1"/>
  <c r="K7" i="1" a="1"/>
  <c r="K7" i="1" s="1"/>
  <c r="J7" i="1"/>
  <c r="I7" i="1"/>
  <c r="H7" i="1"/>
  <c r="G7" i="1"/>
  <c r="F7" i="1"/>
  <c r="K6" i="1" a="1"/>
  <c r="K6" i="1" s="1"/>
  <c r="J6" i="1"/>
  <c r="I6" i="1"/>
  <c r="H6" i="1"/>
  <c r="G6" i="1"/>
  <c r="F6" i="1"/>
  <c r="K5" i="1" a="1"/>
  <c r="K5" i="1" s="1"/>
  <c r="J5" i="1"/>
  <c r="I5" i="1"/>
  <c r="H5" i="1"/>
  <c r="G5" i="1"/>
  <c r="F5" i="1"/>
  <c r="K4" i="1" a="1"/>
  <c r="K4" i="1" s="1"/>
  <c r="J4" i="1"/>
  <c r="I4" i="1"/>
  <c r="H4" i="1"/>
  <c r="G4" i="1"/>
  <c r="F4" i="1"/>
  <c r="K3" i="1" a="1"/>
  <c r="K3" i="1" s="1"/>
  <c r="J3" i="1"/>
  <c r="I3" i="1"/>
  <c r="H3" i="1"/>
  <c r="G3" i="1"/>
  <c r="F3" i="1"/>
  <c r="J2" i="1"/>
  <c r="H2" i="1"/>
  <c r="K2" i="1" a="1"/>
  <c r="K2" i="1" s="1"/>
  <c r="I2" i="1"/>
  <c r="G2" i="1"/>
  <c r="E2" i="1"/>
  <c r="F2" i="1" s="1"/>
  <c r="D2" i="1"/>
  <c r="C2" i="1"/>
  <c r="B2" i="1"/>
  <c r="A3" i="1"/>
  <c r="K2" i="17" l="1" a="1"/>
  <c r="K2" i="17" s="1"/>
  <c r="I2" i="17"/>
  <c r="G2" i="17"/>
  <c r="E2" i="17"/>
  <c r="F2" i="17" s="1"/>
  <c r="D2" i="17"/>
  <c r="B2" i="17"/>
  <c r="A3" i="17"/>
  <c r="J2" i="17"/>
  <c r="H2" i="17"/>
  <c r="C2" i="17"/>
  <c r="J2" i="16"/>
  <c r="H2" i="16"/>
  <c r="K2" i="16" a="1"/>
  <c r="K2" i="16" s="1"/>
  <c r="A3" i="16"/>
  <c r="J3" i="16"/>
  <c r="H3" i="16"/>
  <c r="E3" i="16"/>
  <c r="F3" i="16" s="1"/>
  <c r="B3" i="1"/>
  <c r="C3" i="1"/>
  <c r="D3" i="1"/>
  <c r="E3" i="1"/>
  <c r="A4" i="1"/>
  <c r="C3" i="17" l="1"/>
  <c r="E3" i="17"/>
  <c r="F3" i="17" s="1"/>
  <c r="H3" i="17"/>
  <c r="J3" i="17"/>
  <c r="B3" i="17"/>
  <c r="D3" i="17"/>
  <c r="G3" i="17"/>
  <c r="I3" i="17"/>
  <c r="K3" i="17" a="1"/>
  <c r="K3" i="17" s="1"/>
  <c r="A4" i="17"/>
  <c r="C3" i="16"/>
  <c r="A4" i="16"/>
  <c r="C4" i="16" s="1"/>
  <c r="K3" i="16" a="1"/>
  <c r="K3" i="16" s="1"/>
  <c r="I3" i="16"/>
  <c r="G3" i="16"/>
  <c r="D3" i="16"/>
  <c r="B3" i="16"/>
  <c r="E4" i="16"/>
  <c r="F4" i="16" s="1"/>
  <c r="G4" i="16"/>
  <c r="B4" i="1"/>
  <c r="C4" i="1"/>
  <c r="D4" i="1"/>
  <c r="E4" i="1"/>
  <c r="A5" i="1"/>
  <c r="C4" i="17" l="1"/>
  <c r="E4" i="17"/>
  <c r="F4" i="17" s="1"/>
  <c r="H4" i="17"/>
  <c r="I4" i="17"/>
  <c r="K4" i="17" a="1"/>
  <c r="K4" i="17" s="1"/>
  <c r="B4" i="17"/>
  <c r="D4" i="17"/>
  <c r="G4" i="17"/>
  <c r="J4" i="17"/>
  <c r="A5" i="17"/>
  <c r="I4" i="16"/>
  <c r="K4" i="16" a="1"/>
  <c r="K4" i="16" s="1"/>
  <c r="B4" i="16"/>
  <c r="D4" i="16"/>
  <c r="H4" i="16"/>
  <c r="A5" i="16"/>
  <c r="J4" i="16"/>
  <c r="C5" i="16"/>
  <c r="E5" i="16"/>
  <c r="F5" i="16" s="1"/>
  <c r="B5" i="1"/>
  <c r="C5" i="1"/>
  <c r="D5" i="1"/>
  <c r="E5" i="1"/>
  <c r="A6" i="1"/>
  <c r="C5" i="17" l="1"/>
  <c r="E5" i="17"/>
  <c r="F5" i="17" s="1"/>
  <c r="G5" i="17"/>
  <c r="I5" i="17"/>
  <c r="K5" i="17" a="1"/>
  <c r="K5" i="17" s="1"/>
  <c r="A6" i="17"/>
  <c r="B5" i="17"/>
  <c r="D5" i="17"/>
  <c r="H5" i="17"/>
  <c r="J5" i="17"/>
  <c r="G5" i="16"/>
  <c r="I5" i="16"/>
  <c r="K5" i="16" a="1"/>
  <c r="K5" i="16" s="1"/>
  <c r="A6" i="16"/>
  <c r="B5" i="16"/>
  <c r="D5" i="16"/>
  <c r="H5" i="16"/>
  <c r="J5" i="16"/>
  <c r="B6" i="1"/>
  <c r="C6" i="1"/>
  <c r="D6" i="1"/>
  <c r="E6" i="1"/>
  <c r="A7" i="1"/>
  <c r="C6" i="17" l="1"/>
  <c r="E6" i="17"/>
  <c r="F6" i="17" s="1"/>
  <c r="G6" i="17"/>
  <c r="I6" i="17"/>
  <c r="K6" i="17" a="1"/>
  <c r="K6" i="17" s="1"/>
  <c r="A7" i="17"/>
  <c r="B6" i="17"/>
  <c r="D6" i="17"/>
  <c r="H6" i="17"/>
  <c r="J6" i="17"/>
  <c r="C6" i="16"/>
  <c r="D6" i="16"/>
  <c r="G6" i="16"/>
  <c r="I6" i="16"/>
  <c r="K6" i="16" a="1"/>
  <c r="K6" i="16" s="1"/>
  <c r="A7" i="16"/>
  <c r="B6" i="16"/>
  <c r="E6" i="16"/>
  <c r="F6" i="16" s="1"/>
  <c r="H6" i="16"/>
  <c r="J6" i="16"/>
  <c r="C7" i="16"/>
  <c r="E7" i="16"/>
  <c r="F7" i="16" s="1"/>
  <c r="B7" i="1"/>
  <c r="C7" i="1"/>
  <c r="D7" i="1"/>
  <c r="E7" i="1"/>
  <c r="A8" i="1"/>
  <c r="C7" i="17" l="1"/>
  <c r="E7" i="17"/>
  <c r="F7" i="17" s="1"/>
  <c r="H7" i="17"/>
  <c r="J7" i="17"/>
  <c r="A8" i="17"/>
  <c r="B7" i="17"/>
  <c r="D7" i="17"/>
  <c r="G7" i="17"/>
  <c r="I7" i="17"/>
  <c r="K7" i="17" a="1"/>
  <c r="K7" i="17" s="1"/>
  <c r="H7" i="16"/>
  <c r="K7" i="16" a="1"/>
  <c r="K7" i="16" s="1"/>
  <c r="A8" i="16"/>
  <c r="B7" i="16"/>
  <c r="D7" i="16"/>
  <c r="G7" i="16"/>
  <c r="I7" i="16"/>
  <c r="J7" i="16"/>
  <c r="C8" i="16"/>
  <c r="E8" i="16"/>
  <c r="F8" i="16" s="1"/>
  <c r="G8" i="16"/>
  <c r="B8" i="1"/>
  <c r="C8" i="1"/>
  <c r="D8" i="1"/>
  <c r="E8" i="1"/>
  <c r="A9" i="1"/>
  <c r="C8" i="17" l="1"/>
  <c r="E8" i="17"/>
  <c r="F8" i="17" s="1"/>
  <c r="G8" i="17"/>
  <c r="I8" i="17"/>
  <c r="A9" i="17"/>
  <c r="B8" i="17"/>
  <c r="D8" i="17"/>
  <c r="H8" i="17"/>
  <c r="J8" i="17"/>
  <c r="K8" i="17" a="1"/>
  <c r="K8" i="17" s="1"/>
  <c r="I8" i="16"/>
  <c r="K8" i="16" a="1"/>
  <c r="K8" i="16" s="1"/>
  <c r="B8" i="16"/>
  <c r="D8" i="16"/>
  <c r="H8" i="16"/>
  <c r="J8" i="16"/>
  <c r="A9" i="16"/>
  <c r="C9" i="16"/>
  <c r="D9" i="16"/>
  <c r="E9" i="16"/>
  <c r="F9" i="16" s="1"/>
  <c r="B9" i="1"/>
  <c r="C9" i="1"/>
  <c r="D9" i="1"/>
  <c r="E9" i="1"/>
  <c r="A10" i="1"/>
  <c r="C9" i="17" l="1"/>
  <c r="E9" i="17"/>
  <c r="F9" i="17" s="1"/>
  <c r="G9" i="17"/>
  <c r="I9" i="17"/>
  <c r="K9" i="17" a="1"/>
  <c r="K9" i="17" s="1"/>
  <c r="B9" i="17"/>
  <c r="D9" i="17"/>
  <c r="H9" i="17"/>
  <c r="J9" i="17"/>
  <c r="A10" i="17"/>
  <c r="H9" i="16"/>
  <c r="J9" i="16"/>
  <c r="A10" i="16"/>
  <c r="B9" i="16"/>
  <c r="G9" i="16"/>
  <c r="I9" i="16"/>
  <c r="K9" i="16" a="1"/>
  <c r="K9" i="16" s="1"/>
  <c r="D10" i="16"/>
  <c r="I10" i="16"/>
  <c r="K10" i="16" a="1"/>
  <c r="K10" i="16" s="1"/>
  <c r="B10" i="1"/>
  <c r="C10" i="1"/>
  <c r="D10" i="1"/>
  <c r="E10" i="1"/>
  <c r="A11" i="1"/>
  <c r="C10" i="17" l="1"/>
  <c r="D10" i="17"/>
  <c r="H10" i="17"/>
  <c r="J10" i="17"/>
  <c r="A11" i="17"/>
  <c r="B10" i="17"/>
  <c r="E10" i="17"/>
  <c r="F10" i="17" s="1"/>
  <c r="G10" i="17"/>
  <c r="I10" i="17"/>
  <c r="K10" i="17" a="1"/>
  <c r="K10" i="17" s="1"/>
  <c r="B10" i="16"/>
  <c r="C10" i="16"/>
  <c r="E10" i="16"/>
  <c r="F10" i="16" s="1"/>
  <c r="G10" i="16"/>
  <c r="H10" i="16"/>
  <c r="J10" i="16"/>
  <c r="A11" i="16"/>
  <c r="C11" i="16"/>
  <c r="E11" i="16"/>
  <c r="F11" i="16" s="1"/>
  <c r="G11" i="16"/>
  <c r="B11" i="1"/>
  <c r="C11" i="1"/>
  <c r="D11" i="1"/>
  <c r="E11" i="1"/>
  <c r="A12" i="1"/>
  <c r="C11" i="17" l="1"/>
  <c r="E11" i="17"/>
  <c r="F11" i="17" s="1"/>
  <c r="H11" i="17"/>
  <c r="J11" i="17"/>
  <c r="A12" i="17"/>
  <c r="B11" i="17"/>
  <c r="D11" i="17"/>
  <c r="G11" i="17"/>
  <c r="I11" i="17"/>
  <c r="K11" i="17" a="1"/>
  <c r="K11" i="17" s="1"/>
  <c r="I11" i="16"/>
  <c r="K11" i="16" a="1"/>
  <c r="K11" i="16" s="1"/>
  <c r="B11" i="16"/>
  <c r="D11" i="16"/>
  <c r="H11" i="16"/>
  <c r="J11" i="16"/>
  <c r="A12" i="16"/>
  <c r="C12" i="16"/>
  <c r="E12" i="16"/>
  <c r="F12" i="16" s="1"/>
  <c r="G12" i="16"/>
  <c r="I12" i="16"/>
  <c r="K12" i="16" a="1"/>
  <c r="K12" i="16" s="1"/>
  <c r="B12" i="16"/>
  <c r="D12" i="16"/>
  <c r="H12" i="16"/>
  <c r="B12" i="1"/>
  <c r="C12" i="1"/>
  <c r="D12" i="1"/>
  <c r="E12" i="1"/>
  <c r="A13" i="1"/>
  <c r="B12" i="17" l="1"/>
  <c r="D12" i="17"/>
  <c r="H12" i="17"/>
  <c r="J12" i="17"/>
  <c r="A13" i="17"/>
  <c r="C12" i="17"/>
  <c r="E12" i="17"/>
  <c r="F12" i="17" s="1"/>
  <c r="G12" i="17"/>
  <c r="I12" i="17"/>
  <c r="K12" i="17" a="1"/>
  <c r="K12" i="17" s="1"/>
  <c r="J12" i="16"/>
  <c r="A13" i="16"/>
  <c r="C13" i="16"/>
  <c r="D13" i="16"/>
  <c r="B13" i="1"/>
  <c r="C13" i="1"/>
  <c r="D13" i="1"/>
  <c r="E13" i="1"/>
  <c r="A14" i="1"/>
  <c r="C13" i="17" l="1"/>
  <c r="E13" i="17"/>
  <c r="F13" i="17" s="1"/>
  <c r="G13" i="17"/>
  <c r="I13" i="17"/>
  <c r="A14" i="17"/>
  <c r="B13" i="17"/>
  <c r="D13" i="17"/>
  <c r="H13" i="17"/>
  <c r="J13" i="17"/>
  <c r="K13" i="17" a="1"/>
  <c r="K13" i="17" s="1"/>
  <c r="H13" i="16"/>
  <c r="I13" i="16"/>
  <c r="K13" i="16" a="1"/>
  <c r="K13" i="16" s="1"/>
  <c r="B13" i="16"/>
  <c r="E13" i="16"/>
  <c r="F13" i="16" s="1"/>
  <c r="G13" i="16"/>
  <c r="J13" i="16"/>
  <c r="A14" i="16"/>
  <c r="K14" i="16" s="1" a="1"/>
  <c r="K14" i="16" s="1"/>
  <c r="C14" i="16"/>
  <c r="E14" i="16"/>
  <c r="F14" i="16" s="1"/>
  <c r="G14" i="16"/>
  <c r="J14" i="16"/>
  <c r="A15" i="16"/>
  <c r="B14" i="16"/>
  <c r="D14" i="16"/>
  <c r="H14" i="16"/>
  <c r="I14" i="16"/>
  <c r="B14" i="1"/>
  <c r="C14" i="1"/>
  <c r="D14" i="1"/>
  <c r="E14" i="1"/>
  <c r="A15" i="1"/>
  <c r="C14" i="17" l="1"/>
  <c r="E14" i="17"/>
  <c r="F14" i="17" s="1"/>
  <c r="G14" i="17"/>
  <c r="I14" i="17"/>
  <c r="K14" i="17" a="1"/>
  <c r="K14" i="17" s="1"/>
  <c r="B14" i="17"/>
  <c r="D14" i="17"/>
  <c r="H14" i="17"/>
  <c r="J14" i="17"/>
  <c r="A15" i="17"/>
  <c r="C15" i="16"/>
  <c r="E15" i="16"/>
  <c r="F15" i="16" s="1"/>
  <c r="G15" i="16"/>
  <c r="I15" i="16"/>
  <c r="K15" i="16" a="1"/>
  <c r="K15" i="16" s="1"/>
  <c r="A16" i="16"/>
  <c r="B15" i="16"/>
  <c r="D15" i="16"/>
  <c r="H15" i="16"/>
  <c r="J15" i="16"/>
  <c r="B15" i="1"/>
  <c r="C15" i="1"/>
  <c r="D15" i="1"/>
  <c r="E15" i="1"/>
  <c r="A16" i="1"/>
  <c r="C15" i="17" l="1"/>
  <c r="G15" i="17"/>
  <c r="I15" i="17"/>
  <c r="K15" i="17" a="1"/>
  <c r="K15" i="17" s="1"/>
  <c r="A16" i="17"/>
  <c r="B15" i="17"/>
  <c r="D15" i="17"/>
  <c r="E15" i="17"/>
  <c r="F15" i="17" s="1"/>
  <c r="H15" i="17"/>
  <c r="J15" i="17"/>
  <c r="C16" i="16"/>
  <c r="G16" i="16"/>
  <c r="I16" i="16"/>
  <c r="K16" i="16" a="1"/>
  <c r="K16" i="16" s="1"/>
  <c r="B16" i="16"/>
  <c r="D16" i="16"/>
  <c r="E16" i="16"/>
  <c r="F16" i="16" s="1"/>
  <c r="H16" i="16"/>
  <c r="J16" i="16"/>
  <c r="A17" i="16"/>
  <c r="B16" i="1"/>
  <c r="C16" i="1"/>
  <c r="D16" i="1"/>
  <c r="E16" i="1"/>
  <c r="A17" i="1"/>
  <c r="C16" i="17" l="1"/>
  <c r="H16" i="17"/>
  <c r="J16" i="17"/>
  <c r="A17" i="17"/>
  <c r="B16" i="17"/>
  <c r="D16" i="17"/>
  <c r="E16" i="17"/>
  <c r="F16" i="17" s="1"/>
  <c r="G16" i="17"/>
  <c r="I16" i="17"/>
  <c r="K16" i="17" a="1"/>
  <c r="K16" i="17" s="1"/>
  <c r="C17" i="16"/>
  <c r="E17" i="16"/>
  <c r="F17" i="16" s="1"/>
  <c r="G17" i="16"/>
  <c r="H17" i="16"/>
  <c r="J17" i="16"/>
  <c r="B17" i="16"/>
  <c r="D17" i="16"/>
  <c r="I17" i="16"/>
  <c r="K17" i="16" a="1"/>
  <c r="K17" i="16" s="1"/>
  <c r="A18" i="16"/>
  <c r="B17" i="1"/>
  <c r="C17" i="1"/>
  <c r="D17" i="1"/>
  <c r="E17" i="1"/>
  <c r="A18" i="1"/>
  <c r="C17" i="17" l="1"/>
  <c r="E17" i="17"/>
  <c r="F17" i="17" s="1"/>
  <c r="H17" i="17"/>
  <c r="J17" i="17"/>
  <c r="B17" i="17"/>
  <c r="D17" i="17"/>
  <c r="G17" i="17"/>
  <c r="I17" i="17"/>
  <c r="K17" i="17" a="1"/>
  <c r="K17" i="17" s="1"/>
  <c r="A18" i="17"/>
  <c r="D18" i="16"/>
  <c r="G18" i="16"/>
  <c r="I18" i="16"/>
  <c r="K18" i="16" a="1"/>
  <c r="K18" i="16" s="1"/>
  <c r="A19" i="16"/>
  <c r="B18" i="16"/>
  <c r="C18" i="16"/>
  <c r="E18" i="16"/>
  <c r="F18" i="16" s="1"/>
  <c r="H18" i="16"/>
  <c r="J18" i="16"/>
  <c r="B18" i="1"/>
  <c r="C18" i="1"/>
  <c r="D18" i="1"/>
  <c r="E18" i="1"/>
  <c r="A19" i="1"/>
  <c r="C18" i="17" l="1"/>
  <c r="E18" i="17"/>
  <c r="F18" i="17" s="1"/>
  <c r="G18" i="17"/>
  <c r="I18" i="17"/>
  <c r="K18" i="17" a="1"/>
  <c r="K18" i="17" s="1"/>
  <c r="A19" i="17"/>
  <c r="B18" i="17"/>
  <c r="D18" i="17"/>
  <c r="H18" i="17"/>
  <c r="J18" i="17"/>
  <c r="C19" i="16"/>
  <c r="E19" i="16"/>
  <c r="F19" i="16" s="1"/>
  <c r="H19" i="16"/>
  <c r="J19" i="16"/>
  <c r="B19" i="16"/>
  <c r="D19" i="16"/>
  <c r="G19" i="16"/>
  <c r="I19" i="16"/>
  <c r="K19" i="16" a="1"/>
  <c r="K19" i="16" s="1"/>
  <c r="A20" i="16"/>
  <c r="B19" i="1"/>
  <c r="C19" i="1"/>
  <c r="D19" i="1"/>
  <c r="E19" i="1"/>
  <c r="A20" i="1"/>
  <c r="C19" i="17" l="1"/>
  <c r="H19" i="17"/>
  <c r="J19" i="17"/>
  <c r="B19" i="17"/>
  <c r="D19" i="17"/>
  <c r="E19" i="17"/>
  <c r="F19" i="17" s="1"/>
  <c r="G19" i="17"/>
  <c r="I19" i="17"/>
  <c r="K19" i="17" a="1"/>
  <c r="K19" i="17" s="1"/>
  <c r="A20" i="17"/>
  <c r="B20" i="16"/>
  <c r="D20" i="16"/>
  <c r="H20" i="16"/>
  <c r="J20" i="16"/>
  <c r="A21" i="16"/>
  <c r="C20" i="16"/>
  <c r="E20" i="16"/>
  <c r="F20" i="16" s="1"/>
  <c r="G20" i="16"/>
  <c r="I20" i="16"/>
  <c r="K20" i="16" a="1"/>
  <c r="K20" i="16" s="1"/>
  <c r="B20" i="1"/>
  <c r="C20" i="1"/>
  <c r="D20" i="1"/>
  <c r="E20" i="1"/>
  <c r="A21" i="1"/>
  <c r="C20" i="17" l="1"/>
  <c r="E20" i="17"/>
  <c r="F20" i="17" s="1"/>
  <c r="G20" i="17"/>
  <c r="I20" i="17"/>
  <c r="K20" i="17" a="1"/>
  <c r="K20" i="17" s="1"/>
  <c r="A21" i="17"/>
  <c r="B20" i="17"/>
  <c r="D20" i="17"/>
  <c r="H20" i="17"/>
  <c r="J20" i="17"/>
  <c r="C21" i="16"/>
  <c r="D21" i="16"/>
  <c r="G21" i="16"/>
  <c r="I21" i="16"/>
  <c r="K21" i="16" a="1"/>
  <c r="K21" i="16" s="1"/>
  <c r="A22" i="16"/>
  <c r="B21" i="16"/>
  <c r="E21" i="16"/>
  <c r="F21" i="16" s="1"/>
  <c r="H21" i="16"/>
  <c r="J21" i="16"/>
  <c r="B21" i="1"/>
  <c r="C21" i="1"/>
  <c r="D21" i="1"/>
  <c r="E21" i="1"/>
  <c r="A22" i="1"/>
  <c r="B21" i="17" l="1"/>
  <c r="D21" i="17"/>
  <c r="H21" i="17"/>
  <c r="J21" i="17"/>
  <c r="C21" i="17"/>
  <c r="E21" i="17"/>
  <c r="F21" i="17" s="1"/>
  <c r="G21" i="17"/>
  <c r="I21" i="17"/>
  <c r="K21" i="17" a="1"/>
  <c r="K21" i="17" s="1"/>
  <c r="A22" i="17"/>
  <c r="B22" i="16"/>
  <c r="D22" i="16"/>
  <c r="H22" i="16"/>
  <c r="J22" i="16"/>
  <c r="C22" i="16"/>
  <c r="E22" i="16"/>
  <c r="F22" i="16" s="1"/>
  <c r="G22" i="16"/>
  <c r="I22" i="16"/>
  <c r="K22" i="16" a="1"/>
  <c r="K22" i="16" s="1"/>
  <c r="A23" i="16"/>
  <c r="B22" i="1"/>
  <c r="C22" i="1"/>
  <c r="D22" i="1"/>
  <c r="E22" i="1"/>
  <c r="A23" i="1"/>
  <c r="C22" i="17" l="1"/>
  <c r="E22" i="17"/>
  <c r="F22" i="17" s="1"/>
  <c r="G22" i="17"/>
  <c r="H22" i="17"/>
  <c r="J22" i="17"/>
  <c r="B22" i="17"/>
  <c r="D22" i="17"/>
  <c r="I22" i="17"/>
  <c r="K22" i="17" a="1"/>
  <c r="K22" i="17" s="1"/>
  <c r="A23" i="17"/>
  <c r="C23" i="16"/>
  <c r="E23" i="16"/>
  <c r="F23" i="16" s="1"/>
  <c r="G23" i="16"/>
  <c r="I23" i="16"/>
  <c r="K23" i="16" a="1"/>
  <c r="K23" i="16" s="1"/>
  <c r="B23" i="16"/>
  <c r="D23" i="16"/>
  <c r="H23" i="16"/>
  <c r="J23" i="16"/>
  <c r="A24" i="16"/>
  <c r="B23" i="1"/>
  <c r="C23" i="1"/>
  <c r="D23" i="1"/>
  <c r="E23" i="1"/>
  <c r="A24" i="1"/>
  <c r="C23" i="17" l="1"/>
  <c r="E23" i="17"/>
  <c r="F23" i="17" s="1"/>
  <c r="H23" i="17"/>
  <c r="J23" i="17"/>
  <c r="A24" i="17"/>
  <c r="B23" i="17"/>
  <c r="D23" i="17"/>
  <c r="G23" i="17"/>
  <c r="I23" i="17"/>
  <c r="K23" i="17" a="1"/>
  <c r="K23" i="17" s="1"/>
  <c r="C24" i="16"/>
  <c r="E24" i="16"/>
  <c r="F24" i="16" s="1"/>
  <c r="G24" i="16"/>
  <c r="I24" i="16"/>
  <c r="J24" i="16"/>
  <c r="B24" i="16"/>
  <c r="D24" i="16"/>
  <c r="H24" i="16"/>
  <c r="K24" i="16" a="1"/>
  <c r="K24" i="16" s="1"/>
  <c r="A25" i="16"/>
  <c r="B24" i="1"/>
  <c r="C24" i="1"/>
  <c r="D24" i="1"/>
  <c r="E24" i="1"/>
  <c r="A25" i="1"/>
  <c r="B24" i="17" l="1"/>
  <c r="D24" i="17"/>
  <c r="H24" i="17"/>
  <c r="J24" i="17"/>
  <c r="C24" i="17"/>
  <c r="E24" i="17"/>
  <c r="F24" i="17" s="1"/>
  <c r="G24" i="17"/>
  <c r="I24" i="17"/>
  <c r="K24" i="17" a="1"/>
  <c r="K24" i="17" s="1"/>
  <c r="A25" i="17"/>
  <c r="C25" i="16"/>
  <c r="E25" i="16"/>
  <c r="F25" i="16" s="1"/>
  <c r="G25" i="16"/>
  <c r="J25" i="16"/>
  <c r="A26" i="16"/>
  <c r="B25" i="16"/>
  <c r="D25" i="16"/>
  <c r="H25" i="16"/>
  <c r="I25" i="16"/>
  <c r="K25" i="16" a="1"/>
  <c r="K25" i="16" s="1"/>
  <c r="B25" i="1"/>
  <c r="C25" i="1"/>
  <c r="D25" i="1"/>
  <c r="E25" i="1"/>
  <c r="A26" i="1"/>
  <c r="C25" i="17" l="1"/>
  <c r="E25" i="17"/>
  <c r="F25" i="17" s="1"/>
  <c r="G25" i="17"/>
  <c r="H25" i="17"/>
  <c r="J25" i="17"/>
  <c r="B25" i="17"/>
  <c r="D25" i="17"/>
  <c r="I25" i="17"/>
  <c r="K25" i="17" a="1"/>
  <c r="K25" i="17" s="1"/>
  <c r="A26" i="17"/>
  <c r="C26" i="16"/>
  <c r="G26" i="16"/>
  <c r="H26" i="16"/>
  <c r="J26" i="16"/>
  <c r="A27" i="16"/>
  <c r="B26" i="16"/>
  <c r="D26" i="16"/>
  <c r="E26" i="16"/>
  <c r="F26" i="16" s="1"/>
  <c r="I26" i="16"/>
  <c r="K26" i="16" a="1"/>
  <c r="K26" i="16" s="1"/>
  <c r="B26" i="1"/>
  <c r="C26" i="1"/>
  <c r="D26" i="1"/>
  <c r="E26" i="1"/>
  <c r="A27" i="1"/>
  <c r="C26" i="17" l="1"/>
  <c r="E26" i="17"/>
  <c r="F26" i="17" s="1"/>
  <c r="G26" i="17"/>
  <c r="J26" i="17"/>
  <c r="A27" i="17"/>
  <c r="B26" i="17"/>
  <c r="D26" i="17"/>
  <c r="H26" i="17"/>
  <c r="I26" i="17"/>
  <c r="K26" i="17" a="1"/>
  <c r="K26" i="17" s="1"/>
  <c r="C27" i="16"/>
  <c r="E27" i="16"/>
  <c r="F27" i="16" s="1"/>
  <c r="G27" i="16"/>
  <c r="I27" i="16"/>
  <c r="K27" i="16" a="1"/>
  <c r="K27" i="16" s="1"/>
  <c r="B27" i="16"/>
  <c r="D27" i="16"/>
  <c r="H27" i="16"/>
  <c r="J27" i="16"/>
  <c r="A28" i="16"/>
  <c r="B27" i="1"/>
  <c r="C27" i="1"/>
  <c r="D27" i="1"/>
  <c r="E27" i="1"/>
  <c r="A28" i="1"/>
  <c r="C27" i="17" l="1"/>
  <c r="E27" i="17"/>
  <c r="F27" i="17" s="1"/>
  <c r="G27" i="17"/>
  <c r="J27" i="17"/>
  <c r="B27" i="17"/>
  <c r="D27" i="17"/>
  <c r="H27" i="17"/>
  <c r="I27" i="17"/>
  <c r="K27" i="17" a="1"/>
  <c r="K27" i="17" s="1"/>
  <c r="A28" i="17"/>
  <c r="C28" i="16"/>
  <c r="D28" i="16"/>
  <c r="G28" i="16"/>
  <c r="I28" i="16"/>
  <c r="K28" i="16" a="1"/>
  <c r="K28" i="16" s="1"/>
  <c r="B28" i="16"/>
  <c r="E28" i="16"/>
  <c r="F28" i="16" s="1"/>
  <c r="H28" i="16"/>
  <c r="J28" i="16"/>
  <c r="A29" i="16"/>
  <c r="B28" i="1"/>
  <c r="C28" i="1"/>
  <c r="D28" i="1"/>
  <c r="E28" i="1"/>
  <c r="A29" i="1"/>
  <c r="C28" i="17" l="1"/>
  <c r="E28" i="17"/>
  <c r="F28" i="17" s="1"/>
  <c r="H28" i="17"/>
  <c r="J28" i="17"/>
  <c r="B28" i="17"/>
  <c r="D28" i="17"/>
  <c r="G28" i="17"/>
  <c r="I28" i="17"/>
  <c r="K28" i="17" a="1"/>
  <c r="K28" i="17" s="1"/>
  <c r="A29" i="17"/>
  <c r="B29" i="16"/>
  <c r="D29" i="16"/>
  <c r="H29" i="16"/>
  <c r="J29" i="16"/>
  <c r="C29" i="16"/>
  <c r="E29" i="16"/>
  <c r="F29" i="16" s="1"/>
  <c r="G29" i="16"/>
  <c r="I29" i="16"/>
  <c r="K29" i="16" a="1"/>
  <c r="K29" i="16" s="1"/>
  <c r="A30" i="16"/>
  <c r="B29" i="1"/>
  <c r="C29" i="1"/>
  <c r="D29" i="1"/>
  <c r="E29" i="1"/>
  <c r="A30" i="1"/>
  <c r="C29" i="17" l="1"/>
  <c r="E29" i="17"/>
  <c r="F29" i="17" s="1"/>
  <c r="H29" i="17"/>
  <c r="I29" i="17"/>
  <c r="A30" i="17"/>
  <c r="B29" i="17"/>
  <c r="D29" i="17"/>
  <c r="G29" i="17"/>
  <c r="J29" i="17"/>
  <c r="K29" i="17" a="1"/>
  <c r="K29" i="17" s="1"/>
  <c r="C30" i="16"/>
  <c r="E30" i="16"/>
  <c r="F30" i="16" s="1"/>
  <c r="G30" i="16"/>
  <c r="I30" i="16"/>
  <c r="K30" i="16" a="1"/>
  <c r="K30" i="16" s="1"/>
  <c r="A31" i="16"/>
  <c r="B30" i="16"/>
  <c r="D30" i="16"/>
  <c r="H30" i="16"/>
  <c r="J30" i="16"/>
  <c r="B30" i="1"/>
  <c r="C30" i="1"/>
  <c r="D30" i="1"/>
  <c r="E30" i="1"/>
  <c r="A31" i="1"/>
  <c r="C30" i="17" l="1"/>
  <c r="E30" i="17"/>
  <c r="F30" i="17" s="1"/>
  <c r="H30" i="17"/>
  <c r="J30" i="17"/>
  <c r="B30" i="17"/>
  <c r="D30" i="17"/>
  <c r="G30" i="17"/>
  <c r="I30" i="17"/>
  <c r="K30" i="17" a="1"/>
  <c r="K30" i="17" s="1"/>
  <c r="A31" i="17"/>
  <c r="C31" i="16"/>
  <c r="E31" i="16"/>
  <c r="F31" i="16" s="1"/>
  <c r="G31" i="16"/>
  <c r="I31" i="16"/>
  <c r="K31" i="16" a="1"/>
  <c r="K31" i="16" s="1"/>
  <c r="B31" i="16"/>
  <c r="D31" i="16"/>
  <c r="H31" i="16"/>
  <c r="J31" i="16"/>
  <c r="A32" i="16"/>
  <c r="B31" i="1"/>
  <c r="C31" i="1"/>
  <c r="D31" i="1"/>
  <c r="E31" i="1"/>
  <c r="A32" i="1"/>
  <c r="C31" i="17" l="1"/>
  <c r="E31" i="17"/>
  <c r="F31" i="17" s="1"/>
  <c r="G31" i="17"/>
  <c r="I31" i="17"/>
  <c r="K31" i="17" a="1"/>
  <c r="K31" i="17" s="1"/>
  <c r="B31" i="17"/>
  <c r="D31" i="17"/>
  <c r="H31" i="17"/>
  <c r="J31" i="17"/>
  <c r="A32" i="17"/>
  <c r="C32" i="16"/>
  <c r="I32" i="16"/>
  <c r="K32" i="16" a="1"/>
  <c r="K32" i="16" s="1"/>
  <c r="B32" i="16"/>
  <c r="D32" i="16"/>
  <c r="E32" i="16"/>
  <c r="F32" i="16" s="1"/>
  <c r="G32" i="16"/>
  <c r="H32" i="16"/>
  <c r="J32" i="16"/>
  <c r="A33" i="16"/>
  <c r="B32" i="1"/>
  <c r="C32" i="1"/>
  <c r="D32" i="1"/>
  <c r="E32" i="1"/>
  <c r="A33" i="1"/>
  <c r="C32" i="17" l="1"/>
  <c r="I32" i="17"/>
  <c r="K32" i="17" a="1"/>
  <c r="K32" i="17" s="1"/>
  <c r="B32" i="17"/>
  <c r="D32" i="17"/>
  <c r="E32" i="17"/>
  <c r="F32" i="17" s="1"/>
  <c r="G32" i="17"/>
  <c r="H32" i="17"/>
  <c r="J32" i="17"/>
  <c r="A33" i="17"/>
  <c r="C33" i="16"/>
  <c r="E33" i="16"/>
  <c r="F33" i="16" s="1"/>
  <c r="G33" i="16"/>
  <c r="H33" i="16"/>
  <c r="K33" i="16" a="1"/>
  <c r="K33" i="16" s="1"/>
  <c r="B33" i="16"/>
  <c r="D33" i="16"/>
  <c r="I33" i="16"/>
  <c r="J33" i="16"/>
  <c r="A34" i="16"/>
  <c r="B33" i="1"/>
  <c r="C33" i="1"/>
  <c r="D33" i="1"/>
  <c r="E33" i="1"/>
  <c r="A34" i="1"/>
  <c r="B33" i="17" l="1"/>
  <c r="D33" i="17"/>
  <c r="H33" i="17"/>
  <c r="I33" i="17"/>
  <c r="K33" i="17" a="1"/>
  <c r="K33" i="17" s="1"/>
  <c r="C33" i="17"/>
  <c r="E33" i="17"/>
  <c r="F33" i="17" s="1"/>
  <c r="G33" i="17"/>
  <c r="J33" i="17"/>
  <c r="A34" i="17"/>
  <c r="C34" i="16"/>
  <c r="H34" i="16"/>
  <c r="J34" i="16"/>
  <c r="B34" i="16"/>
  <c r="D34" i="16"/>
  <c r="E34" i="16"/>
  <c r="F34" i="16" s="1"/>
  <c r="G34" i="16"/>
  <c r="I34" i="16"/>
  <c r="K34" i="16" a="1"/>
  <c r="K34" i="16" s="1"/>
  <c r="A35" i="16"/>
  <c r="B34" i="1"/>
  <c r="C34" i="1"/>
  <c r="D34" i="1"/>
  <c r="E34" i="1"/>
  <c r="A35" i="1"/>
  <c r="C34" i="17" l="1"/>
  <c r="E34" i="17"/>
  <c r="F34" i="17" s="1"/>
  <c r="G34" i="17"/>
  <c r="J34" i="17"/>
  <c r="B34" i="17"/>
  <c r="D34" i="17"/>
  <c r="H34" i="17"/>
  <c r="I34" i="17"/>
  <c r="K34" i="17" a="1"/>
  <c r="K34" i="17" s="1"/>
  <c r="A35" i="17"/>
  <c r="C35" i="16"/>
  <c r="E35" i="16"/>
  <c r="F35" i="16" s="1"/>
  <c r="G35" i="16"/>
  <c r="H35" i="16"/>
  <c r="J35" i="16"/>
  <c r="B35" i="16"/>
  <c r="D35" i="16"/>
  <c r="I35" i="16"/>
  <c r="K35" i="16" a="1"/>
  <c r="K35" i="16" s="1"/>
  <c r="A36" i="16"/>
  <c r="B35" i="1"/>
  <c r="C35" i="1"/>
  <c r="D35" i="1"/>
  <c r="E35" i="1"/>
  <c r="A36" i="1"/>
  <c r="H35" i="17" l="1"/>
  <c r="J35" i="17"/>
  <c r="A36" i="17"/>
  <c r="B35" i="17"/>
  <c r="C35" i="17"/>
  <c r="D35" i="17"/>
  <c r="E35" i="17"/>
  <c r="F35" i="17" s="1"/>
  <c r="G35" i="17"/>
  <c r="I35" i="17"/>
  <c r="K35" i="17" a="1"/>
  <c r="K35" i="17" s="1"/>
  <c r="D36" i="16"/>
  <c r="H36" i="16"/>
  <c r="J36" i="16"/>
  <c r="B36" i="16"/>
  <c r="C36" i="16"/>
  <c r="E36" i="16"/>
  <c r="F36" i="16" s="1"/>
  <c r="G36" i="16"/>
  <c r="I36" i="16"/>
  <c r="K36" i="16" a="1"/>
  <c r="K36" i="16" s="1"/>
  <c r="A37" i="16"/>
  <c r="B36" i="1"/>
  <c r="C36" i="1"/>
  <c r="D36" i="1"/>
  <c r="E36" i="1"/>
  <c r="A37" i="1"/>
  <c r="C36" i="17" l="1"/>
  <c r="E36" i="17"/>
  <c r="F36" i="17" s="1"/>
  <c r="G36" i="17"/>
  <c r="H36" i="17"/>
  <c r="J36" i="17"/>
  <c r="A37" i="17"/>
  <c r="B36" i="17"/>
  <c r="D36" i="17"/>
  <c r="I36" i="17"/>
  <c r="K36" i="17" a="1"/>
  <c r="K36" i="17" s="1"/>
  <c r="C37" i="16"/>
  <c r="E37" i="16"/>
  <c r="F37" i="16" s="1"/>
  <c r="G37" i="16"/>
  <c r="I37" i="16"/>
  <c r="J37" i="16"/>
  <c r="A38" i="16"/>
  <c r="B37" i="16"/>
  <c r="D37" i="16"/>
  <c r="H37" i="16"/>
  <c r="K37" i="16" a="1"/>
  <c r="K37" i="16" s="1"/>
  <c r="B37" i="1"/>
  <c r="C37" i="1"/>
  <c r="D37" i="1"/>
  <c r="E37" i="1"/>
  <c r="A38" i="1"/>
  <c r="D37" i="17" l="1"/>
  <c r="H37" i="17"/>
  <c r="J37" i="17"/>
  <c r="A38" i="17"/>
  <c r="B37" i="17"/>
  <c r="C37" i="17"/>
  <c r="E37" i="17"/>
  <c r="F37" i="17" s="1"/>
  <c r="G37" i="17"/>
  <c r="I37" i="17"/>
  <c r="K37" i="17" a="1"/>
  <c r="K37" i="17" s="1"/>
  <c r="B38" i="16"/>
  <c r="D38" i="16"/>
  <c r="H38" i="16"/>
  <c r="I38" i="16"/>
  <c r="K38" i="16" a="1"/>
  <c r="K38" i="16" s="1"/>
  <c r="A39" i="16"/>
  <c r="C38" i="16"/>
  <c r="E38" i="16"/>
  <c r="F38" i="16" s="1"/>
  <c r="G38" i="16"/>
  <c r="J38" i="16"/>
  <c r="B38" i="1"/>
  <c r="C38" i="1"/>
  <c r="D38" i="1"/>
  <c r="E38" i="1"/>
  <c r="A39" i="1"/>
  <c r="C38" i="17" l="1"/>
  <c r="E38" i="17"/>
  <c r="F38" i="17" s="1"/>
  <c r="G38" i="17"/>
  <c r="I38" i="17"/>
  <c r="K38" i="17" a="1"/>
  <c r="K38" i="17" s="1"/>
  <c r="B38" i="17"/>
  <c r="D38" i="17"/>
  <c r="H38" i="17"/>
  <c r="J38" i="17"/>
  <c r="A39" i="17"/>
  <c r="B39" i="16"/>
  <c r="D39" i="16"/>
  <c r="E39" i="16"/>
  <c r="F39" i="16" s="1"/>
  <c r="G39" i="16"/>
  <c r="I39" i="16"/>
  <c r="J39" i="16"/>
  <c r="C39" i="16"/>
  <c r="H39" i="16"/>
  <c r="K39" i="16" a="1"/>
  <c r="K39" i="16" s="1"/>
  <c r="A40" i="16"/>
  <c r="B39" i="1"/>
  <c r="C39" i="1"/>
  <c r="D39" i="1"/>
  <c r="E39" i="1"/>
  <c r="A40" i="1"/>
  <c r="C39" i="17" l="1"/>
  <c r="E39" i="17"/>
  <c r="F39" i="17" s="1"/>
  <c r="G39" i="17"/>
  <c r="I39" i="17"/>
  <c r="J39" i="17"/>
  <c r="B39" i="17"/>
  <c r="D39" i="17"/>
  <c r="H39" i="17"/>
  <c r="K39" i="17" a="1"/>
  <c r="K39" i="17" s="1"/>
  <c r="A40" i="17"/>
  <c r="C40" i="16"/>
  <c r="E40" i="16"/>
  <c r="F40" i="16" s="1"/>
  <c r="H40" i="16"/>
  <c r="J40" i="16"/>
  <c r="B40" i="16"/>
  <c r="D40" i="16"/>
  <c r="G40" i="16"/>
  <c r="I40" i="16"/>
  <c r="K40" i="16" a="1"/>
  <c r="K40" i="16" s="1"/>
  <c r="A41" i="16"/>
  <c r="B40" i="1"/>
  <c r="C40" i="1"/>
  <c r="D40" i="1"/>
  <c r="E40" i="1"/>
  <c r="A41" i="1"/>
  <c r="C40" i="17" l="1"/>
  <c r="E40" i="17"/>
  <c r="F40" i="17" s="1"/>
  <c r="G40" i="17"/>
  <c r="I40" i="17"/>
  <c r="K40" i="17" a="1"/>
  <c r="K40" i="17" s="1"/>
  <c r="A41" i="17"/>
  <c r="B40" i="17"/>
  <c r="D40" i="17"/>
  <c r="H40" i="17"/>
  <c r="J40" i="17"/>
  <c r="B41" i="16"/>
  <c r="E41" i="16"/>
  <c r="F41" i="16" s="1"/>
  <c r="G41" i="16"/>
  <c r="I41" i="16"/>
  <c r="K41" i="16" a="1"/>
  <c r="K41" i="16" s="1"/>
  <c r="A42" i="16"/>
  <c r="C41" i="16"/>
  <c r="D41" i="16"/>
  <c r="H41" i="16"/>
  <c r="J41" i="16"/>
  <c r="B41" i="1"/>
  <c r="C41" i="1"/>
  <c r="D41" i="1"/>
  <c r="E41" i="1"/>
  <c r="A42" i="1"/>
  <c r="C41" i="17" l="1"/>
  <c r="D41" i="17"/>
  <c r="H41" i="17"/>
  <c r="J41" i="17"/>
  <c r="A42" i="17"/>
  <c r="B41" i="17"/>
  <c r="E41" i="17"/>
  <c r="F41" i="17" s="1"/>
  <c r="G41" i="17"/>
  <c r="I41" i="17"/>
  <c r="K41" i="17" a="1"/>
  <c r="K41" i="17" s="1"/>
  <c r="C42" i="16"/>
  <c r="E42" i="16"/>
  <c r="F42" i="16" s="1"/>
  <c r="G42" i="16"/>
  <c r="I42" i="16"/>
  <c r="K42" i="16" a="1"/>
  <c r="K42" i="16" s="1"/>
  <c r="B42" i="16"/>
  <c r="D42" i="16"/>
  <c r="H42" i="16"/>
  <c r="J42" i="16"/>
  <c r="A43" i="16"/>
  <c r="B42" i="1"/>
  <c r="C42" i="1"/>
  <c r="D42" i="1"/>
  <c r="E42" i="1"/>
  <c r="A43" i="1"/>
  <c r="C42" i="17" l="1"/>
  <c r="E42" i="17"/>
  <c r="F42" i="17" s="1"/>
  <c r="G42" i="17"/>
  <c r="I42" i="17"/>
  <c r="K42" i="17" a="1"/>
  <c r="K42" i="17" s="1"/>
  <c r="A43" i="17"/>
  <c r="B42" i="17"/>
  <c r="D42" i="17"/>
  <c r="H42" i="17"/>
  <c r="J42" i="17"/>
  <c r="C43" i="16"/>
  <c r="I43" i="16"/>
  <c r="K43" i="16" a="1"/>
  <c r="K43" i="16" s="1"/>
  <c r="A44" i="16"/>
  <c r="B43" i="16"/>
  <c r="D43" i="16"/>
  <c r="E43" i="16"/>
  <c r="F43" i="16" s="1"/>
  <c r="G43" i="16"/>
  <c r="H43" i="16"/>
  <c r="J43" i="16"/>
  <c r="B43" i="1"/>
  <c r="C43" i="1"/>
  <c r="D43" i="1"/>
  <c r="E43" i="1"/>
  <c r="A44" i="1"/>
  <c r="C43" i="17" l="1"/>
  <c r="D43" i="17"/>
  <c r="H43" i="17"/>
  <c r="J43" i="17"/>
  <c r="A44" i="17"/>
  <c r="B43" i="17"/>
  <c r="E43" i="17"/>
  <c r="F43" i="17" s="1"/>
  <c r="G43" i="17"/>
  <c r="I43" i="17"/>
  <c r="K43" i="17" a="1"/>
  <c r="K43" i="17" s="1"/>
  <c r="C44" i="16"/>
  <c r="E44" i="16"/>
  <c r="F44" i="16" s="1"/>
  <c r="G44" i="16"/>
  <c r="I44" i="16"/>
  <c r="J44" i="16"/>
  <c r="A45" i="16"/>
  <c r="B44" i="16"/>
  <c r="D44" i="16"/>
  <c r="H44" i="16"/>
  <c r="K44" i="16" a="1"/>
  <c r="K44" i="16" s="1"/>
  <c r="B44" i="1"/>
  <c r="C44" i="1"/>
  <c r="D44" i="1"/>
  <c r="E44" i="1"/>
  <c r="A45" i="1"/>
  <c r="C44" i="17" l="1"/>
  <c r="D44" i="17"/>
  <c r="H44" i="17"/>
  <c r="J44" i="17"/>
  <c r="B44" i="17"/>
  <c r="E44" i="17"/>
  <c r="F44" i="17" s="1"/>
  <c r="G44" i="17"/>
  <c r="I44" i="17"/>
  <c r="K44" i="17" a="1"/>
  <c r="K44" i="17" s="1"/>
  <c r="A45" i="17"/>
  <c r="C45" i="16"/>
  <c r="H45" i="16"/>
  <c r="K45" i="16" a="1"/>
  <c r="K45" i="16" s="1"/>
  <c r="B45" i="16"/>
  <c r="D45" i="16"/>
  <c r="E45" i="16"/>
  <c r="F45" i="16" s="1"/>
  <c r="G45" i="16"/>
  <c r="I45" i="16"/>
  <c r="J45" i="16"/>
  <c r="A46" i="16"/>
  <c r="B45" i="1"/>
  <c r="C45" i="1"/>
  <c r="D45" i="1"/>
  <c r="E45" i="1"/>
  <c r="A46" i="1"/>
  <c r="C45" i="17" l="1"/>
  <c r="E45" i="17"/>
  <c r="F45" i="17" s="1"/>
  <c r="G45" i="17"/>
  <c r="I45" i="17"/>
  <c r="K45" i="17" a="1"/>
  <c r="K45" i="17" s="1"/>
  <c r="B45" i="17"/>
  <c r="D45" i="17"/>
  <c r="H45" i="17"/>
  <c r="J45" i="17"/>
  <c r="A46" i="17"/>
  <c r="C46" i="16"/>
  <c r="D46" i="16"/>
  <c r="I46" i="16"/>
  <c r="K46" i="16" a="1"/>
  <c r="K46" i="16" s="1"/>
  <c r="B46" i="16"/>
  <c r="E46" i="16"/>
  <c r="F46" i="16" s="1"/>
  <c r="G46" i="16"/>
  <c r="H46" i="16"/>
  <c r="J46" i="16"/>
  <c r="A47" i="16"/>
  <c r="B46" i="1"/>
  <c r="C46" i="1"/>
  <c r="D46" i="1"/>
  <c r="E46" i="1"/>
  <c r="A47" i="1"/>
  <c r="C46" i="17" l="1"/>
  <c r="E46" i="17"/>
  <c r="F46" i="17" s="1"/>
  <c r="G46" i="17"/>
  <c r="I46" i="17"/>
  <c r="K46" i="17" a="1"/>
  <c r="K46" i="17" s="1"/>
  <c r="A47" i="17"/>
  <c r="B46" i="17"/>
  <c r="D46" i="17"/>
  <c r="H46" i="17"/>
  <c r="J46" i="17"/>
  <c r="C47" i="16"/>
  <c r="H47" i="16"/>
  <c r="J47" i="16"/>
  <c r="A48" i="16"/>
  <c r="B47" i="16"/>
  <c r="D47" i="16"/>
  <c r="E47" i="16"/>
  <c r="F47" i="16" s="1"/>
  <c r="G47" i="16"/>
  <c r="I47" i="16"/>
  <c r="K47" i="16" a="1"/>
  <c r="K47" i="16" s="1"/>
  <c r="B47" i="1"/>
  <c r="C47" i="1"/>
  <c r="D47" i="1"/>
  <c r="E47" i="1"/>
  <c r="A48" i="1"/>
  <c r="C47" i="17" l="1"/>
  <c r="E47" i="17"/>
  <c r="F47" i="17" s="1"/>
  <c r="G47" i="17"/>
  <c r="I47" i="17"/>
  <c r="K47" i="17" a="1"/>
  <c r="K47" i="17" s="1"/>
  <c r="A48" i="17"/>
  <c r="B47" i="17"/>
  <c r="D47" i="17"/>
  <c r="H47" i="17"/>
  <c r="J47" i="17"/>
  <c r="C48" i="16"/>
  <c r="H48" i="16"/>
  <c r="J48" i="16"/>
  <c r="A49" i="16"/>
  <c r="B48" i="16"/>
  <c r="D48" i="16"/>
  <c r="E48" i="16"/>
  <c r="F48" i="16" s="1"/>
  <c r="G48" i="16"/>
  <c r="I48" i="16"/>
  <c r="K48" i="16" a="1"/>
  <c r="K48" i="16" s="1"/>
  <c r="B48" i="1"/>
  <c r="C48" i="1"/>
  <c r="D48" i="1"/>
  <c r="E48" i="1"/>
  <c r="A49" i="1"/>
  <c r="C48" i="17" l="1"/>
  <c r="E48" i="17"/>
  <c r="F48" i="17" s="1"/>
  <c r="G48" i="17"/>
  <c r="J48" i="17"/>
  <c r="A49" i="17"/>
  <c r="B48" i="17"/>
  <c r="D48" i="17"/>
  <c r="H48" i="17"/>
  <c r="I48" i="17"/>
  <c r="K48" i="17" a="1"/>
  <c r="K48" i="17" s="1"/>
  <c r="C49" i="16"/>
  <c r="H49" i="16"/>
  <c r="J49" i="16"/>
  <c r="B49" i="16"/>
  <c r="D49" i="16"/>
  <c r="E49" i="16"/>
  <c r="F49" i="16" s="1"/>
  <c r="G49" i="16"/>
  <c r="I49" i="16"/>
  <c r="K49" i="16" a="1"/>
  <c r="K49" i="16" s="1"/>
  <c r="A50" i="16"/>
  <c r="B49" i="1"/>
  <c r="C49" i="1"/>
  <c r="D49" i="1"/>
  <c r="E49" i="1"/>
  <c r="A50" i="1"/>
  <c r="C49" i="17" l="1"/>
  <c r="E49" i="17"/>
  <c r="F49" i="17" s="1"/>
  <c r="H49" i="17"/>
  <c r="J49" i="17"/>
  <c r="A50" i="17"/>
  <c r="B49" i="17"/>
  <c r="D49" i="17"/>
  <c r="G49" i="17"/>
  <c r="I49" i="17"/>
  <c r="K49" i="17" a="1"/>
  <c r="K49" i="17" s="1"/>
  <c r="C50" i="16"/>
  <c r="E50" i="16"/>
  <c r="F50" i="16" s="1"/>
  <c r="G50" i="16"/>
  <c r="I50" i="16"/>
  <c r="K50" i="16" a="1"/>
  <c r="K50" i="16" s="1"/>
  <c r="A51" i="16"/>
  <c r="B50" i="16"/>
  <c r="D50" i="16"/>
  <c r="H50" i="16"/>
  <c r="J50" i="16"/>
  <c r="B50" i="1"/>
  <c r="C50" i="1"/>
  <c r="D50" i="1"/>
  <c r="E50" i="1"/>
  <c r="A51" i="1"/>
  <c r="C50" i="17" l="1"/>
  <c r="E50" i="17"/>
  <c r="F50" i="17" s="1"/>
  <c r="H50" i="17"/>
  <c r="J50" i="17"/>
  <c r="B50" i="17"/>
  <c r="D50" i="17"/>
  <c r="G50" i="17"/>
  <c r="I50" i="17"/>
  <c r="K50" i="17" a="1"/>
  <c r="K50" i="17" s="1"/>
  <c r="A51" i="17"/>
  <c r="C51" i="16"/>
  <c r="E51" i="16"/>
  <c r="F51" i="16" s="1"/>
  <c r="G51" i="16"/>
  <c r="H51" i="16"/>
  <c r="J51" i="16"/>
  <c r="A52" i="16"/>
  <c r="B51" i="16"/>
  <c r="D51" i="16"/>
  <c r="I51" i="16"/>
  <c r="K51" i="16" a="1"/>
  <c r="K51" i="16" s="1"/>
  <c r="B51" i="1"/>
  <c r="C51" i="1"/>
  <c r="D51" i="1"/>
  <c r="E51" i="1"/>
  <c r="A52" i="1"/>
  <c r="C51" i="17" l="1"/>
  <c r="E51" i="17"/>
  <c r="F51" i="17" s="1"/>
  <c r="G51" i="17"/>
  <c r="I51" i="17"/>
  <c r="K51" i="17" a="1"/>
  <c r="K51" i="17" s="1"/>
  <c r="B51" i="17"/>
  <c r="D51" i="17"/>
  <c r="H51" i="17"/>
  <c r="J51" i="17"/>
  <c r="A52" i="17"/>
  <c r="C52" i="16"/>
  <c r="E52" i="16"/>
  <c r="F52" i="16" s="1"/>
  <c r="G52" i="16"/>
  <c r="I52" i="16"/>
  <c r="K52" i="16" a="1"/>
  <c r="K52" i="16" s="1"/>
  <c r="A53" i="16"/>
  <c r="B52" i="16"/>
  <c r="D52" i="16"/>
  <c r="H52" i="16"/>
  <c r="J52" i="16"/>
  <c r="B52" i="1"/>
  <c r="C52" i="1"/>
  <c r="D52" i="1"/>
  <c r="E52" i="1"/>
  <c r="A53" i="1"/>
  <c r="C52" i="17" l="1"/>
  <c r="E52" i="17"/>
  <c r="F52" i="17" s="1"/>
  <c r="G52" i="17"/>
  <c r="I52" i="17"/>
  <c r="K52" i="17" a="1"/>
  <c r="K52" i="17" s="1"/>
  <c r="A53" i="17"/>
  <c r="B52" i="17"/>
  <c r="D52" i="17"/>
  <c r="H52" i="17"/>
  <c r="J52" i="17"/>
  <c r="C53" i="16"/>
  <c r="E53" i="16"/>
  <c r="F53" i="16" s="1"/>
  <c r="G53" i="16"/>
  <c r="H53" i="16"/>
  <c r="J53" i="16"/>
  <c r="B53" i="16"/>
  <c r="D53" i="16"/>
  <c r="I53" i="16"/>
  <c r="K53" i="16" a="1"/>
  <c r="K53" i="16" s="1"/>
  <c r="A54" i="16"/>
  <c r="B53" i="1"/>
  <c r="C53" i="1"/>
  <c r="D53" i="1"/>
  <c r="E53" i="1"/>
  <c r="A54" i="1"/>
  <c r="C53" i="17" l="1"/>
  <c r="E53" i="17"/>
  <c r="F53" i="17" s="1"/>
  <c r="G53" i="17"/>
  <c r="H53" i="17"/>
  <c r="J53" i="17"/>
  <c r="A54" i="17"/>
  <c r="B53" i="17"/>
  <c r="D53" i="17"/>
  <c r="I53" i="17"/>
  <c r="K53" i="17" a="1"/>
  <c r="K53" i="17" s="1"/>
  <c r="D54" i="16"/>
  <c r="H54" i="16"/>
  <c r="J54" i="16"/>
  <c r="B54" i="16"/>
  <c r="C54" i="16"/>
  <c r="E54" i="16"/>
  <c r="F54" i="16" s="1"/>
  <c r="G54" i="16"/>
  <c r="I54" i="16"/>
  <c r="K54" i="16" a="1"/>
  <c r="K54" i="16" s="1"/>
  <c r="A55" i="16"/>
  <c r="B54" i="1"/>
  <c r="C54" i="1"/>
  <c r="D54" i="1"/>
  <c r="E54" i="1"/>
  <c r="A55" i="1"/>
  <c r="D54" i="17" l="1"/>
  <c r="G54" i="17"/>
  <c r="H54" i="17"/>
  <c r="J54" i="17"/>
  <c r="A55" i="17"/>
  <c r="B54" i="17"/>
  <c r="C54" i="17"/>
  <c r="E54" i="17"/>
  <c r="F54" i="17" s="1"/>
  <c r="I54" i="17"/>
  <c r="K54" i="17" a="1"/>
  <c r="K54" i="17" s="1"/>
  <c r="C55" i="16"/>
  <c r="E55" i="16"/>
  <c r="F55" i="16" s="1"/>
  <c r="I55" i="16"/>
  <c r="K55" i="16" a="1"/>
  <c r="K55" i="16" s="1"/>
  <c r="A56" i="16"/>
  <c r="B55" i="16"/>
  <c r="D55" i="16"/>
  <c r="G55" i="16"/>
  <c r="H55" i="16"/>
  <c r="J55" i="16"/>
  <c r="B55" i="1"/>
  <c r="C55" i="1"/>
  <c r="D55" i="1"/>
  <c r="E55" i="1"/>
  <c r="A56" i="1"/>
  <c r="C55" i="17" l="1"/>
  <c r="H55" i="17"/>
  <c r="J55" i="17"/>
  <c r="B55" i="17"/>
  <c r="D55" i="17"/>
  <c r="E55" i="17"/>
  <c r="F55" i="17" s="1"/>
  <c r="G55" i="17"/>
  <c r="I55" i="17"/>
  <c r="K55" i="17" a="1"/>
  <c r="K55" i="17" s="1"/>
  <c r="A56" i="17"/>
  <c r="B56" i="16"/>
  <c r="D56" i="16"/>
  <c r="G56" i="16"/>
  <c r="H56" i="16"/>
  <c r="I56" i="16"/>
  <c r="K56" i="16" a="1"/>
  <c r="K56" i="16" s="1"/>
  <c r="C56" i="16"/>
  <c r="E56" i="16"/>
  <c r="F56" i="16" s="1"/>
  <c r="J56" i="16"/>
  <c r="A57" i="16"/>
  <c r="B56" i="1"/>
  <c r="C56" i="1"/>
  <c r="D56" i="1"/>
  <c r="E56" i="1"/>
  <c r="A57" i="1"/>
  <c r="C56" i="17" l="1"/>
  <c r="E56" i="17"/>
  <c r="F56" i="17" s="1"/>
  <c r="G56" i="17"/>
  <c r="I56" i="17"/>
  <c r="K56" i="17" a="1"/>
  <c r="K56" i="17" s="1"/>
  <c r="A57" i="17"/>
  <c r="B56" i="17"/>
  <c r="D56" i="17"/>
  <c r="H56" i="17"/>
  <c r="J56" i="17"/>
  <c r="C57" i="16"/>
  <c r="E57" i="16"/>
  <c r="F57" i="16" s="1"/>
  <c r="H57" i="16"/>
  <c r="J57" i="16"/>
  <c r="A58" i="16"/>
  <c r="B57" i="16"/>
  <c r="D57" i="16"/>
  <c r="G57" i="16"/>
  <c r="I57" i="16"/>
  <c r="K57" i="16" a="1"/>
  <c r="K57" i="16" s="1"/>
  <c r="B57" i="1"/>
  <c r="C57" i="1"/>
  <c r="D57" i="1"/>
  <c r="E57" i="1"/>
  <c r="A58" i="1"/>
  <c r="D57" i="17" l="1"/>
  <c r="H57" i="17"/>
  <c r="J57" i="17"/>
  <c r="A58" i="17"/>
  <c r="B57" i="17"/>
  <c r="C57" i="17"/>
  <c r="E57" i="17"/>
  <c r="F57" i="17" s="1"/>
  <c r="G57" i="17"/>
  <c r="I57" i="17"/>
  <c r="K57" i="17" a="1"/>
  <c r="K57" i="17" s="1"/>
  <c r="C58" i="16"/>
  <c r="E58" i="16"/>
  <c r="F58" i="16" s="1"/>
  <c r="H58" i="16"/>
  <c r="J58" i="16"/>
  <c r="B58" i="16"/>
  <c r="D58" i="16"/>
  <c r="G58" i="16"/>
  <c r="I58" i="16"/>
  <c r="K58" i="16" a="1"/>
  <c r="K58" i="16" s="1"/>
  <c r="A59" i="16"/>
  <c r="B58" i="1"/>
  <c r="C58" i="1"/>
  <c r="D58" i="1"/>
  <c r="E58" i="1"/>
  <c r="A59" i="1"/>
  <c r="C58" i="17" l="1"/>
  <c r="E58" i="17"/>
  <c r="F58" i="17" s="1"/>
  <c r="G58" i="17"/>
  <c r="I58" i="17"/>
  <c r="K58" i="17" a="1"/>
  <c r="K58" i="17" s="1"/>
  <c r="B58" i="17"/>
  <c r="D58" i="17"/>
  <c r="H58" i="17"/>
  <c r="J58" i="17"/>
  <c r="A59" i="17"/>
  <c r="C59" i="16"/>
  <c r="E59" i="16"/>
  <c r="F59" i="16" s="1"/>
  <c r="G59" i="16"/>
  <c r="I59" i="16"/>
  <c r="K59" i="16" a="1"/>
  <c r="K59" i="16" s="1"/>
  <c r="A60" i="16"/>
  <c r="B59" i="16"/>
  <c r="D59" i="16"/>
  <c r="H59" i="16"/>
  <c r="J59" i="16"/>
  <c r="B59" i="1"/>
  <c r="C59" i="1"/>
  <c r="D59" i="1"/>
  <c r="E59" i="1"/>
  <c r="A60" i="1"/>
  <c r="D59" i="17" l="1"/>
  <c r="H59" i="17"/>
  <c r="J59" i="17"/>
  <c r="K59" i="17" a="1"/>
  <c r="K59" i="17" s="1"/>
  <c r="B59" i="17"/>
  <c r="C59" i="17"/>
  <c r="E59" i="17"/>
  <c r="F59" i="17" s="1"/>
  <c r="G59" i="17"/>
  <c r="I59" i="17"/>
  <c r="A60" i="17"/>
  <c r="C60" i="16"/>
  <c r="E60" i="16"/>
  <c r="F60" i="16" s="1"/>
  <c r="H60" i="16"/>
  <c r="J60" i="16"/>
  <c r="A61" i="16"/>
  <c r="B60" i="16"/>
  <c r="D60" i="16"/>
  <c r="G60" i="16"/>
  <c r="I60" i="16"/>
  <c r="K60" i="16" a="1"/>
  <c r="K60" i="16" s="1"/>
  <c r="B60" i="1"/>
  <c r="C60" i="1"/>
  <c r="D60" i="1"/>
  <c r="E60" i="1"/>
  <c r="A61" i="1"/>
  <c r="C60" i="17" l="1"/>
  <c r="H60" i="17"/>
  <c r="J60" i="17"/>
  <c r="B60" i="17"/>
  <c r="D60" i="17"/>
  <c r="E60" i="17"/>
  <c r="F60" i="17" s="1"/>
  <c r="G60" i="17"/>
  <c r="I60" i="17"/>
  <c r="K60" i="17" a="1"/>
  <c r="K60" i="17" s="1"/>
  <c r="A61" i="17"/>
  <c r="C61" i="16"/>
  <c r="E61" i="16"/>
  <c r="F61" i="16" s="1"/>
  <c r="G61" i="16"/>
  <c r="H61" i="16"/>
  <c r="J61" i="16"/>
  <c r="B61" i="16"/>
  <c r="D61" i="16"/>
  <c r="I61" i="16"/>
  <c r="K61" i="16" a="1"/>
  <c r="K61" i="16" s="1"/>
  <c r="A62" i="16"/>
  <c r="B61" i="1"/>
  <c r="C61" i="1"/>
  <c r="D61" i="1"/>
  <c r="E61" i="1"/>
  <c r="A62" i="1"/>
  <c r="C61" i="17" l="1"/>
  <c r="E61" i="17"/>
  <c r="F61" i="17" s="1"/>
  <c r="G61" i="17"/>
  <c r="I61" i="17"/>
  <c r="K61" i="17" a="1"/>
  <c r="K61" i="17" s="1"/>
  <c r="B61" i="17"/>
  <c r="D61" i="17"/>
  <c r="H61" i="17"/>
  <c r="J61" i="17"/>
  <c r="A62" i="17"/>
  <c r="C62" i="16"/>
  <c r="D62" i="16"/>
  <c r="H62" i="16"/>
  <c r="J62" i="16"/>
  <c r="A63" i="16"/>
  <c r="B62" i="16"/>
  <c r="E62" i="16"/>
  <c r="F62" i="16" s="1"/>
  <c r="G62" i="16"/>
  <c r="I62" i="16"/>
  <c r="K62" i="16" a="1"/>
  <c r="K62" i="16" s="1"/>
  <c r="B62" i="1"/>
  <c r="C62" i="1"/>
  <c r="D62" i="1"/>
  <c r="E62" i="1"/>
  <c r="A63" i="1"/>
  <c r="C62" i="17" l="1"/>
  <c r="E62" i="17"/>
  <c r="F62" i="17" s="1"/>
  <c r="G62" i="17"/>
  <c r="I62" i="17"/>
  <c r="K62" i="17" a="1"/>
  <c r="K62" i="17" s="1"/>
  <c r="B62" i="17"/>
  <c r="D62" i="17"/>
  <c r="H62" i="17"/>
  <c r="J62" i="17"/>
  <c r="A63" i="17"/>
  <c r="C63" i="16"/>
  <c r="I63" i="16"/>
  <c r="K63" i="16" a="1"/>
  <c r="K63" i="16" s="1"/>
  <c r="A64" i="16"/>
  <c r="B63" i="16"/>
  <c r="D63" i="16"/>
  <c r="E63" i="16"/>
  <c r="F63" i="16" s="1"/>
  <c r="G63" i="16"/>
  <c r="H63" i="16"/>
  <c r="J63" i="16"/>
  <c r="B63" i="1"/>
  <c r="C63" i="1"/>
  <c r="D63" i="1"/>
  <c r="E63" i="1"/>
  <c r="A64" i="1"/>
  <c r="C63" i="17" l="1"/>
  <c r="E63" i="17"/>
  <c r="F63" i="17" s="1"/>
  <c r="G63" i="17"/>
  <c r="I63" i="17"/>
  <c r="K63" i="17" a="1"/>
  <c r="K63" i="17" s="1"/>
  <c r="A64" i="17"/>
  <c r="B63" i="17"/>
  <c r="D63" i="17"/>
  <c r="H63" i="17"/>
  <c r="J63" i="17"/>
  <c r="D64" i="16"/>
  <c r="G64" i="16"/>
  <c r="I64" i="16"/>
  <c r="K64" i="16" a="1"/>
  <c r="K64" i="16" s="1"/>
  <c r="B64" i="16"/>
  <c r="C64" i="16"/>
  <c r="E64" i="16"/>
  <c r="F64" i="16" s="1"/>
  <c r="H64" i="16"/>
  <c r="J64" i="16"/>
  <c r="A65" i="16"/>
  <c r="B64" i="1"/>
  <c r="C64" i="1"/>
  <c r="D64" i="1"/>
  <c r="E64" i="1"/>
  <c r="A65" i="1"/>
  <c r="C64" i="17" l="1"/>
  <c r="D64" i="17"/>
  <c r="H64" i="17"/>
  <c r="J64" i="17"/>
  <c r="A65" i="17"/>
  <c r="B64" i="17"/>
  <c r="E64" i="17"/>
  <c r="F64" i="17" s="1"/>
  <c r="G64" i="17"/>
  <c r="I64" i="17"/>
  <c r="K64" i="17" a="1"/>
  <c r="K64" i="17" s="1"/>
  <c r="C65" i="16"/>
  <c r="D65" i="16"/>
  <c r="H65" i="16"/>
  <c r="J65" i="16"/>
  <c r="B65" i="16"/>
  <c r="E65" i="16"/>
  <c r="F65" i="16" s="1"/>
  <c r="G65" i="16"/>
  <c r="I65" i="16"/>
  <c r="K65" i="16" a="1"/>
  <c r="K65" i="16" s="1"/>
  <c r="A66" i="16"/>
  <c r="B65" i="1"/>
  <c r="C65" i="1"/>
  <c r="D65" i="1"/>
  <c r="E65" i="1"/>
  <c r="A66" i="1"/>
  <c r="C65" i="17" l="1"/>
  <c r="E65" i="17"/>
  <c r="F65" i="17" s="1"/>
  <c r="H65" i="17"/>
  <c r="J65" i="17"/>
  <c r="B65" i="17"/>
  <c r="D65" i="17"/>
  <c r="G65" i="17"/>
  <c r="I65" i="17"/>
  <c r="K65" i="17" a="1"/>
  <c r="K65" i="17" s="1"/>
  <c r="A66" i="17"/>
  <c r="C66" i="16"/>
  <c r="E66" i="16"/>
  <c r="F66" i="16" s="1"/>
  <c r="G66" i="16"/>
  <c r="I66" i="16"/>
  <c r="A67" i="16"/>
  <c r="B66" i="16"/>
  <c r="D66" i="16"/>
  <c r="H66" i="16"/>
  <c r="J66" i="16"/>
  <c r="K66" i="16" a="1"/>
  <c r="K66" i="16" s="1"/>
  <c r="B66" i="1"/>
  <c r="C66" i="1"/>
  <c r="D66" i="1"/>
  <c r="E66" i="1"/>
  <c r="A67" i="1"/>
  <c r="C66" i="17" l="1"/>
  <c r="H66" i="17"/>
  <c r="J66" i="17"/>
  <c r="A67" i="17"/>
  <c r="B66" i="17"/>
  <c r="D66" i="17"/>
  <c r="E66" i="17"/>
  <c r="F66" i="17" s="1"/>
  <c r="G66" i="17"/>
  <c r="I66" i="17"/>
  <c r="K66" i="17" a="1"/>
  <c r="K66" i="17" s="1"/>
  <c r="C67" i="16"/>
  <c r="H67" i="16"/>
  <c r="J67" i="16"/>
  <c r="A68" i="16"/>
  <c r="B67" i="16"/>
  <c r="D67" i="16"/>
  <c r="E67" i="16"/>
  <c r="F67" i="16" s="1"/>
  <c r="G67" i="16"/>
  <c r="I67" i="16"/>
  <c r="K67" i="16" a="1"/>
  <c r="K67" i="16" s="1"/>
  <c r="B67" i="1"/>
  <c r="C67" i="1"/>
  <c r="D67" i="1"/>
  <c r="E67" i="1"/>
  <c r="A68" i="1"/>
  <c r="C67" i="17" l="1"/>
  <c r="E67" i="17"/>
  <c r="F67" i="17" s="1"/>
  <c r="G67" i="17"/>
  <c r="I67" i="17"/>
  <c r="K67" i="17" a="1"/>
  <c r="K67" i="17" s="1"/>
  <c r="A68" i="17"/>
  <c r="B67" i="17"/>
  <c r="D67" i="17"/>
  <c r="H67" i="17"/>
  <c r="J67" i="17"/>
  <c r="C68" i="16"/>
  <c r="E68" i="16"/>
  <c r="F68" i="16" s="1"/>
  <c r="H68" i="16"/>
  <c r="J68" i="16"/>
  <c r="B68" i="16"/>
  <c r="D68" i="16"/>
  <c r="G68" i="16"/>
  <c r="I68" i="16"/>
  <c r="K68" i="16" a="1"/>
  <c r="K68" i="16" s="1"/>
  <c r="A69" i="16"/>
  <c r="B68" i="1"/>
  <c r="C68" i="1"/>
  <c r="D68" i="1"/>
  <c r="E68" i="1"/>
  <c r="A69" i="1"/>
  <c r="C68" i="17" l="1"/>
  <c r="H68" i="17"/>
  <c r="J68" i="17"/>
  <c r="B68" i="17"/>
  <c r="D68" i="17"/>
  <c r="E68" i="17"/>
  <c r="F68" i="17" s="1"/>
  <c r="G68" i="17"/>
  <c r="I68" i="17"/>
  <c r="K68" i="17" a="1"/>
  <c r="K68" i="17" s="1"/>
  <c r="A69" i="17"/>
  <c r="C69" i="16"/>
  <c r="E69" i="16"/>
  <c r="F69" i="16" s="1"/>
  <c r="G69" i="16"/>
  <c r="I69" i="16"/>
  <c r="K69" i="16" a="1"/>
  <c r="K69" i="16" s="1"/>
  <c r="A70" i="16"/>
  <c r="B69" i="16"/>
  <c r="D69" i="16"/>
  <c r="H69" i="16"/>
  <c r="J69" i="16"/>
  <c r="B69" i="1"/>
  <c r="C69" i="1"/>
  <c r="D69" i="1"/>
  <c r="E69" i="1"/>
  <c r="A70" i="1"/>
  <c r="C69" i="17" l="1"/>
  <c r="E69" i="17"/>
  <c r="F69" i="17" s="1"/>
  <c r="G69" i="17"/>
  <c r="I69" i="17"/>
  <c r="K69" i="17" a="1"/>
  <c r="K69" i="17" s="1"/>
  <c r="A70" i="17"/>
  <c r="B69" i="17"/>
  <c r="D69" i="17"/>
  <c r="H69" i="17"/>
  <c r="J69" i="17"/>
  <c r="C70" i="16"/>
  <c r="D70" i="16"/>
  <c r="H70" i="16"/>
  <c r="J70" i="16"/>
  <c r="A71" i="16"/>
  <c r="B70" i="16"/>
  <c r="E70" i="16"/>
  <c r="F70" i="16" s="1"/>
  <c r="G70" i="16"/>
  <c r="I70" i="16"/>
  <c r="K70" i="16" a="1"/>
  <c r="K70" i="16" s="1"/>
  <c r="B70" i="1"/>
  <c r="C70" i="1"/>
  <c r="D70" i="1"/>
  <c r="E70" i="1"/>
  <c r="A71" i="1"/>
  <c r="C70" i="17" l="1"/>
  <c r="E70" i="17"/>
  <c r="F70" i="17" s="1"/>
  <c r="G70" i="17"/>
  <c r="I70" i="17"/>
  <c r="K70" i="17" a="1"/>
  <c r="K70" i="17" s="1"/>
  <c r="A71" i="17"/>
  <c r="B70" i="17"/>
  <c r="D70" i="17"/>
  <c r="H70" i="17"/>
  <c r="J70" i="17"/>
  <c r="B71" i="16"/>
  <c r="D71" i="16"/>
  <c r="I71" i="16"/>
  <c r="J71" i="16"/>
  <c r="K71" i="16" a="1"/>
  <c r="K71" i="16" s="1"/>
  <c r="A72" i="16"/>
  <c r="C71" i="16"/>
  <c r="E71" i="16"/>
  <c r="F71" i="16" s="1"/>
  <c r="G71" i="16"/>
  <c r="H71" i="16"/>
  <c r="B71" i="1"/>
  <c r="C71" i="1"/>
  <c r="D71" i="1"/>
  <c r="E71" i="1"/>
  <c r="A72" i="1"/>
  <c r="B71" i="17" l="1"/>
  <c r="D71" i="17"/>
  <c r="G71" i="17"/>
  <c r="I71" i="17"/>
  <c r="K71" i="17" a="1"/>
  <c r="K71" i="17" s="1"/>
  <c r="C71" i="17"/>
  <c r="E71" i="17"/>
  <c r="F71" i="17" s="1"/>
  <c r="H71" i="17"/>
  <c r="J71" i="17"/>
  <c r="A72" i="17"/>
  <c r="C72" i="16"/>
  <c r="D72" i="16"/>
  <c r="H72" i="16"/>
  <c r="J72" i="16"/>
  <c r="A73" i="16"/>
  <c r="B72" i="16"/>
  <c r="E72" i="16"/>
  <c r="F72" i="16" s="1"/>
  <c r="G72" i="16"/>
  <c r="I72" i="16"/>
  <c r="K72" i="16" a="1"/>
  <c r="K72" i="16" s="1"/>
  <c r="B72" i="1"/>
  <c r="C72" i="1"/>
  <c r="D72" i="1"/>
  <c r="E72" i="1"/>
  <c r="A73" i="1"/>
  <c r="C72" i="17" l="1"/>
  <c r="E72" i="17"/>
  <c r="F72" i="17" s="1"/>
  <c r="H72" i="17"/>
  <c r="J72" i="17"/>
  <c r="B72" i="17"/>
  <c r="D72" i="17"/>
  <c r="G72" i="17"/>
  <c r="I72" i="17"/>
  <c r="K72" i="17" a="1"/>
  <c r="K72" i="17" s="1"/>
  <c r="A73" i="17"/>
  <c r="C73" i="16"/>
  <c r="D73" i="16"/>
  <c r="H73" i="16"/>
  <c r="J73" i="16"/>
  <c r="A74" i="16"/>
  <c r="B73" i="16"/>
  <c r="E73" i="16"/>
  <c r="F73" i="16" s="1"/>
  <c r="G73" i="16"/>
  <c r="I73" i="16"/>
  <c r="K73" i="16" a="1"/>
  <c r="K73" i="16" s="1"/>
  <c r="B73" i="1"/>
  <c r="C73" i="1"/>
  <c r="D73" i="1"/>
  <c r="E73" i="1"/>
  <c r="A74" i="1"/>
  <c r="C73" i="17" l="1"/>
  <c r="E73" i="17"/>
  <c r="F73" i="17" s="1"/>
  <c r="H73" i="17"/>
  <c r="J73" i="17"/>
  <c r="B73" i="17"/>
  <c r="D73" i="17"/>
  <c r="G73" i="17"/>
  <c r="I73" i="17"/>
  <c r="K73" i="17" a="1"/>
  <c r="K73" i="17" s="1"/>
  <c r="A74" i="17"/>
  <c r="C74" i="16"/>
  <c r="D74" i="16"/>
  <c r="H74" i="16"/>
  <c r="J74" i="16"/>
  <c r="B74" i="16"/>
  <c r="E74" i="16"/>
  <c r="F74" i="16" s="1"/>
  <c r="G74" i="16"/>
  <c r="I74" i="16"/>
  <c r="K74" i="16" a="1"/>
  <c r="K74" i="16" s="1"/>
  <c r="A75" i="16"/>
  <c r="B74" i="1"/>
  <c r="C74" i="1"/>
  <c r="D74" i="1"/>
  <c r="E74" i="1"/>
  <c r="A75" i="1"/>
  <c r="C74" i="17" l="1"/>
  <c r="E74" i="17"/>
  <c r="F74" i="17" s="1"/>
  <c r="G74" i="17"/>
  <c r="I74" i="17"/>
  <c r="K74" i="17" a="1"/>
  <c r="K74" i="17" s="1"/>
  <c r="B74" i="17"/>
  <c r="D74" i="17"/>
  <c r="H74" i="17"/>
  <c r="J74" i="17"/>
  <c r="A75" i="17"/>
  <c r="D75" i="16"/>
  <c r="G75" i="16"/>
  <c r="H75" i="16"/>
  <c r="J75" i="16"/>
  <c r="B75" i="16"/>
  <c r="C75" i="16"/>
  <c r="E75" i="16"/>
  <c r="F75" i="16" s="1"/>
  <c r="I75" i="16"/>
  <c r="K75" i="16" a="1"/>
  <c r="K75" i="16" s="1"/>
  <c r="A76" i="16"/>
  <c r="B75" i="1"/>
  <c r="C75" i="1"/>
  <c r="D75" i="1"/>
  <c r="E75" i="1"/>
  <c r="A76" i="1"/>
  <c r="C75" i="17" l="1"/>
  <c r="E75" i="17"/>
  <c r="F75" i="17" s="1"/>
  <c r="G75" i="17"/>
  <c r="I75" i="17"/>
  <c r="K75" i="17" a="1"/>
  <c r="K75" i="17" s="1"/>
  <c r="A76" i="17"/>
  <c r="B75" i="17"/>
  <c r="D75" i="17"/>
  <c r="H75" i="17"/>
  <c r="J75" i="17"/>
  <c r="C76" i="16"/>
  <c r="E76" i="16"/>
  <c r="F76" i="16" s="1"/>
  <c r="I76" i="16"/>
  <c r="K76" i="16" a="1"/>
  <c r="K76" i="16" s="1"/>
  <c r="B76" i="16"/>
  <c r="D76" i="16"/>
  <c r="G76" i="16"/>
  <c r="H76" i="16"/>
  <c r="J76" i="16"/>
  <c r="A77" i="16"/>
  <c r="B76" i="1"/>
  <c r="C76" i="1"/>
  <c r="D76" i="1"/>
  <c r="E76" i="1"/>
  <c r="A77" i="1"/>
  <c r="C76" i="17" l="1"/>
  <c r="E76" i="17"/>
  <c r="F76" i="17" s="1"/>
  <c r="G76" i="17"/>
  <c r="I76" i="17"/>
  <c r="K76" i="17" a="1"/>
  <c r="K76" i="17" s="1"/>
  <c r="B76" i="17"/>
  <c r="D76" i="17"/>
  <c r="H76" i="17"/>
  <c r="J76" i="17"/>
  <c r="A77" i="17"/>
  <c r="C77" i="16"/>
  <c r="G77" i="16"/>
  <c r="I77" i="16"/>
  <c r="K77" i="16" a="1"/>
  <c r="K77" i="16" s="1"/>
  <c r="A78" i="16"/>
  <c r="B77" i="16"/>
  <c r="D77" i="16"/>
  <c r="E77" i="16"/>
  <c r="F77" i="16" s="1"/>
  <c r="H77" i="16"/>
  <c r="J77" i="16"/>
  <c r="B77" i="1"/>
  <c r="C77" i="1"/>
  <c r="D77" i="1"/>
  <c r="E77" i="1"/>
  <c r="A78" i="1"/>
  <c r="C77" i="17" l="1"/>
  <c r="E77" i="17"/>
  <c r="F77" i="17" s="1"/>
  <c r="H77" i="17"/>
  <c r="J77" i="17"/>
  <c r="B77" i="17"/>
  <c r="D77" i="17"/>
  <c r="G77" i="17"/>
  <c r="I77" i="17"/>
  <c r="K77" i="17" a="1"/>
  <c r="K77" i="17" s="1"/>
  <c r="A78" i="17"/>
  <c r="D78" i="16"/>
  <c r="G78" i="16"/>
  <c r="I78" i="16"/>
  <c r="J78" i="16"/>
  <c r="B78" i="16"/>
  <c r="C78" i="16"/>
  <c r="E78" i="16"/>
  <c r="F78" i="16" s="1"/>
  <c r="H78" i="16"/>
  <c r="K78" i="16" a="1"/>
  <c r="K78" i="16" s="1"/>
  <c r="A79" i="16"/>
  <c r="B78" i="1"/>
  <c r="C78" i="1"/>
  <c r="D78" i="1"/>
  <c r="E78" i="1"/>
  <c r="A79" i="1"/>
  <c r="C78" i="17" l="1"/>
  <c r="E78" i="17"/>
  <c r="F78" i="17" s="1"/>
  <c r="G78" i="17"/>
  <c r="I78" i="17"/>
  <c r="K78" i="17" a="1"/>
  <c r="K78" i="17" s="1"/>
  <c r="A79" i="17"/>
  <c r="B78" i="17"/>
  <c r="D78" i="17"/>
  <c r="H78" i="17"/>
  <c r="J78" i="17"/>
  <c r="C79" i="16"/>
  <c r="D79" i="16"/>
  <c r="G79" i="16"/>
  <c r="H79" i="16"/>
  <c r="J79" i="16"/>
  <c r="B79" i="16"/>
  <c r="E79" i="16"/>
  <c r="F79" i="16" s="1"/>
  <c r="I79" i="16"/>
  <c r="K79" i="16" a="1"/>
  <c r="K79" i="16" s="1"/>
  <c r="A80" i="16"/>
  <c r="B79" i="1"/>
  <c r="C79" i="1"/>
  <c r="D79" i="1"/>
  <c r="E79" i="1"/>
  <c r="A80" i="1"/>
  <c r="C79" i="17" l="1"/>
  <c r="I79" i="17"/>
  <c r="K79" i="17" a="1"/>
  <c r="K79" i="17" s="1"/>
  <c r="A80" i="17"/>
  <c r="B79" i="17"/>
  <c r="D79" i="17"/>
  <c r="E79" i="17"/>
  <c r="F79" i="17" s="1"/>
  <c r="G79" i="17"/>
  <c r="H79" i="17"/>
  <c r="J79" i="17"/>
  <c r="D80" i="16"/>
  <c r="G80" i="16"/>
  <c r="I80" i="16"/>
  <c r="K80" i="16" a="1"/>
  <c r="K80" i="16" s="1"/>
  <c r="B80" i="16"/>
  <c r="C80" i="16"/>
  <c r="E80" i="16"/>
  <c r="F80" i="16" s="1"/>
  <c r="H80" i="16"/>
  <c r="J80" i="16"/>
  <c r="A81" i="16"/>
  <c r="B80" i="1"/>
  <c r="C80" i="1"/>
  <c r="D80" i="1"/>
  <c r="E80" i="1"/>
  <c r="A81" i="1"/>
  <c r="C80" i="17" l="1"/>
  <c r="D80" i="17"/>
  <c r="H80" i="17"/>
  <c r="K80" i="17" a="1"/>
  <c r="K80" i="17" s="1"/>
  <c r="B80" i="17"/>
  <c r="E80" i="17"/>
  <c r="F80" i="17" s="1"/>
  <c r="G80" i="17"/>
  <c r="I80" i="17"/>
  <c r="J80" i="17"/>
  <c r="A81" i="17"/>
  <c r="C81" i="16"/>
  <c r="D81" i="16"/>
  <c r="I81" i="16"/>
  <c r="K81" i="16" a="1"/>
  <c r="K81" i="16" s="1"/>
  <c r="A82" i="16"/>
  <c r="B81" i="16"/>
  <c r="E81" i="16"/>
  <c r="F81" i="16" s="1"/>
  <c r="G81" i="16"/>
  <c r="H81" i="16"/>
  <c r="J81" i="16"/>
  <c r="B81" i="1"/>
  <c r="C81" i="1"/>
  <c r="D81" i="1"/>
  <c r="E81" i="1"/>
  <c r="A82" i="1"/>
  <c r="C81" i="17" l="1"/>
  <c r="H81" i="17"/>
  <c r="K81" i="17" a="1"/>
  <c r="K81" i="17" s="1"/>
  <c r="B81" i="17"/>
  <c r="D81" i="17"/>
  <c r="E81" i="17"/>
  <c r="F81" i="17" s="1"/>
  <c r="G81" i="17"/>
  <c r="I81" i="17"/>
  <c r="J81" i="17"/>
  <c r="A82" i="17"/>
  <c r="B82" i="16"/>
  <c r="D82" i="16"/>
  <c r="H82" i="16"/>
  <c r="J82" i="16"/>
  <c r="A83" i="16"/>
  <c r="C82" i="16"/>
  <c r="E82" i="16"/>
  <c r="F82" i="16" s="1"/>
  <c r="G82" i="16"/>
  <c r="I82" i="16"/>
  <c r="K82" i="16" a="1"/>
  <c r="K82" i="16" s="1"/>
  <c r="B82" i="1"/>
  <c r="C82" i="1"/>
  <c r="D82" i="1"/>
  <c r="E82" i="1"/>
  <c r="A83" i="1"/>
  <c r="C82" i="17" l="1"/>
  <c r="E82" i="17"/>
  <c r="F82" i="17" s="1"/>
  <c r="G82" i="17"/>
  <c r="J82" i="17"/>
  <c r="A83" i="17"/>
  <c r="B82" i="17"/>
  <c r="D82" i="17"/>
  <c r="H82" i="17"/>
  <c r="I82" i="17"/>
  <c r="K82" i="17" a="1"/>
  <c r="K82" i="17" s="1"/>
  <c r="B83" i="16"/>
  <c r="D83" i="16"/>
  <c r="E83" i="16"/>
  <c r="F83" i="16" s="1"/>
  <c r="H83" i="16"/>
  <c r="I83" i="16"/>
  <c r="K83" i="16" a="1"/>
  <c r="K83" i="16" s="1"/>
  <c r="A84" i="16"/>
  <c r="C83" i="16"/>
  <c r="G83" i="16"/>
  <c r="J83" i="16"/>
  <c r="B83" i="1"/>
  <c r="C83" i="1"/>
  <c r="D83" i="1"/>
  <c r="E83" i="1"/>
  <c r="A84" i="1"/>
  <c r="C83" i="17" l="1"/>
  <c r="G83" i="17"/>
  <c r="I83" i="17"/>
  <c r="K83" i="17" a="1"/>
  <c r="K83" i="17" s="1"/>
  <c r="B83" i="17"/>
  <c r="D83" i="17"/>
  <c r="E83" i="17"/>
  <c r="F83" i="17" s="1"/>
  <c r="H83" i="17"/>
  <c r="J83" i="17"/>
  <c r="A84" i="17"/>
  <c r="C84" i="16"/>
  <c r="E84" i="16"/>
  <c r="F84" i="16" s="1"/>
  <c r="G84" i="16"/>
  <c r="H84" i="16"/>
  <c r="J84" i="16"/>
  <c r="A85" i="16"/>
  <c r="B84" i="16"/>
  <c r="D84" i="16"/>
  <c r="I84" i="16"/>
  <c r="K84" i="16" a="1"/>
  <c r="K84" i="16" s="1"/>
  <c r="B84" i="1"/>
  <c r="C84" i="1"/>
  <c r="D84" i="1"/>
  <c r="E84" i="1"/>
  <c r="A85" i="1"/>
  <c r="B84" i="17" l="1"/>
  <c r="C84" i="17"/>
  <c r="D84" i="17"/>
  <c r="E84" i="17"/>
  <c r="F84" i="17" s="1"/>
  <c r="G84" i="17"/>
  <c r="H84" i="17"/>
  <c r="I84" i="17"/>
  <c r="J84" i="17"/>
  <c r="K84" i="17" a="1"/>
  <c r="K84" i="17" s="1"/>
  <c r="A85" i="17"/>
  <c r="B85" i="16"/>
  <c r="D85" i="16"/>
  <c r="H85" i="16"/>
  <c r="I85" i="16"/>
  <c r="K85" i="16" a="1"/>
  <c r="K85" i="16" s="1"/>
  <c r="C85" i="16"/>
  <c r="E85" i="16"/>
  <c r="F85" i="16" s="1"/>
  <c r="G85" i="16"/>
  <c r="J85" i="16"/>
  <c r="A86" i="16"/>
  <c r="B85" i="1"/>
  <c r="C85" i="1"/>
  <c r="D85" i="1"/>
  <c r="E85" i="1"/>
  <c r="A86" i="1"/>
  <c r="B85" i="17" l="1"/>
  <c r="C85" i="17"/>
  <c r="D85" i="17"/>
  <c r="E85" i="17"/>
  <c r="F85" i="17" s="1"/>
  <c r="G85" i="17"/>
  <c r="H85" i="17"/>
  <c r="I85" i="17"/>
  <c r="J85" i="17"/>
  <c r="K85" i="17" a="1"/>
  <c r="K85" i="17" s="1"/>
  <c r="A86" i="17"/>
  <c r="D86" i="16"/>
  <c r="H86" i="16"/>
  <c r="J86" i="16"/>
  <c r="B86" i="16"/>
  <c r="C86" i="16"/>
  <c r="E86" i="16"/>
  <c r="F86" i="16" s="1"/>
  <c r="G86" i="16"/>
  <c r="I86" i="16"/>
  <c r="K86" i="16" a="1"/>
  <c r="K86" i="16" s="1"/>
  <c r="A87" i="16"/>
  <c r="B86" i="1"/>
  <c r="C86" i="1"/>
  <c r="D86" i="1"/>
  <c r="E86" i="1"/>
  <c r="A87" i="1"/>
  <c r="B86" i="17" l="1"/>
  <c r="C86" i="17"/>
  <c r="D86" i="17"/>
  <c r="E86" i="17"/>
  <c r="F86" i="17" s="1"/>
  <c r="G86" i="17"/>
  <c r="H86" i="17"/>
  <c r="I86" i="17"/>
  <c r="J86" i="17"/>
  <c r="K86" i="17" a="1"/>
  <c r="K86" i="17" s="1"/>
  <c r="A87" i="17"/>
  <c r="C87" i="16"/>
  <c r="E87" i="16"/>
  <c r="F87" i="16" s="1"/>
  <c r="G87" i="16"/>
  <c r="H87" i="16"/>
  <c r="J87" i="16"/>
  <c r="A88" i="16"/>
  <c r="B87" i="16"/>
  <c r="D87" i="16"/>
  <c r="I87" i="16"/>
  <c r="K87" i="16" a="1"/>
  <c r="K87" i="16" s="1"/>
  <c r="B87" i="1"/>
  <c r="C87" i="1"/>
  <c r="D87" i="1"/>
  <c r="E87" i="1"/>
  <c r="A88" i="1"/>
  <c r="B87" i="17" l="1"/>
  <c r="C87" i="17"/>
  <c r="D87" i="17"/>
  <c r="E87" i="17"/>
  <c r="F87" i="17" s="1"/>
  <c r="G87" i="17"/>
  <c r="H87" i="17"/>
  <c r="I87" i="17"/>
  <c r="J87" i="17"/>
  <c r="K87" i="17" a="1"/>
  <c r="K87" i="17" s="1"/>
  <c r="A88" i="17"/>
  <c r="C88" i="16"/>
  <c r="D88" i="16"/>
  <c r="E88" i="16"/>
  <c r="F88" i="16" s="1"/>
  <c r="H88" i="16"/>
  <c r="J88" i="16"/>
  <c r="B88" i="16"/>
  <c r="G88" i="16"/>
  <c r="I88" i="16"/>
  <c r="K88" i="16" a="1"/>
  <c r="K88" i="16" s="1"/>
  <c r="A89" i="16"/>
  <c r="B88" i="1"/>
  <c r="C88" i="1"/>
  <c r="D88" i="1"/>
  <c r="E88" i="1"/>
  <c r="A89" i="1"/>
  <c r="B88" i="17" l="1"/>
  <c r="C88" i="17"/>
  <c r="D88" i="17"/>
  <c r="E88" i="17"/>
  <c r="F88" i="17" s="1"/>
  <c r="G88" i="17"/>
  <c r="H88" i="17"/>
  <c r="I88" i="17"/>
  <c r="J88" i="17"/>
  <c r="K88" i="17" a="1"/>
  <c r="K88" i="17" s="1"/>
  <c r="A89" i="17"/>
  <c r="C89" i="16"/>
  <c r="H89" i="16"/>
  <c r="J89" i="16"/>
  <c r="A90" i="16"/>
  <c r="B89" i="16"/>
  <c r="D89" i="16"/>
  <c r="E89" i="16"/>
  <c r="F89" i="16" s="1"/>
  <c r="G89" i="16"/>
  <c r="I89" i="16"/>
  <c r="K89" i="16" a="1"/>
  <c r="K89" i="16" s="1"/>
  <c r="B89" i="1"/>
  <c r="C89" i="1"/>
  <c r="D89" i="1"/>
  <c r="E89" i="1"/>
  <c r="A90" i="1"/>
  <c r="B89" i="17" l="1"/>
  <c r="C89" i="17"/>
  <c r="D89" i="17"/>
  <c r="E89" i="17"/>
  <c r="F89" i="17" s="1"/>
  <c r="G89" i="17"/>
  <c r="H89" i="17"/>
  <c r="I89" i="17"/>
  <c r="J89" i="17"/>
  <c r="K89" i="17" a="1"/>
  <c r="K89" i="17" s="1"/>
  <c r="A90" i="17"/>
  <c r="B90" i="16"/>
  <c r="D90" i="16"/>
  <c r="H90" i="16"/>
  <c r="J90" i="16"/>
  <c r="A91" i="16"/>
  <c r="C90" i="16"/>
  <c r="E90" i="16"/>
  <c r="F90" i="16" s="1"/>
  <c r="G90" i="16"/>
  <c r="I90" i="16"/>
  <c r="K90" i="16" a="1"/>
  <c r="K90" i="16" s="1"/>
  <c r="B90" i="1"/>
  <c r="C90" i="1"/>
  <c r="D90" i="1"/>
  <c r="E90" i="1"/>
  <c r="A91" i="1"/>
  <c r="B90" i="17" l="1"/>
  <c r="C90" i="17"/>
  <c r="D90" i="17"/>
  <c r="E90" i="17"/>
  <c r="F90" i="17" s="1"/>
  <c r="G90" i="17"/>
  <c r="H90" i="17"/>
  <c r="I90" i="17"/>
  <c r="J90" i="17"/>
  <c r="K90" i="17" a="1"/>
  <c r="K90" i="17" s="1"/>
  <c r="A91" i="17"/>
  <c r="D91" i="16"/>
  <c r="G91" i="16"/>
  <c r="H91" i="16"/>
  <c r="J91" i="16"/>
  <c r="A92" i="16"/>
  <c r="B91" i="16"/>
  <c r="C91" i="16"/>
  <c r="E91" i="16"/>
  <c r="F91" i="16" s="1"/>
  <c r="I91" i="16"/>
  <c r="K91" i="16" a="1"/>
  <c r="K91" i="16" s="1"/>
  <c r="B91" i="1"/>
  <c r="C91" i="1"/>
  <c r="D91" i="1"/>
  <c r="E91" i="1"/>
  <c r="A92" i="1"/>
  <c r="B91" i="17" l="1"/>
  <c r="C91" i="17"/>
  <c r="D91" i="17"/>
  <c r="E91" i="17"/>
  <c r="F91" i="17" s="1"/>
  <c r="G91" i="17"/>
  <c r="H91" i="17"/>
  <c r="I91" i="17"/>
  <c r="J91" i="17"/>
  <c r="K91" i="17" a="1"/>
  <c r="K91" i="17" s="1"/>
  <c r="A92" i="17"/>
  <c r="C92" i="16"/>
  <c r="I92" i="16"/>
  <c r="K92" i="16" a="1"/>
  <c r="K92" i="16" s="1"/>
  <c r="A93" i="16"/>
  <c r="B92" i="16"/>
  <c r="D92" i="16"/>
  <c r="E92" i="16"/>
  <c r="F92" i="16" s="1"/>
  <c r="G92" i="16"/>
  <c r="H92" i="16"/>
  <c r="J92" i="16"/>
  <c r="B92" i="1"/>
  <c r="C92" i="1"/>
  <c r="D92" i="1"/>
  <c r="E92" i="1"/>
  <c r="A93" i="1"/>
  <c r="B92" i="17" l="1"/>
  <c r="C92" i="17"/>
  <c r="D92" i="17"/>
  <c r="E92" i="17"/>
  <c r="F92" i="17" s="1"/>
  <c r="G92" i="17"/>
  <c r="H92" i="17"/>
  <c r="I92" i="17"/>
  <c r="J92" i="17"/>
  <c r="K92" i="17" a="1"/>
  <c r="K92" i="17" s="1"/>
  <c r="A93" i="17"/>
  <c r="C93" i="16"/>
  <c r="I93" i="16"/>
  <c r="J93" i="16"/>
  <c r="A94" i="16"/>
  <c r="B93" i="16"/>
  <c r="D93" i="16"/>
  <c r="E93" i="16"/>
  <c r="F93" i="16" s="1"/>
  <c r="G93" i="16"/>
  <c r="H93" i="16"/>
  <c r="K93" i="16" a="1"/>
  <c r="K93" i="16" s="1"/>
  <c r="B93" i="1"/>
  <c r="C93" i="1"/>
  <c r="D93" i="1"/>
  <c r="E93" i="1"/>
  <c r="A94" i="1"/>
  <c r="B93" i="17" l="1"/>
  <c r="C93" i="17"/>
  <c r="D93" i="17"/>
  <c r="E93" i="17"/>
  <c r="F93" i="17" s="1"/>
  <c r="G93" i="17"/>
  <c r="H93" i="17"/>
  <c r="I93" i="17"/>
  <c r="J93" i="17"/>
  <c r="K93" i="17" a="1"/>
  <c r="K93" i="17" s="1"/>
  <c r="A94" i="17"/>
  <c r="C94" i="16"/>
  <c r="E94" i="16"/>
  <c r="F94" i="16" s="1"/>
  <c r="H94" i="16"/>
  <c r="K94" i="16" a="1"/>
  <c r="K94" i="16" s="1"/>
  <c r="B94" i="16"/>
  <c r="D94" i="16"/>
  <c r="G94" i="16"/>
  <c r="I94" i="16"/>
  <c r="J94" i="16"/>
  <c r="A95" i="16"/>
  <c r="B94" i="1"/>
  <c r="C94" i="1"/>
  <c r="D94" i="1"/>
  <c r="E94" i="1"/>
  <c r="A95" i="1"/>
  <c r="B94" i="17" l="1"/>
  <c r="C94" i="17"/>
  <c r="D94" i="17"/>
  <c r="E94" i="17"/>
  <c r="F94" i="17" s="1"/>
  <c r="G94" i="17"/>
  <c r="H94" i="17"/>
  <c r="I94" i="17"/>
  <c r="J94" i="17"/>
  <c r="K94" i="17" a="1"/>
  <c r="K94" i="17" s="1"/>
  <c r="A95" i="17"/>
  <c r="C95" i="16"/>
  <c r="E95" i="16"/>
  <c r="F95" i="16" s="1"/>
  <c r="G95" i="16"/>
  <c r="I95" i="16"/>
  <c r="K95" i="16" a="1"/>
  <c r="K95" i="16" s="1"/>
  <c r="B95" i="16"/>
  <c r="D95" i="16"/>
  <c r="H95" i="16"/>
  <c r="J95" i="16"/>
  <c r="A96" i="16"/>
  <c r="B95" i="1"/>
  <c r="C95" i="1"/>
  <c r="D95" i="1"/>
  <c r="E95" i="1"/>
  <c r="A96" i="1"/>
  <c r="B95" i="17" l="1"/>
  <c r="C95" i="17"/>
  <c r="D95" i="17"/>
  <c r="E95" i="17"/>
  <c r="F95" i="17" s="1"/>
  <c r="G95" i="17"/>
  <c r="H95" i="17"/>
  <c r="I95" i="17"/>
  <c r="J95" i="17"/>
  <c r="K95" i="17" a="1"/>
  <c r="K95" i="17" s="1"/>
  <c r="A96" i="17"/>
  <c r="C96" i="16"/>
  <c r="I96" i="16"/>
  <c r="K96" i="16" a="1"/>
  <c r="K96" i="16" s="1"/>
  <c r="B96" i="16"/>
  <c r="D96" i="16"/>
  <c r="E96" i="16"/>
  <c r="F96" i="16" s="1"/>
  <c r="G96" i="16"/>
  <c r="H96" i="16"/>
  <c r="J96" i="16"/>
  <c r="A97" i="16"/>
  <c r="B96" i="1"/>
  <c r="C96" i="1"/>
  <c r="D96" i="1"/>
  <c r="E96" i="1"/>
  <c r="A97" i="1"/>
  <c r="B96" i="17" l="1"/>
  <c r="C96" i="17"/>
  <c r="D96" i="17"/>
  <c r="E96" i="17"/>
  <c r="F96" i="17" s="1"/>
  <c r="G96" i="17"/>
  <c r="H96" i="17"/>
  <c r="I96" i="17"/>
  <c r="J96" i="17"/>
  <c r="K96" i="17" a="1"/>
  <c r="K96" i="17" s="1"/>
  <c r="A97" i="17"/>
  <c r="C97" i="16"/>
  <c r="D97" i="16"/>
  <c r="G97" i="16"/>
  <c r="I97" i="16"/>
  <c r="K97" i="16" a="1"/>
  <c r="K97" i="16" s="1"/>
  <c r="B97" i="16"/>
  <c r="E97" i="16"/>
  <c r="F97" i="16" s="1"/>
  <c r="H97" i="16"/>
  <c r="J97" i="16"/>
  <c r="A98" i="16"/>
  <c r="B97" i="1"/>
  <c r="C97" i="1"/>
  <c r="D97" i="1"/>
  <c r="E97" i="1"/>
  <c r="A98" i="1"/>
  <c r="B97" i="17" l="1"/>
  <c r="C97" i="17"/>
  <c r="D97" i="17"/>
  <c r="E97" i="17"/>
  <c r="F97" i="17" s="1"/>
  <c r="G97" i="17"/>
  <c r="H97" i="17"/>
  <c r="I97" i="17"/>
  <c r="J97" i="17"/>
  <c r="K97" i="17" a="1"/>
  <c r="K97" i="17" s="1"/>
  <c r="A98" i="17"/>
  <c r="C98" i="16"/>
  <c r="E98" i="16"/>
  <c r="F98" i="16" s="1"/>
  <c r="G98" i="16"/>
  <c r="I98" i="16"/>
  <c r="K98" i="16" a="1"/>
  <c r="K98" i="16" s="1"/>
  <c r="B98" i="16"/>
  <c r="D98" i="16"/>
  <c r="H98" i="16"/>
  <c r="J98" i="16"/>
  <c r="A99" i="16"/>
  <c r="B98" i="1"/>
  <c r="C98" i="1"/>
  <c r="D98" i="1"/>
  <c r="E98" i="1"/>
  <c r="A99" i="1"/>
  <c r="B98" i="17" l="1"/>
  <c r="C98" i="17"/>
  <c r="D98" i="17"/>
  <c r="E98" i="17"/>
  <c r="F98" i="17" s="1"/>
  <c r="G98" i="17"/>
  <c r="H98" i="17"/>
  <c r="I98" i="17"/>
  <c r="J98" i="17"/>
  <c r="K98" i="17" a="1"/>
  <c r="K98" i="17" s="1"/>
  <c r="A99" i="17"/>
  <c r="C99" i="16"/>
  <c r="E99" i="16"/>
  <c r="F99" i="16" s="1"/>
  <c r="H99" i="16"/>
  <c r="K99" i="16" a="1"/>
  <c r="K99" i="16" s="1"/>
  <c r="B99" i="16"/>
  <c r="D99" i="16"/>
  <c r="G99" i="16"/>
  <c r="I99" i="16"/>
  <c r="J99" i="16"/>
  <c r="A100" i="16"/>
  <c r="B99" i="1"/>
  <c r="C99" i="1"/>
  <c r="D99" i="1"/>
  <c r="E99" i="1"/>
  <c r="A100" i="1"/>
  <c r="B99" i="17" l="1"/>
  <c r="C99" i="17"/>
  <c r="D99" i="17"/>
  <c r="E99" i="17"/>
  <c r="F99" i="17" s="1"/>
  <c r="G99" i="17"/>
  <c r="H99" i="17"/>
  <c r="I99" i="17"/>
  <c r="J99" i="17"/>
  <c r="K99" i="17" a="1"/>
  <c r="K99" i="17" s="1"/>
  <c r="A100" i="17"/>
  <c r="B100" i="16"/>
  <c r="C100" i="16"/>
  <c r="D100" i="16"/>
  <c r="E100" i="16"/>
  <c r="F100" i="16" s="1"/>
  <c r="G100" i="16"/>
  <c r="H100" i="16"/>
  <c r="I100" i="16"/>
  <c r="J100" i="16"/>
  <c r="K100" i="16" a="1"/>
  <c r="K100" i="16" s="1"/>
  <c r="A101" i="16"/>
  <c r="B100" i="1"/>
  <c r="C100" i="1"/>
  <c r="D100" i="1"/>
  <c r="E100" i="1"/>
  <c r="A101" i="1"/>
  <c r="B100" i="17" l="1"/>
  <c r="C100" i="17"/>
  <c r="D100" i="17"/>
  <c r="E100" i="17"/>
  <c r="F100" i="17" s="1"/>
  <c r="G100" i="17"/>
  <c r="H100" i="17"/>
  <c r="I100" i="17"/>
  <c r="J100" i="17"/>
  <c r="K100" i="17" a="1"/>
  <c r="K100" i="17" s="1"/>
  <c r="A101" i="17"/>
  <c r="B101" i="16"/>
  <c r="C101" i="16"/>
  <c r="D101" i="16"/>
  <c r="E101" i="16"/>
  <c r="F101" i="16" s="1"/>
  <c r="G101" i="16"/>
  <c r="H101" i="16"/>
  <c r="I101" i="16"/>
  <c r="J101" i="16"/>
  <c r="K101" i="16" a="1"/>
  <c r="K101" i="16" s="1"/>
  <c r="A102" i="16"/>
  <c r="B101" i="1"/>
  <c r="C101" i="1"/>
  <c r="D101" i="1"/>
  <c r="E101" i="1"/>
  <c r="A102" i="1"/>
  <c r="B101" i="17" l="1"/>
  <c r="C101" i="17"/>
  <c r="D101" i="17"/>
  <c r="E101" i="17"/>
  <c r="F101" i="17" s="1"/>
  <c r="G101" i="17"/>
  <c r="H101" i="17"/>
  <c r="I101" i="17"/>
  <c r="J101" i="17"/>
  <c r="K101" i="17" a="1"/>
  <c r="K101" i="17" s="1"/>
  <c r="A102" i="17"/>
  <c r="B102" i="16"/>
  <c r="C102" i="16"/>
  <c r="D102" i="16"/>
  <c r="E102" i="16"/>
  <c r="F102" i="16" s="1"/>
  <c r="G102" i="16"/>
  <c r="H102" i="16"/>
  <c r="I102" i="16"/>
  <c r="J102" i="16"/>
  <c r="K102" i="16" a="1"/>
  <c r="K102" i="16" s="1"/>
  <c r="A103" i="16"/>
  <c r="B102" i="1"/>
  <c r="C102" i="1"/>
  <c r="D102" i="1"/>
  <c r="E102" i="1"/>
  <c r="A103" i="1"/>
  <c r="B102" i="17" l="1"/>
  <c r="C102" i="17"/>
  <c r="D102" i="17"/>
  <c r="E102" i="17"/>
  <c r="F102" i="17" s="1"/>
  <c r="G102" i="17"/>
  <c r="H102" i="17"/>
  <c r="I102" i="17"/>
  <c r="J102" i="17"/>
  <c r="K102" i="17" a="1"/>
  <c r="K102" i="17" s="1"/>
  <c r="A103" i="17"/>
  <c r="B103" i="16"/>
  <c r="C103" i="16"/>
  <c r="D103" i="16"/>
  <c r="E103" i="16"/>
  <c r="F103" i="16" s="1"/>
  <c r="G103" i="16"/>
  <c r="H103" i="16"/>
  <c r="I103" i="16"/>
  <c r="J103" i="16"/>
  <c r="K103" i="16" a="1"/>
  <c r="K103" i="16" s="1"/>
  <c r="A104" i="16"/>
  <c r="B103" i="1"/>
  <c r="C103" i="1"/>
  <c r="D103" i="1"/>
  <c r="E103" i="1"/>
  <c r="A104" i="1"/>
  <c r="B103" i="17" l="1"/>
  <c r="C103" i="17"/>
  <c r="D103" i="17"/>
  <c r="E103" i="17"/>
  <c r="F103" i="17" s="1"/>
  <c r="G103" i="17"/>
  <c r="H103" i="17"/>
  <c r="I103" i="17"/>
  <c r="J103" i="17"/>
  <c r="K103" i="17" a="1"/>
  <c r="K103" i="17" s="1"/>
  <c r="A104" i="17"/>
  <c r="B104" i="16"/>
  <c r="C104" i="16"/>
  <c r="D104" i="16"/>
  <c r="E104" i="16"/>
  <c r="F104" i="16" s="1"/>
  <c r="G104" i="16"/>
  <c r="H104" i="16"/>
  <c r="I104" i="16"/>
  <c r="J104" i="16"/>
  <c r="K104" i="16" a="1"/>
  <c r="K104" i="16" s="1"/>
  <c r="A105" i="16"/>
  <c r="B104" i="1"/>
  <c r="C104" i="1"/>
  <c r="D104" i="1"/>
  <c r="E104" i="1"/>
  <c r="A105" i="1"/>
  <c r="B104" i="17" l="1"/>
  <c r="C104" i="17"/>
  <c r="D104" i="17"/>
  <c r="E104" i="17"/>
  <c r="F104" i="17" s="1"/>
  <c r="G104" i="17"/>
  <c r="H104" i="17"/>
  <c r="I104" i="17"/>
  <c r="J104" i="17"/>
  <c r="K104" i="17" a="1"/>
  <c r="K104" i="17" s="1"/>
  <c r="A105" i="17"/>
  <c r="B105" i="16"/>
  <c r="C105" i="16"/>
  <c r="D105" i="16"/>
  <c r="E105" i="16"/>
  <c r="F105" i="16" s="1"/>
  <c r="G105" i="16"/>
  <c r="H105" i="16"/>
  <c r="I105" i="16"/>
  <c r="J105" i="16"/>
  <c r="K105" i="16" a="1"/>
  <c r="K105" i="16" s="1"/>
  <c r="A106" i="16"/>
  <c r="B105" i="1"/>
  <c r="C105" i="1"/>
  <c r="D105" i="1"/>
  <c r="E105" i="1"/>
  <c r="A106" i="1"/>
  <c r="B105" i="17" l="1"/>
  <c r="C105" i="17"/>
  <c r="D105" i="17"/>
  <c r="E105" i="17"/>
  <c r="F105" i="17" s="1"/>
  <c r="G105" i="17"/>
  <c r="H105" i="17"/>
  <c r="I105" i="17"/>
  <c r="J105" i="17"/>
  <c r="K105" i="17" a="1"/>
  <c r="K105" i="17" s="1"/>
  <c r="A106" i="17"/>
  <c r="B106" i="16"/>
  <c r="C106" i="16"/>
  <c r="D106" i="16"/>
  <c r="E106" i="16"/>
  <c r="F106" i="16" s="1"/>
  <c r="G106" i="16"/>
  <c r="H106" i="16"/>
  <c r="I106" i="16"/>
  <c r="J106" i="16"/>
  <c r="K106" i="16" a="1"/>
  <c r="K106" i="16" s="1"/>
  <c r="A107" i="16"/>
  <c r="B106" i="1"/>
  <c r="C106" i="1"/>
  <c r="D106" i="1"/>
  <c r="E106" i="1"/>
  <c r="A107" i="1"/>
  <c r="B106" i="17" l="1"/>
  <c r="C106" i="17"/>
  <c r="D106" i="17"/>
  <c r="E106" i="17"/>
  <c r="F106" i="17" s="1"/>
  <c r="G106" i="17"/>
  <c r="H106" i="17"/>
  <c r="I106" i="17"/>
  <c r="J106" i="17"/>
  <c r="K106" i="17" a="1"/>
  <c r="K106" i="17" s="1"/>
  <c r="A107" i="17"/>
  <c r="B107" i="16"/>
  <c r="C107" i="16"/>
  <c r="D107" i="16"/>
  <c r="E107" i="16"/>
  <c r="F107" i="16" s="1"/>
  <c r="G107" i="16"/>
  <c r="H107" i="16"/>
  <c r="I107" i="16"/>
  <c r="J107" i="16"/>
  <c r="K107" i="16" a="1"/>
  <c r="K107" i="16" s="1"/>
  <c r="A108" i="16"/>
  <c r="B107" i="1"/>
  <c r="C107" i="1"/>
  <c r="D107" i="1"/>
  <c r="E107" i="1"/>
  <c r="A108" i="1"/>
  <c r="B107" i="17" l="1"/>
  <c r="C107" i="17"/>
  <c r="D107" i="17"/>
  <c r="E107" i="17"/>
  <c r="F107" i="17" s="1"/>
  <c r="G107" i="17"/>
  <c r="H107" i="17"/>
  <c r="I107" i="17"/>
  <c r="J107" i="17"/>
  <c r="K107" i="17" a="1"/>
  <c r="K107" i="17" s="1"/>
  <c r="A108" i="17"/>
  <c r="B108" i="16"/>
  <c r="C108" i="16"/>
  <c r="D108" i="16"/>
  <c r="E108" i="16"/>
  <c r="F108" i="16" s="1"/>
  <c r="G108" i="16"/>
  <c r="H108" i="16"/>
  <c r="I108" i="16"/>
  <c r="J108" i="16"/>
  <c r="K108" i="16" a="1"/>
  <c r="K108" i="16" s="1"/>
  <c r="A109" i="16"/>
  <c r="B108" i="1"/>
  <c r="C108" i="1"/>
  <c r="D108" i="1"/>
  <c r="E108" i="1"/>
  <c r="A109" i="1"/>
  <c r="B108" i="17" l="1"/>
  <c r="C108" i="17"/>
  <c r="D108" i="17"/>
  <c r="E108" i="17"/>
  <c r="F108" i="17" s="1"/>
  <c r="G108" i="17"/>
  <c r="H108" i="17"/>
  <c r="I108" i="17"/>
  <c r="J108" i="17"/>
  <c r="K108" i="17" a="1"/>
  <c r="K108" i="17" s="1"/>
  <c r="A109" i="17"/>
  <c r="B109" i="16"/>
  <c r="C109" i="16"/>
  <c r="D109" i="16"/>
  <c r="E109" i="16"/>
  <c r="F109" i="16" s="1"/>
  <c r="G109" i="16"/>
  <c r="H109" i="16"/>
  <c r="I109" i="16"/>
  <c r="J109" i="16"/>
  <c r="K109" i="16" a="1"/>
  <c r="K109" i="16" s="1"/>
  <c r="A110" i="16"/>
  <c r="B109" i="1"/>
  <c r="C109" i="1"/>
  <c r="D109" i="1"/>
  <c r="E109" i="1"/>
  <c r="A110" i="1"/>
  <c r="B109" i="17" l="1"/>
  <c r="C109" i="17"/>
  <c r="D109" i="17"/>
  <c r="E109" i="17"/>
  <c r="F109" i="17" s="1"/>
  <c r="G109" i="17"/>
  <c r="H109" i="17"/>
  <c r="I109" i="17"/>
  <c r="J109" i="17"/>
  <c r="K109" i="17" a="1"/>
  <c r="K109" i="17" s="1"/>
  <c r="A110" i="17"/>
  <c r="B110" i="16"/>
  <c r="C110" i="16"/>
  <c r="D110" i="16"/>
  <c r="E110" i="16"/>
  <c r="F110" i="16" s="1"/>
  <c r="G110" i="16"/>
  <c r="H110" i="16"/>
  <c r="I110" i="16"/>
  <c r="J110" i="16"/>
  <c r="K110" i="16" a="1"/>
  <c r="K110" i="16" s="1"/>
  <c r="A111" i="16"/>
  <c r="B110" i="1"/>
  <c r="C110" i="1"/>
  <c r="D110" i="1"/>
  <c r="E110" i="1"/>
  <c r="A111" i="1"/>
  <c r="B110" i="17" l="1"/>
  <c r="C110" i="17"/>
  <c r="D110" i="17"/>
  <c r="E110" i="17"/>
  <c r="F110" i="17" s="1"/>
  <c r="G110" i="17"/>
  <c r="H110" i="17"/>
  <c r="I110" i="17"/>
  <c r="J110" i="17"/>
  <c r="K110" i="17" a="1"/>
  <c r="K110" i="17" s="1"/>
  <c r="A111" i="17"/>
  <c r="B111" i="16"/>
  <c r="C111" i="16"/>
  <c r="D111" i="16"/>
  <c r="E111" i="16"/>
  <c r="F111" i="16" s="1"/>
  <c r="G111" i="16"/>
  <c r="H111" i="16"/>
  <c r="I111" i="16"/>
  <c r="J111" i="16"/>
  <c r="K111" i="16" a="1"/>
  <c r="K111" i="16" s="1"/>
  <c r="A112" i="16"/>
  <c r="B111" i="1"/>
  <c r="C111" i="1"/>
  <c r="D111" i="1"/>
  <c r="E111" i="1"/>
  <c r="A112" i="1"/>
  <c r="B111" i="17" l="1"/>
  <c r="C111" i="17"/>
  <c r="D111" i="17"/>
  <c r="E111" i="17"/>
  <c r="F111" i="17" s="1"/>
  <c r="G111" i="17"/>
  <c r="H111" i="17"/>
  <c r="I111" i="17"/>
  <c r="J111" i="17"/>
  <c r="K111" i="17" a="1"/>
  <c r="K111" i="17" s="1"/>
  <c r="A112" i="17"/>
  <c r="B112" i="16"/>
  <c r="C112" i="16"/>
  <c r="D112" i="16"/>
  <c r="E112" i="16"/>
  <c r="F112" i="16" s="1"/>
  <c r="G112" i="16"/>
  <c r="H112" i="16"/>
  <c r="I112" i="16"/>
  <c r="J112" i="16"/>
  <c r="K112" i="16" a="1"/>
  <c r="K112" i="16" s="1"/>
  <c r="A113" i="16"/>
  <c r="B112" i="1"/>
  <c r="C112" i="1"/>
  <c r="D112" i="1"/>
  <c r="E112" i="1"/>
  <c r="A113" i="1"/>
  <c r="B112" i="17" l="1"/>
  <c r="C112" i="17"/>
  <c r="D112" i="17"/>
  <c r="E112" i="17"/>
  <c r="F112" i="17" s="1"/>
  <c r="G112" i="17"/>
  <c r="H112" i="17"/>
  <c r="I112" i="17"/>
  <c r="J112" i="17"/>
  <c r="K112" i="17" a="1"/>
  <c r="K112" i="17" s="1"/>
  <c r="A113" i="17"/>
  <c r="B113" i="16"/>
  <c r="C113" i="16"/>
  <c r="D113" i="16"/>
  <c r="E113" i="16"/>
  <c r="F113" i="16" s="1"/>
  <c r="G113" i="16"/>
  <c r="H113" i="16"/>
  <c r="I113" i="16"/>
  <c r="J113" i="16"/>
  <c r="K113" i="16" a="1"/>
  <c r="K113" i="16" s="1"/>
  <c r="A114" i="16"/>
  <c r="B113" i="1"/>
  <c r="C113" i="1"/>
  <c r="D113" i="1"/>
  <c r="E113" i="1"/>
  <c r="A114" i="1"/>
  <c r="B113" i="17" l="1"/>
  <c r="C113" i="17"/>
  <c r="D113" i="17"/>
  <c r="E113" i="17"/>
  <c r="F113" i="17" s="1"/>
  <c r="G113" i="17"/>
  <c r="H113" i="17"/>
  <c r="I113" i="17"/>
  <c r="J113" i="17"/>
  <c r="K113" i="17" a="1"/>
  <c r="K113" i="17" s="1"/>
  <c r="A114" i="17"/>
  <c r="B114" i="16"/>
  <c r="C114" i="16"/>
  <c r="D114" i="16"/>
  <c r="E114" i="16"/>
  <c r="F114" i="16" s="1"/>
  <c r="G114" i="16"/>
  <c r="H114" i="16"/>
  <c r="I114" i="16"/>
  <c r="J114" i="16"/>
  <c r="K114" i="16" a="1"/>
  <c r="K114" i="16" s="1"/>
  <c r="A115" i="16"/>
  <c r="B114" i="1"/>
  <c r="C114" i="1"/>
  <c r="D114" i="1"/>
  <c r="E114" i="1"/>
  <c r="A115" i="1"/>
  <c r="B114" i="17" l="1"/>
  <c r="C114" i="17"/>
  <c r="D114" i="17"/>
  <c r="E114" i="17"/>
  <c r="F114" i="17" s="1"/>
  <c r="G114" i="17"/>
  <c r="H114" i="17"/>
  <c r="I114" i="17"/>
  <c r="J114" i="17"/>
  <c r="K114" i="17" a="1"/>
  <c r="K114" i="17" s="1"/>
  <c r="A115" i="17"/>
  <c r="B115" i="16"/>
  <c r="C115" i="16"/>
  <c r="D115" i="16"/>
  <c r="E115" i="16"/>
  <c r="F115" i="16" s="1"/>
  <c r="G115" i="16"/>
  <c r="H115" i="16"/>
  <c r="I115" i="16"/>
  <c r="J115" i="16"/>
  <c r="K115" i="16" a="1"/>
  <c r="K115" i="16" s="1"/>
  <c r="A116" i="16"/>
  <c r="B115" i="1"/>
  <c r="C115" i="1"/>
  <c r="D115" i="1"/>
  <c r="E115" i="1"/>
  <c r="A116" i="1"/>
  <c r="B115" i="17" l="1"/>
  <c r="C115" i="17"/>
  <c r="D115" i="17"/>
  <c r="E115" i="17"/>
  <c r="F115" i="17" s="1"/>
  <c r="G115" i="17"/>
  <c r="H115" i="17"/>
  <c r="I115" i="17"/>
  <c r="J115" i="17"/>
  <c r="K115" i="17" a="1"/>
  <c r="K115" i="17" s="1"/>
  <c r="A116" i="17"/>
  <c r="B116" i="16"/>
  <c r="C116" i="16"/>
  <c r="D116" i="16"/>
  <c r="E116" i="16"/>
  <c r="F116" i="16" s="1"/>
  <c r="G116" i="16"/>
  <c r="H116" i="16"/>
  <c r="I116" i="16"/>
  <c r="J116" i="16"/>
  <c r="K116" i="16" a="1"/>
  <c r="K116" i="16" s="1"/>
  <c r="A117" i="16"/>
  <c r="B116" i="1"/>
  <c r="C116" i="1"/>
  <c r="D116" i="1"/>
  <c r="E116" i="1"/>
  <c r="A117" i="1"/>
  <c r="B116" i="17" l="1"/>
  <c r="C116" i="17"/>
  <c r="D116" i="17"/>
  <c r="E116" i="17"/>
  <c r="F116" i="17" s="1"/>
  <c r="G116" i="17"/>
  <c r="H116" i="17"/>
  <c r="I116" i="17"/>
  <c r="J116" i="17"/>
  <c r="K116" i="17" a="1"/>
  <c r="K116" i="17" s="1"/>
  <c r="A117" i="17"/>
  <c r="B117" i="16"/>
  <c r="C117" i="16"/>
  <c r="D117" i="16"/>
  <c r="E117" i="16"/>
  <c r="F117" i="16" s="1"/>
  <c r="G117" i="16"/>
  <c r="H117" i="16"/>
  <c r="I117" i="16"/>
  <c r="J117" i="16"/>
  <c r="K117" i="16" a="1"/>
  <c r="K117" i="16" s="1"/>
  <c r="A118" i="16"/>
  <c r="B117" i="1"/>
  <c r="C117" i="1"/>
  <c r="D117" i="1"/>
  <c r="E117" i="1"/>
  <c r="A118" i="1"/>
  <c r="B117" i="17" l="1"/>
  <c r="C117" i="17"/>
  <c r="D117" i="17"/>
  <c r="E117" i="17"/>
  <c r="F117" i="17" s="1"/>
  <c r="G117" i="17"/>
  <c r="H117" i="17"/>
  <c r="I117" i="17"/>
  <c r="J117" i="17"/>
  <c r="K117" i="17" a="1"/>
  <c r="K117" i="17" s="1"/>
  <c r="A118" i="17"/>
  <c r="B118" i="16"/>
  <c r="C118" i="16"/>
  <c r="D118" i="16"/>
  <c r="E118" i="16"/>
  <c r="F118" i="16" s="1"/>
  <c r="G118" i="16"/>
  <c r="H118" i="16"/>
  <c r="I118" i="16"/>
  <c r="J118" i="16"/>
  <c r="K118" i="16" a="1"/>
  <c r="K118" i="16" s="1"/>
  <c r="A119" i="16"/>
  <c r="B118" i="1"/>
  <c r="C118" i="1"/>
  <c r="D118" i="1"/>
  <c r="E118" i="1"/>
  <c r="A119" i="1"/>
  <c r="B118" i="17" l="1"/>
  <c r="C118" i="17"/>
  <c r="D118" i="17"/>
  <c r="E118" i="17"/>
  <c r="F118" i="17" s="1"/>
  <c r="G118" i="17"/>
  <c r="H118" i="17"/>
  <c r="I118" i="17"/>
  <c r="J118" i="17"/>
  <c r="K118" i="17" a="1"/>
  <c r="K118" i="17" s="1"/>
  <c r="A119" i="17"/>
  <c r="B119" i="16"/>
  <c r="C119" i="16"/>
  <c r="D119" i="16"/>
  <c r="E119" i="16"/>
  <c r="F119" i="16" s="1"/>
  <c r="G119" i="16"/>
  <c r="H119" i="16"/>
  <c r="I119" i="16"/>
  <c r="J119" i="16"/>
  <c r="K119" i="16" a="1"/>
  <c r="K119" i="16" s="1"/>
  <c r="A120" i="16"/>
  <c r="B119" i="1"/>
  <c r="C119" i="1"/>
  <c r="D119" i="1"/>
  <c r="E119" i="1"/>
  <c r="A120" i="1"/>
  <c r="B119" i="17" l="1"/>
  <c r="C119" i="17"/>
  <c r="D119" i="17"/>
  <c r="E119" i="17"/>
  <c r="F119" i="17" s="1"/>
  <c r="G119" i="17"/>
  <c r="H119" i="17"/>
  <c r="I119" i="17"/>
  <c r="J119" i="17"/>
  <c r="K119" i="17" a="1"/>
  <c r="K119" i="17" s="1"/>
  <c r="A120" i="17"/>
  <c r="B120" i="16"/>
  <c r="C120" i="16"/>
  <c r="D120" i="16"/>
  <c r="E120" i="16"/>
  <c r="F120" i="16" s="1"/>
  <c r="G120" i="16"/>
  <c r="H120" i="16"/>
  <c r="I120" i="16"/>
  <c r="J120" i="16"/>
  <c r="K120" i="16" a="1"/>
  <c r="K120" i="16" s="1"/>
  <c r="A121" i="16"/>
  <c r="B120" i="1"/>
  <c r="C120" i="1"/>
  <c r="D120" i="1"/>
  <c r="E120" i="1"/>
  <c r="A121" i="1"/>
  <c r="B120" i="17" l="1"/>
  <c r="C120" i="17"/>
  <c r="D120" i="17"/>
  <c r="E120" i="17"/>
  <c r="F120" i="17" s="1"/>
  <c r="G120" i="17"/>
  <c r="H120" i="17"/>
  <c r="I120" i="17"/>
  <c r="J120" i="17"/>
  <c r="K120" i="17" a="1"/>
  <c r="K120" i="17" s="1"/>
  <c r="A121" i="17"/>
  <c r="B121" i="16"/>
  <c r="C121" i="16"/>
  <c r="D121" i="16"/>
  <c r="E121" i="16"/>
  <c r="F121" i="16" s="1"/>
  <c r="G121" i="16"/>
  <c r="H121" i="16"/>
  <c r="I121" i="16"/>
  <c r="J121" i="16"/>
  <c r="K121" i="16" a="1"/>
  <c r="K121" i="16" s="1"/>
  <c r="A122" i="16"/>
  <c r="B121" i="1"/>
  <c r="C121" i="1"/>
  <c r="D121" i="1"/>
  <c r="E121" i="1"/>
  <c r="A122" i="1"/>
  <c r="B121" i="17" l="1"/>
  <c r="C121" i="17"/>
  <c r="D121" i="17"/>
  <c r="E121" i="17"/>
  <c r="F121" i="17" s="1"/>
  <c r="G121" i="17"/>
  <c r="H121" i="17"/>
  <c r="I121" i="17"/>
  <c r="J121" i="17"/>
  <c r="K121" i="17" a="1"/>
  <c r="K121" i="17" s="1"/>
  <c r="A122" i="17"/>
  <c r="B122" i="16"/>
  <c r="C122" i="16"/>
  <c r="D122" i="16"/>
  <c r="E122" i="16"/>
  <c r="F122" i="16" s="1"/>
  <c r="G122" i="16"/>
  <c r="H122" i="16"/>
  <c r="I122" i="16"/>
  <c r="J122" i="16"/>
  <c r="K122" i="16" a="1"/>
  <c r="K122" i="16" s="1"/>
  <c r="A123" i="16"/>
  <c r="B122" i="1"/>
  <c r="C122" i="1"/>
  <c r="D122" i="1"/>
  <c r="E122" i="1"/>
  <c r="A123" i="1"/>
  <c r="B122" i="17" l="1"/>
  <c r="C122" i="17"/>
  <c r="D122" i="17"/>
  <c r="E122" i="17"/>
  <c r="F122" i="17" s="1"/>
  <c r="G122" i="17"/>
  <c r="H122" i="17"/>
  <c r="I122" i="17"/>
  <c r="J122" i="17"/>
  <c r="K122" i="17" a="1"/>
  <c r="K122" i="17" s="1"/>
  <c r="A123" i="17"/>
  <c r="B123" i="16"/>
  <c r="C123" i="16"/>
  <c r="D123" i="16"/>
  <c r="E123" i="16"/>
  <c r="F123" i="16" s="1"/>
  <c r="G123" i="16"/>
  <c r="H123" i="16"/>
  <c r="I123" i="16"/>
  <c r="J123" i="16"/>
  <c r="K123" i="16" a="1"/>
  <c r="K123" i="16" s="1"/>
  <c r="A124" i="16"/>
  <c r="B123" i="1"/>
  <c r="C123" i="1"/>
  <c r="D123" i="1"/>
  <c r="E123" i="1"/>
  <c r="A124" i="1"/>
  <c r="B123" i="17" l="1"/>
  <c r="C123" i="17"/>
  <c r="D123" i="17"/>
  <c r="E123" i="17"/>
  <c r="F123" i="17" s="1"/>
  <c r="G123" i="17"/>
  <c r="H123" i="17"/>
  <c r="I123" i="17"/>
  <c r="J123" i="17"/>
  <c r="K123" i="17" a="1"/>
  <c r="K123" i="17" s="1"/>
  <c r="A124" i="17"/>
  <c r="B124" i="16"/>
  <c r="C124" i="16"/>
  <c r="D124" i="16"/>
  <c r="E124" i="16"/>
  <c r="F124" i="16" s="1"/>
  <c r="G124" i="16"/>
  <c r="H124" i="16"/>
  <c r="I124" i="16"/>
  <c r="J124" i="16"/>
  <c r="K124" i="16" a="1"/>
  <c r="K124" i="16" s="1"/>
  <c r="A125" i="16"/>
  <c r="B124" i="1"/>
  <c r="C124" i="1"/>
  <c r="D124" i="1"/>
  <c r="E124" i="1"/>
  <c r="A125" i="1"/>
  <c r="B124" i="17" l="1"/>
  <c r="C124" i="17"/>
  <c r="D124" i="17"/>
  <c r="E124" i="17"/>
  <c r="F124" i="17" s="1"/>
  <c r="G124" i="17"/>
  <c r="H124" i="17"/>
  <c r="I124" i="17"/>
  <c r="J124" i="17"/>
  <c r="K124" i="17" a="1"/>
  <c r="K124" i="17" s="1"/>
  <c r="A125" i="17"/>
  <c r="B125" i="16"/>
  <c r="C125" i="16"/>
  <c r="D125" i="16"/>
  <c r="E125" i="16"/>
  <c r="F125" i="16" s="1"/>
  <c r="G125" i="16"/>
  <c r="H125" i="16"/>
  <c r="I125" i="16"/>
  <c r="J125" i="16"/>
  <c r="K125" i="16" a="1"/>
  <c r="K125" i="16" s="1"/>
  <c r="A126" i="16"/>
  <c r="B125" i="1"/>
  <c r="C125" i="1"/>
  <c r="D125" i="1"/>
  <c r="E125" i="1"/>
  <c r="A126" i="1"/>
  <c r="B125" i="17" l="1"/>
  <c r="C125" i="17"/>
  <c r="D125" i="17"/>
  <c r="E125" i="17"/>
  <c r="F125" i="17" s="1"/>
  <c r="G125" i="17"/>
  <c r="H125" i="17"/>
  <c r="I125" i="17"/>
  <c r="J125" i="17"/>
  <c r="K125" i="17" a="1"/>
  <c r="K125" i="17" s="1"/>
  <c r="A126" i="17"/>
  <c r="B126" i="16"/>
  <c r="C126" i="16"/>
  <c r="D126" i="16"/>
  <c r="E126" i="16"/>
  <c r="F126" i="16" s="1"/>
  <c r="G126" i="16"/>
  <c r="H126" i="16"/>
  <c r="I126" i="16"/>
  <c r="J126" i="16"/>
  <c r="K126" i="16" a="1"/>
  <c r="K126" i="16" s="1"/>
  <c r="A127" i="16"/>
  <c r="B126" i="1"/>
  <c r="C126" i="1"/>
  <c r="D126" i="1"/>
  <c r="E126" i="1"/>
  <c r="A127" i="1"/>
  <c r="B126" i="17" l="1"/>
  <c r="C126" i="17"/>
  <c r="D126" i="17"/>
  <c r="E126" i="17"/>
  <c r="F126" i="17" s="1"/>
  <c r="G126" i="17"/>
  <c r="H126" i="17"/>
  <c r="I126" i="17"/>
  <c r="J126" i="17"/>
  <c r="K126" i="17" a="1"/>
  <c r="K126" i="17" s="1"/>
  <c r="A127" i="17"/>
  <c r="B127" i="16"/>
  <c r="C127" i="16"/>
  <c r="D127" i="16"/>
  <c r="E127" i="16"/>
  <c r="F127" i="16" s="1"/>
  <c r="G127" i="16"/>
  <c r="H127" i="16"/>
  <c r="I127" i="16"/>
  <c r="J127" i="16"/>
  <c r="K127" i="16" a="1"/>
  <c r="K127" i="16" s="1"/>
  <c r="A128" i="16"/>
  <c r="B127" i="1"/>
  <c r="C127" i="1"/>
  <c r="D127" i="1"/>
  <c r="E127" i="1"/>
  <c r="A128" i="1"/>
  <c r="B127" i="17" l="1"/>
  <c r="C127" i="17"/>
  <c r="D127" i="17"/>
  <c r="E127" i="17"/>
  <c r="F127" i="17" s="1"/>
  <c r="G127" i="17"/>
  <c r="H127" i="17"/>
  <c r="I127" i="17"/>
  <c r="J127" i="17"/>
  <c r="K127" i="17" a="1"/>
  <c r="K127" i="17" s="1"/>
  <c r="A128" i="17"/>
  <c r="B128" i="16"/>
  <c r="C128" i="16"/>
  <c r="D128" i="16"/>
  <c r="E128" i="16"/>
  <c r="F128" i="16" s="1"/>
  <c r="G128" i="16"/>
  <c r="H128" i="16"/>
  <c r="I128" i="16"/>
  <c r="J128" i="16"/>
  <c r="K128" i="16" a="1"/>
  <c r="K128" i="16" s="1"/>
  <c r="A129" i="16"/>
  <c r="B128" i="1"/>
  <c r="C128" i="1"/>
  <c r="D128" i="1"/>
  <c r="E128" i="1"/>
  <c r="A129" i="1"/>
  <c r="B128" i="17" l="1"/>
  <c r="C128" i="17"/>
  <c r="D128" i="17"/>
  <c r="E128" i="17"/>
  <c r="F128" i="17" s="1"/>
  <c r="G128" i="17"/>
  <c r="H128" i="17"/>
  <c r="I128" i="17"/>
  <c r="J128" i="17"/>
  <c r="K128" i="17" a="1"/>
  <c r="K128" i="17" s="1"/>
  <c r="A129" i="17"/>
  <c r="B129" i="16"/>
  <c r="C129" i="16"/>
  <c r="D129" i="16"/>
  <c r="E129" i="16"/>
  <c r="F129" i="16" s="1"/>
  <c r="G129" i="16"/>
  <c r="H129" i="16"/>
  <c r="I129" i="16"/>
  <c r="J129" i="16"/>
  <c r="K129" i="16" a="1"/>
  <c r="K129" i="16" s="1"/>
  <c r="A130" i="16"/>
  <c r="B129" i="1"/>
  <c r="C129" i="1"/>
  <c r="D129" i="1"/>
  <c r="E129" i="1"/>
  <c r="A130" i="1"/>
  <c r="B129" i="17" l="1"/>
  <c r="C129" i="17"/>
  <c r="D129" i="17"/>
  <c r="E129" i="17"/>
  <c r="F129" i="17" s="1"/>
  <c r="G129" i="17"/>
  <c r="H129" i="17"/>
  <c r="I129" i="17"/>
  <c r="J129" i="17"/>
  <c r="K129" i="17" a="1"/>
  <c r="K129" i="17" s="1"/>
  <c r="A130" i="17"/>
  <c r="B130" i="16"/>
  <c r="C130" i="16"/>
  <c r="D130" i="16"/>
  <c r="E130" i="16"/>
  <c r="F130" i="16" s="1"/>
  <c r="G130" i="16"/>
  <c r="H130" i="16"/>
  <c r="I130" i="16"/>
  <c r="J130" i="16"/>
  <c r="K130" i="16" a="1"/>
  <c r="K130" i="16" s="1"/>
  <c r="A131" i="16"/>
  <c r="B130" i="1"/>
  <c r="C130" i="1"/>
  <c r="D130" i="1"/>
  <c r="E130" i="1"/>
  <c r="A131" i="1"/>
  <c r="B130" i="17" l="1"/>
  <c r="C130" i="17"/>
  <c r="D130" i="17"/>
  <c r="E130" i="17"/>
  <c r="F130" i="17" s="1"/>
  <c r="G130" i="17"/>
  <c r="H130" i="17"/>
  <c r="I130" i="17"/>
  <c r="J130" i="17"/>
  <c r="K130" i="17" a="1"/>
  <c r="K130" i="17" s="1"/>
  <c r="A131" i="17"/>
  <c r="B131" i="16"/>
  <c r="C131" i="16"/>
  <c r="D131" i="16"/>
  <c r="E131" i="16"/>
  <c r="F131" i="16" s="1"/>
  <c r="G131" i="16"/>
  <c r="H131" i="16"/>
  <c r="I131" i="16"/>
  <c r="J131" i="16"/>
  <c r="K131" i="16" a="1"/>
  <c r="K131" i="16" s="1"/>
  <c r="A132" i="16"/>
  <c r="B131" i="1"/>
  <c r="C131" i="1"/>
  <c r="D131" i="1"/>
  <c r="E131" i="1"/>
  <c r="A132" i="1"/>
  <c r="B131" i="17" l="1"/>
  <c r="C131" i="17"/>
  <c r="D131" i="17"/>
  <c r="E131" i="17"/>
  <c r="F131" i="17" s="1"/>
  <c r="G131" i="17"/>
  <c r="H131" i="17"/>
  <c r="I131" i="17"/>
  <c r="J131" i="17"/>
  <c r="K131" i="17" a="1"/>
  <c r="K131" i="17" s="1"/>
  <c r="A132" i="17"/>
  <c r="B132" i="16"/>
  <c r="C132" i="16"/>
  <c r="D132" i="16"/>
  <c r="E132" i="16"/>
  <c r="F132" i="16" s="1"/>
  <c r="G132" i="16"/>
  <c r="H132" i="16"/>
  <c r="I132" i="16"/>
  <c r="J132" i="16"/>
  <c r="K132" i="16" a="1"/>
  <c r="K132" i="16" s="1"/>
  <c r="A133" i="16"/>
  <c r="B132" i="1"/>
  <c r="C132" i="1"/>
  <c r="D132" i="1"/>
  <c r="E132" i="1"/>
  <c r="A133" i="1"/>
  <c r="B132" i="17" l="1"/>
  <c r="C132" i="17"/>
  <c r="D132" i="17"/>
  <c r="E132" i="17"/>
  <c r="F132" i="17" s="1"/>
  <c r="G132" i="17"/>
  <c r="H132" i="17"/>
  <c r="I132" i="17"/>
  <c r="J132" i="17"/>
  <c r="K132" i="17" a="1"/>
  <c r="K132" i="17" s="1"/>
  <c r="A133" i="17"/>
  <c r="B133" i="16"/>
  <c r="C133" i="16"/>
  <c r="D133" i="16"/>
  <c r="E133" i="16"/>
  <c r="F133" i="16" s="1"/>
  <c r="G133" i="16"/>
  <c r="H133" i="16"/>
  <c r="I133" i="16"/>
  <c r="J133" i="16"/>
  <c r="K133" i="16" a="1"/>
  <c r="K133" i="16" s="1"/>
  <c r="A134" i="16"/>
  <c r="B133" i="1"/>
  <c r="C133" i="1"/>
  <c r="D133" i="1"/>
  <c r="E133" i="1"/>
  <c r="A134" i="1"/>
  <c r="B133" i="17" l="1"/>
  <c r="C133" i="17"/>
  <c r="D133" i="17"/>
  <c r="E133" i="17"/>
  <c r="F133" i="17" s="1"/>
  <c r="G133" i="17"/>
  <c r="H133" i="17"/>
  <c r="I133" i="17"/>
  <c r="J133" i="17"/>
  <c r="K133" i="17" a="1"/>
  <c r="K133" i="17" s="1"/>
  <c r="A134" i="17"/>
  <c r="B134" i="16"/>
  <c r="C134" i="16"/>
  <c r="D134" i="16"/>
  <c r="E134" i="16"/>
  <c r="F134" i="16" s="1"/>
  <c r="G134" i="16"/>
  <c r="H134" i="16"/>
  <c r="I134" i="16"/>
  <c r="J134" i="16"/>
  <c r="K134" i="16" a="1"/>
  <c r="K134" i="16" s="1"/>
  <c r="A135" i="16"/>
  <c r="B134" i="1"/>
  <c r="C134" i="1"/>
  <c r="D134" i="1"/>
  <c r="E134" i="1"/>
  <c r="A135" i="1"/>
  <c r="B134" i="17" l="1"/>
  <c r="C134" i="17"/>
  <c r="D134" i="17"/>
  <c r="E134" i="17"/>
  <c r="F134" i="17" s="1"/>
  <c r="G134" i="17"/>
  <c r="H134" i="17"/>
  <c r="I134" i="17"/>
  <c r="J134" i="17"/>
  <c r="K134" i="17" a="1"/>
  <c r="K134" i="17" s="1"/>
  <c r="A135" i="17"/>
  <c r="B135" i="16"/>
  <c r="C135" i="16"/>
  <c r="D135" i="16"/>
  <c r="E135" i="16"/>
  <c r="F135" i="16" s="1"/>
  <c r="G135" i="16"/>
  <c r="H135" i="16"/>
  <c r="I135" i="16"/>
  <c r="J135" i="16"/>
  <c r="K135" i="16" a="1"/>
  <c r="K135" i="16" s="1"/>
  <c r="A136" i="16"/>
  <c r="B135" i="1"/>
  <c r="C135" i="1"/>
  <c r="D135" i="1"/>
  <c r="E135" i="1"/>
  <c r="A136" i="1"/>
  <c r="B135" i="17" l="1"/>
  <c r="C135" i="17"/>
  <c r="D135" i="17"/>
  <c r="E135" i="17"/>
  <c r="F135" i="17" s="1"/>
  <c r="G135" i="17"/>
  <c r="H135" i="17"/>
  <c r="I135" i="17"/>
  <c r="J135" i="17"/>
  <c r="K135" i="17" a="1"/>
  <c r="K135" i="17" s="1"/>
  <c r="A136" i="17"/>
  <c r="B136" i="16"/>
  <c r="C136" i="16"/>
  <c r="D136" i="16"/>
  <c r="E136" i="16"/>
  <c r="F136" i="16" s="1"/>
  <c r="G136" i="16"/>
  <c r="H136" i="16"/>
  <c r="I136" i="16"/>
  <c r="J136" i="16"/>
  <c r="K136" i="16" a="1"/>
  <c r="K136" i="16" s="1"/>
  <c r="A137" i="16"/>
  <c r="B136" i="1"/>
  <c r="C136" i="1"/>
  <c r="D136" i="1"/>
  <c r="E136" i="1"/>
  <c r="A137" i="1"/>
  <c r="B136" i="17" l="1"/>
  <c r="C136" i="17"/>
  <c r="D136" i="17"/>
  <c r="E136" i="17"/>
  <c r="F136" i="17" s="1"/>
  <c r="G136" i="17"/>
  <c r="H136" i="17"/>
  <c r="I136" i="17"/>
  <c r="J136" i="17"/>
  <c r="K136" i="17" a="1"/>
  <c r="K136" i="17" s="1"/>
  <c r="A137" i="17"/>
  <c r="B137" i="16"/>
  <c r="C137" i="16"/>
  <c r="D137" i="16"/>
  <c r="E137" i="16"/>
  <c r="F137" i="16" s="1"/>
  <c r="G137" i="16"/>
  <c r="H137" i="16"/>
  <c r="I137" i="16"/>
  <c r="J137" i="16"/>
  <c r="K137" i="16" a="1"/>
  <c r="K137" i="16" s="1"/>
  <c r="A138" i="16"/>
  <c r="B137" i="1"/>
  <c r="C137" i="1"/>
  <c r="D137" i="1"/>
  <c r="E137" i="1"/>
  <c r="A138" i="1"/>
  <c r="B137" i="17" l="1"/>
  <c r="C137" i="17"/>
  <c r="D137" i="17"/>
  <c r="E137" i="17"/>
  <c r="F137" i="17" s="1"/>
  <c r="G137" i="17"/>
  <c r="H137" i="17"/>
  <c r="I137" i="17"/>
  <c r="J137" i="17"/>
  <c r="K137" i="17" a="1"/>
  <c r="K137" i="17" s="1"/>
  <c r="A138" i="17"/>
  <c r="B138" i="16"/>
  <c r="C138" i="16"/>
  <c r="D138" i="16"/>
  <c r="E138" i="16"/>
  <c r="F138" i="16" s="1"/>
  <c r="G138" i="16"/>
  <c r="H138" i="16"/>
  <c r="I138" i="16"/>
  <c r="J138" i="16"/>
  <c r="K138" i="16" a="1"/>
  <c r="K138" i="16" s="1"/>
  <c r="A139" i="16"/>
  <c r="B138" i="1"/>
  <c r="C138" i="1"/>
  <c r="D138" i="1"/>
  <c r="E138" i="1"/>
  <c r="A139" i="1"/>
  <c r="B138" i="17" l="1"/>
  <c r="C138" i="17"/>
  <c r="D138" i="17"/>
  <c r="E138" i="17"/>
  <c r="F138" i="17" s="1"/>
  <c r="G138" i="17"/>
  <c r="H138" i="17"/>
  <c r="I138" i="17"/>
  <c r="J138" i="17"/>
  <c r="K138" i="17" a="1"/>
  <c r="K138" i="17" s="1"/>
  <c r="A139" i="17"/>
  <c r="B139" i="16"/>
  <c r="C139" i="16"/>
  <c r="D139" i="16"/>
  <c r="E139" i="16"/>
  <c r="F139" i="16" s="1"/>
  <c r="G139" i="16"/>
  <c r="H139" i="16"/>
  <c r="I139" i="16"/>
  <c r="J139" i="16"/>
  <c r="K139" i="16" a="1"/>
  <c r="K139" i="16" s="1"/>
  <c r="A140" i="16"/>
  <c r="B139" i="1"/>
  <c r="C139" i="1"/>
  <c r="D139" i="1"/>
  <c r="E139" i="1"/>
  <c r="A140" i="1"/>
  <c r="B139" i="17" l="1"/>
  <c r="C139" i="17"/>
  <c r="D139" i="17"/>
  <c r="E139" i="17"/>
  <c r="F139" i="17" s="1"/>
  <c r="G139" i="17"/>
  <c r="H139" i="17"/>
  <c r="I139" i="17"/>
  <c r="J139" i="17"/>
  <c r="K139" i="17" a="1"/>
  <c r="K139" i="17" s="1"/>
  <c r="A140" i="17"/>
  <c r="B140" i="16"/>
  <c r="C140" i="16"/>
  <c r="D140" i="16"/>
  <c r="E140" i="16"/>
  <c r="F140" i="16" s="1"/>
  <c r="G140" i="16"/>
  <c r="H140" i="16"/>
  <c r="I140" i="16"/>
  <c r="J140" i="16"/>
  <c r="K140" i="16" a="1"/>
  <c r="K140" i="16" s="1"/>
  <c r="A141" i="16"/>
  <c r="B140" i="1"/>
  <c r="C140" i="1"/>
  <c r="D140" i="1"/>
  <c r="E140" i="1"/>
  <c r="A141" i="1"/>
  <c r="B140" i="17" l="1"/>
  <c r="C140" i="17"/>
  <c r="D140" i="17"/>
  <c r="E140" i="17"/>
  <c r="F140" i="17" s="1"/>
  <c r="G140" i="17"/>
  <c r="H140" i="17"/>
  <c r="I140" i="17"/>
  <c r="J140" i="17"/>
  <c r="K140" i="17" a="1"/>
  <c r="K140" i="17" s="1"/>
  <c r="A141" i="17"/>
  <c r="B141" i="16"/>
  <c r="C141" i="16"/>
  <c r="D141" i="16"/>
  <c r="E141" i="16"/>
  <c r="F141" i="16" s="1"/>
  <c r="G141" i="16"/>
  <c r="H141" i="16"/>
  <c r="I141" i="16"/>
  <c r="J141" i="16"/>
  <c r="K141" i="16" a="1"/>
  <c r="K141" i="16" s="1"/>
  <c r="A142" i="16"/>
  <c r="B141" i="1"/>
  <c r="C141" i="1"/>
  <c r="D141" i="1"/>
  <c r="E141" i="1"/>
  <c r="A142" i="1"/>
  <c r="B141" i="17" l="1"/>
  <c r="C141" i="17"/>
  <c r="D141" i="17"/>
  <c r="E141" i="17"/>
  <c r="F141" i="17" s="1"/>
  <c r="G141" i="17"/>
  <c r="H141" i="17"/>
  <c r="I141" i="17"/>
  <c r="J141" i="17"/>
  <c r="K141" i="17" a="1"/>
  <c r="K141" i="17" s="1"/>
  <c r="A142" i="17"/>
  <c r="B142" i="16"/>
  <c r="C142" i="16"/>
  <c r="D142" i="16"/>
  <c r="E142" i="16"/>
  <c r="F142" i="16" s="1"/>
  <c r="G142" i="16"/>
  <c r="H142" i="16"/>
  <c r="I142" i="16"/>
  <c r="J142" i="16"/>
  <c r="K142" i="16" a="1"/>
  <c r="K142" i="16" s="1"/>
  <c r="A143" i="16"/>
  <c r="B142" i="1"/>
  <c r="C142" i="1"/>
  <c r="D142" i="1"/>
  <c r="E142" i="1"/>
  <c r="A143" i="1"/>
  <c r="B142" i="17" l="1"/>
  <c r="C142" i="17"/>
  <c r="D142" i="17"/>
  <c r="E142" i="17"/>
  <c r="F142" i="17" s="1"/>
  <c r="G142" i="17"/>
  <c r="H142" i="17"/>
  <c r="I142" i="17"/>
  <c r="J142" i="17"/>
  <c r="K142" i="17" a="1"/>
  <c r="K142" i="17" s="1"/>
  <c r="A143" i="17"/>
  <c r="B143" i="16"/>
  <c r="C143" i="16"/>
  <c r="D143" i="16"/>
  <c r="E143" i="16"/>
  <c r="F143" i="16" s="1"/>
  <c r="G143" i="16"/>
  <c r="H143" i="16"/>
  <c r="I143" i="16"/>
  <c r="J143" i="16"/>
  <c r="K143" i="16" a="1"/>
  <c r="K143" i="16" s="1"/>
  <c r="A144" i="16"/>
  <c r="B143" i="1"/>
  <c r="C143" i="1"/>
  <c r="D143" i="1"/>
  <c r="E143" i="1"/>
  <c r="A144" i="1"/>
  <c r="B143" i="17" l="1"/>
  <c r="C143" i="17"/>
  <c r="D143" i="17"/>
  <c r="E143" i="17"/>
  <c r="F143" i="17" s="1"/>
  <c r="G143" i="17"/>
  <c r="H143" i="17"/>
  <c r="I143" i="17"/>
  <c r="J143" i="17"/>
  <c r="K143" i="17" a="1"/>
  <c r="K143" i="17" s="1"/>
  <c r="A144" i="17"/>
  <c r="B144" i="16"/>
  <c r="C144" i="16"/>
  <c r="D144" i="16"/>
  <c r="E144" i="16"/>
  <c r="F144" i="16" s="1"/>
  <c r="G144" i="16"/>
  <c r="H144" i="16"/>
  <c r="I144" i="16"/>
  <c r="J144" i="16"/>
  <c r="K144" i="16" a="1"/>
  <c r="K144" i="16" s="1"/>
  <c r="A145" i="16"/>
  <c r="B144" i="1"/>
  <c r="C144" i="1"/>
  <c r="D144" i="1"/>
  <c r="E144" i="1"/>
  <c r="A145" i="1"/>
  <c r="B144" i="17" l="1"/>
  <c r="C144" i="17"/>
  <c r="D144" i="17"/>
  <c r="E144" i="17"/>
  <c r="F144" i="17" s="1"/>
  <c r="G144" i="17"/>
  <c r="H144" i="17"/>
  <c r="I144" i="17"/>
  <c r="J144" i="17"/>
  <c r="K144" i="17" a="1"/>
  <c r="K144" i="17" s="1"/>
  <c r="A145" i="17"/>
  <c r="B145" i="16"/>
  <c r="C145" i="16"/>
  <c r="D145" i="16"/>
  <c r="E145" i="16"/>
  <c r="F145" i="16" s="1"/>
  <c r="G145" i="16"/>
  <c r="H145" i="16"/>
  <c r="I145" i="16"/>
  <c r="J145" i="16"/>
  <c r="K145" i="16" a="1"/>
  <c r="K145" i="16" s="1"/>
  <c r="A146" i="16"/>
  <c r="B145" i="1"/>
  <c r="C145" i="1"/>
  <c r="D145" i="1"/>
  <c r="E145" i="1"/>
  <c r="A146" i="1"/>
  <c r="B145" i="17" l="1"/>
  <c r="C145" i="17"/>
  <c r="D145" i="17"/>
  <c r="E145" i="17"/>
  <c r="F145" i="17" s="1"/>
  <c r="G145" i="17"/>
  <c r="H145" i="17"/>
  <c r="I145" i="17"/>
  <c r="J145" i="17"/>
  <c r="K145" i="17" a="1"/>
  <c r="K145" i="17" s="1"/>
  <c r="A146" i="17"/>
  <c r="B146" i="16"/>
  <c r="C146" i="16"/>
  <c r="D146" i="16"/>
  <c r="E146" i="16"/>
  <c r="F146" i="16" s="1"/>
  <c r="G146" i="16"/>
  <c r="H146" i="16"/>
  <c r="I146" i="16"/>
  <c r="J146" i="16"/>
  <c r="K146" i="16" a="1"/>
  <c r="K146" i="16" s="1"/>
  <c r="A147" i="16"/>
  <c r="B146" i="1"/>
  <c r="C146" i="1"/>
  <c r="D146" i="1"/>
  <c r="E146" i="1"/>
  <c r="A147" i="1"/>
  <c r="B146" i="17" l="1"/>
  <c r="C146" i="17"/>
  <c r="D146" i="17"/>
  <c r="E146" i="17"/>
  <c r="F146" i="17" s="1"/>
  <c r="G146" i="17"/>
  <c r="H146" i="17"/>
  <c r="I146" i="17"/>
  <c r="J146" i="17"/>
  <c r="K146" i="17" a="1"/>
  <c r="K146" i="17" s="1"/>
  <c r="A147" i="17"/>
  <c r="B147" i="16"/>
  <c r="C147" i="16"/>
  <c r="D147" i="16"/>
  <c r="E147" i="16"/>
  <c r="F147" i="16" s="1"/>
  <c r="G147" i="16"/>
  <c r="H147" i="16"/>
  <c r="I147" i="16"/>
  <c r="J147" i="16"/>
  <c r="K147" i="16" a="1"/>
  <c r="K147" i="16" s="1"/>
  <c r="A148" i="16"/>
  <c r="B147" i="1"/>
  <c r="C147" i="1"/>
  <c r="D147" i="1"/>
  <c r="E147" i="1"/>
  <c r="A148" i="1"/>
  <c r="B147" i="17" l="1"/>
  <c r="C147" i="17"/>
  <c r="D147" i="17"/>
  <c r="E147" i="17"/>
  <c r="F147" i="17" s="1"/>
  <c r="G147" i="17"/>
  <c r="H147" i="17"/>
  <c r="I147" i="17"/>
  <c r="J147" i="17"/>
  <c r="K147" i="17" a="1"/>
  <c r="K147" i="17" s="1"/>
  <c r="A148" i="17"/>
  <c r="B148" i="16"/>
  <c r="C148" i="16"/>
  <c r="D148" i="16"/>
  <c r="E148" i="16"/>
  <c r="F148" i="16" s="1"/>
  <c r="G148" i="16"/>
  <c r="H148" i="16"/>
  <c r="I148" i="16"/>
  <c r="J148" i="16"/>
  <c r="K148" i="16" a="1"/>
  <c r="K148" i="16" s="1"/>
  <c r="A149" i="16"/>
  <c r="B148" i="1"/>
  <c r="C148" i="1"/>
  <c r="D148" i="1"/>
  <c r="E148" i="1"/>
  <c r="A149" i="1"/>
  <c r="B148" i="17" l="1"/>
  <c r="C148" i="17"/>
  <c r="D148" i="17"/>
  <c r="E148" i="17"/>
  <c r="F148" i="17" s="1"/>
  <c r="G148" i="17"/>
  <c r="H148" i="17"/>
  <c r="I148" i="17"/>
  <c r="J148" i="17"/>
  <c r="K148" i="17" a="1"/>
  <c r="K148" i="17" s="1"/>
  <c r="A149" i="17"/>
  <c r="B149" i="16"/>
  <c r="C149" i="16"/>
  <c r="D149" i="16"/>
  <c r="E149" i="16"/>
  <c r="F149" i="16" s="1"/>
  <c r="G149" i="16"/>
  <c r="H149" i="16"/>
  <c r="I149" i="16"/>
  <c r="J149" i="16"/>
  <c r="K149" i="16" a="1"/>
  <c r="K149" i="16" s="1"/>
  <c r="A150" i="16"/>
  <c r="B149" i="1"/>
  <c r="C149" i="1"/>
  <c r="D149" i="1"/>
  <c r="E149" i="1"/>
  <c r="A150" i="1"/>
  <c r="B149" i="17" l="1"/>
  <c r="C149" i="17"/>
  <c r="D149" i="17"/>
  <c r="E149" i="17"/>
  <c r="F149" i="17" s="1"/>
  <c r="G149" i="17"/>
  <c r="H149" i="17"/>
  <c r="I149" i="17"/>
  <c r="J149" i="17"/>
  <c r="K149" i="17" a="1"/>
  <c r="K149" i="17" s="1"/>
  <c r="A150" i="17"/>
  <c r="B150" i="16"/>
  <c r="C150" i="16"/>
  <c r="D150" i="16"/>
  <c r="E150" i="16"/>
  <c r="F150" i="16" s="1"/>
  <c r="G150" i="16"/>
  <c r="H150" i="16"/>
  <c r="I150" i="16"/>
  <c r="J150" i="16"/>
  <c r="K150" i="16" a="1"/>
  <c r="K150" i="16" s="1"/>
  <c r="A151" i="16"/>
  <c r="B150" i="1"/>
  <c r="C150" i="1"/>
  <c r="D150" i="1"/>
  <c r="E150" i="1"/>
  <c r="A151" i="1"/>
  <c r="B150" i="17" l="1"/>
  <c r="C150" i="17"/>
  <c r="D150" i="17"/>
  <c r="E150" i="17"/>
  <c r="F150" i="17" s="1"/>
  <c r="G150" i="17"/>
  <c r="H150" i="17"/>
  <c r="I150" i="17"/>
  <c r="J150" i="17"/>
  <c r="K150" i="17" a="1"/>
  <c r="K150" i="17" s="1"/>
  <c r="A151" i="17"/>
  <c r="B151" i="16"/>
  <c r="C151" i="16"/>
  <c r="D151" i="16"/>
  <c r="E151" i="16"/>
  <c r="F151" i="16" s="1"/>
  <c r="G151" i="16"/>
  <c r="H151" i="16"/>
  <c r="I151" i="16"/>
  <c r="J151" i="16"/>
  <c r="K151" i="16" a="1"/>
  <c r="K151" i="16" s="1"/>
  <c r="A152" i="16"/>
  <c r="B151" i="1"/>
  <c r="C151" i="1"/>
  <c r="D151" i="1"/>
  <c r="E151" i="1"/>
  <c r="A152" i="1"/>
  <c r="B151" i="17" l="1"/>
  <c r="C151" i="17"/>
  <c r="D151" i="17"/>
  <c r="E151" i="17"/>
  <c r="F151" i="17" s="1"/>
  <c r="G151" i="17"/>
  <c r="H151" i="17"/>
  <c r="I151" i="17"/>
  <c r="J151" i="17"/>
  <c r="K151" i="17" a="1"/>
  <c r="K151" i="17" s="1"/>
  <c r="A152" i="17"/>
  <c r="B152" i="16"/>
  <c r="C152" i="16"/>
  <c r="D152" i="16"/>
  <c r="E152" i="16"/>
  <c r="F152" i="16" s="1"/>
  <c r="G152" i="16"/>
  <c r="H152" i="16"/>
  <c r="I152" i="16"/>
  <c r="J152" i="16"/>
  <c r="K152" i="16" a="1"/>
  <c r="K152" i="16" s="1"/>
  <c r="A153" i="16"/>
  <c r="B152" i="1"/>
  <c r="C152" i="1"/>
  <c r="D152" i="1"/>
  <c r="E152" i="1"/>
  <c r="A153" i="1"/>
  <c r="B152" i="17" l="1"/>
  <c r="C152" i="17"/>
  <c r="D152" i="17"/>
  <c r="E152" i="17"/>
  <c r="F152" i="17" s="1"/>
  <c r="G152" i="17"/>
  <c r="H152" i="17"/>
  <c r="I152" i="17"/>
  <c r="J152" i="17"/>
  <c r="K152" i="17" a="1"/>
  <c r="K152" i="17" s="1"/>
  <c r="A153" i="17"/>
  <c r="B153" i="16"/>
  <c r="C153" i="16"/>
  <c r="D153" i="16"/>
  <c r="E153" i="16"/>
  <c r="F153" i="16" s="1"/>
  <c r="G153" i="16"/>
  <c r="H153" i="16"/>
  <c r="I153" i="16"/>
  <c r="J153" i="16"/>
  <c r="K153" i="16" a="1"/>
  <c r="K153" i="16" s="1"/>
  <c r="A154" i="16"/>
  <c r="B153" i="1"/>
  <c r="C153" i="1"/>
  <c r="D153" i="1"/>
  <c r="E153" i="1"/>
  <c r="A154" i="1"/>
  <c r="B153" i="17" l="1"/>
  <c r="C153" i="17"/>
  <c r="D153" i="17"/>
  <c r="E153" i="17"/>
  <c r="F153" i="17" s="1"/>
  <c r="G153" i="17"/>
  <c r="H153" i="17"/>
  <c r="I153" i="17"/>
  <c r="J153" i="17"/>
  <c r="K153" i="17" a="1"/>
  <c r="K153" i="17" s="1"/>
  <c r="A154" i="17"/>
  <c r="B154" i="16"/>
  <c r="C154" i="16"/>
  <c r="D154" i="16"/>
  <c r="E154" i="16"/>
  <c r="F154" i="16" s="1"/>
  <c r="G154" i="16"/>
  <c r="H154" i="16"/>
  <c r="I154" i="16"/>
  <c r="J154" i="16"/>
  <c r="K154" i="16" a="1"/>
  <c r="K154" i="16" s="1"/>
  <c r="A155" i="16"/>
  <c r="B154" i="1"/>
  <c r="C154" i="1"/>
  <c r="D154" i="1"/>
  <c r="E154" i="1"/>
  <c r="A155" i="1"/>
  <c r="B154" i="17" l="1"/>
  <c r="C154" i="17"/>
  <c r="D154" i="17"/>
  <c r="E154" i="17"/>
  <c r="F154" i="17" s="1"/>
  <c r="G154" i="17"/>
  <c r="H154" i="17"/>
  <c r="I154" i="17"/>
  <c r="J154" i="17"/>
  <c r="K154" i="17" a="1"/>
  <c r="K154" i="17" s="1"/>
  <c r="A155" i="17"/>
  <c r="B155" i="16"/>
  <c r="C155" i="16"/>
  <c r="D155" i="16"/>
  <c r="E155" i="16"/>
  <c r="F155" i="16" s="1"/>
  <c r="G155" i="16"/>
  <c r="H155" i="16"/>
  <c r="I155" i="16"/>
  <c r="J155" i="16"/>
  <c r="K155" i="16" a="1"/>
  <c r="K155" i="16" s="1"/>
  <c r="A156" i="16"/>
  <c r="B155" i="1"/>
  <c r="C155" i="1"/>
  <c r="D155" i="1"/>
  <c r="E155" i="1"/>
  <c r="A156" i="1"/>
  <c r="B155" i="17" l="1"/>
  <c r="C155" i="17"/>
  <c r="D155" i="17"/>
  <c r="E155" i="17"/>
  <c r="F155" i="17" s="1"/>
  <c r="G155" i="17"/>
  <c r="H155" i="17"/>
  <c r="I155" i="17"/>
  <c r="J155" i="17"/>
  <c r="K155" i="17" a="1"/>
  <c r="K155" i="17" s="1"/>
  <c r="A156" i="17"/>
  <c r="B156" i="16"/>
  <c r="C156" i="16"/>
  <c r="D156" i="16"/>
  <c r="E156" i="16"/>
  <c r="F156" i="16" s="1"/>
  <c r="G156" i="16"/>
  <c r="H156" i="16"/>
  <c r="I156" i="16"/>
  <c r="J156" i="16"/>
  <c r="K156" i="16" a="1"/>
  <c r="K156" i="16" s="1"/>
  <c r="A157" i="16"/>
  <c r="B156" i="1"/>
  <c r="C156" i="1"/>
  <c r="D156" i="1"/>
  <c r="E156" i="1"/>
  <c r="A157" i="1"/>
  <c r="B156" i="17" l="1"/>
  <c r="C156" i="17"/>
  <c r="D156" i="17"/>
  <c r="E156" i="17"/>
  <c r="F156" i="17" s="1"/>
  <c r="G156" i="17"/>
  <c r="H156" i="17"/>
  <c r="I156" i="17"/>
  <c r="J156" i="17"/>
  <c r="K156" i="17" a="1"/>
  <c r="K156" i="17" s="1"/>
  <c r="A157" i="17"/>
  <c r="B157" i="16"/>
  <c r="C157" i="16"/>
  <c r="D157" i="16"/>
  <c r="E157" i="16"/>
  <c r="F157" i="16" s="1"/>
  <c r="G157" i="16"/>
  <c r="H157" i="16"/>
  <c r="I157" i="16"/>
  <c r="J157" i="16"/>
  <c r="K157" i="16" a="1"/>
  <c r="K157" i="16" s="1"/>
  <c r="A158" i="16"/>
  <c r="B157" i="1"/>
  <c r="C157" i="1"/>
  <c r="D157" i="1"/>
  <c r="E157" i="1"/>
  <c r="A158" i="1"/>
  <c r="B157" i="17" l="1"/>
  <c r="C157" i="17"/>
  <c r="D157" i="17"/>
  <c r="E157" i="17"/>
  <c r="F157" i="17" s="1"/>
  <c r="G157" i="17"/>
  <c r="H157" i="17"/>
  <c r="I157" i="17"/>
  <c r="J157" i="17"/>
  <c r="K157" i="17" a="1"/>
  <c r="K157" i="17" s="1"/>
  <c r="A158" i="17"/>
  <c r="B158" i="16"/>
  <c r="C158" i="16"/>
  <c r="D158" i="16"/>
  <c r="E158" i="16"/>
  <c r="F158" i="16" s="1"/>
  <c r="G158" i="16"/>
  <c r="H158" i="16"/>
  <c r="I158" i="16"/>
  <c r="J158" i="16"/>
  <c r="K158" i="16" a="1"/>
  <c r="K158" i="16" s="1"/>
  <c r="A159" i="16"/>
  <c r="B158" i="1"/>
  <c r="C158" i="1"/>
  <c r="D158" i="1"/>
  <c r="E158" i="1"/>
  <c r="A159" i="1"/>
  <c r="B158" i="17" l="1"/>
  <c r="C158" i="17"/>
  <c r="D158" i="17"/>
  <c r="E158" i="17"/>
  <c r="F158" i="17" s="1"/>
  <c r="G158" i="17"/>
  <c r="H158" i="17"/>
  <c r="I158" i="17"/>
  <c r="J158" i="17"/>
  <c r="K158" i="17" a="1"/>
  <c r="K158" i="17" s="1"/>
  <c r="A159" i="17"/>
  <c r="B159" i="16"/>
  <c r="C159" i="16"/>
  <c r="D159" i="16"/>
  <c r="E159" i="16"/>
  <c r="F159" i="16" s="1"/>
  <c r="G159" i="16"/>
  <c r="H159" i="16"/>
  <c r="I159" i="16"/>
  <c r="J159" i="16"/>
  <c r="K159" i="16" a="1"/>
  <c r="K159" i="16" s="1"/>
  <c r="A160" i="16"/>
  <c r="B159" i="1"/>
  <c r="C159" i="1"/>
  <c r="D159" i="1"/>
  <c r="E159" i="1"/>
  <c r="A160" i="1"/>
  <c r="B159" i="17" l="1"/>
  <c r="C159" i="17"/>
  <c r="D159" i="17"/>
  <c r="E159" i="17"/>
  <c r="F159" i="17" s="1"/>
  <c r="G159" i="17"/>
  <c r="H159" i="17"/>
  <c r="I159" i="17"/>
  <c r="J159" i="17"/>
  <c r="K159" i="17" a="1"/>
  <c r="K159" i="17" s="1"/>
  <c r="A160" i="17"/>
  <c r="B160" i="16"/>
  <c r="C160" i="16"/>
  <c r="D160" i="16"/>
  <c r="E160" i="16"/>
  <c r="F160" i="16" s="1"/>
  <c r="G160" i="16"/>
  <c r="H160" i="16"/>
  <c r="I160" i="16"/>
  <c r="J160" i="16"/>
  <c r="K160" i="16" a="1"/>
  <c r="K160" i="16" s="1"/>
  <c r="A161" i="16"/>
  <c r="B160" i="1"/>
  <c r="C160" i="1"/>
  <c r="D160" i="1"/>
  <c r="E160" i="1"/>
  <c r="A161" i="1"/>
  <c r="B160" i="17" l="1"/>
  <c r="C160" i="17"/>
  <c r="D160" i="17"/>
  <c r="E160" i="17"/>
  <c r="F160" i="17" s="1"/>
  <c r="G160" i="17"/>
  <c r="H160" i="17"/>
  <c r="I160" i="17"/>
  <c r="J160" i="17"/>
  <c r="K160" i="17" a="1"/>
  <c r="K160" i="17" s="1"/>
  <c r="A161" i="17"/>
  <c r="B161" i="16"/>
  <c r="C161" i="16"/>
  <c r="D161" i="16"/>
  <c r="E161" i="16"/>
  <c r="F161" i="16" s="1"/>
  <c r="G161" i="16"/>
  <c r="H161" i="16"/>
  <c r="I161" i="16"/>
  <c r="J161" i="16"/>
  <c r="K161" i="16" a="1"/>
  <c r="K161" i="16" s="1"/>
  <c r="A162" i="16"/>
  <c r="B161" i="1"/>
  <c r="C161" i="1"/>
  <c r="D161" i="1"/>
  <c r="E161" i="1"/>
  <c r="A162" i="1"/>
  <c r="B161" i="17" l="1"/>
  <c r="C161" i="17"/>
  <c r="D161" i="17"/>
  <c r="E161" i="17"/>
  <c r="F161" i="17" s="1"/>
  <c r="G161" i="17"/>
  <c r="H161" i="17"/>
  <c r="I161" i="17"/>
  <c r="J161" i="17"/>
  <c r="K161" i="17" a="1"/>
  <c r="K161" i="17" s="1"/>
  <c r="A162" i="17"/>
  <c r="B162" i="16"/>
  <c r="C162" i="16"/>
  <c r="D162" i="16"/>
  <c r="E162" i="16"/>
  <c r="F162" i="16" s="1"/>
  <c r="G162" i="16"/>
  <c r="H162" i="16"/>
  <c r="I162" i="16"/>
  <c r="J162" i="16"/>
  <c r="K162" i="16" a="1"/>
  <c r="K162" i="16" s="1"/>
  <c r="A163" i="16"/>
  <c r="B162" i="1"/>
  <c r="C162" i="1"/>
  <c r="D162" i="1"/>
  <c r="E162" i="1"/>
  <c r="A163" i="1"/>
  <c r="B162" i="17" l="1"/>
  <c r="C162" i="17"/>
  <c r="D162" i="17"/>
  <c r="E162" i="17"/>
  <c r="F162" i="17" s="1"/>
  <c r="G162" i="17"/>
  <c r="H162" i="17"/>
  <c r="I162" i="17"/>
  <c r="J162" i="17"/>
  <c r="K162" i="17" a="1"/>
  <c r="K162" i="17" s="1"/>
  <c r="A163" i="17"/>
  <c r="B163" i="16"/>
  <c r="C163" i="16"/>
  <c r="D163" i="16"/>
  <c r="E163" i="16"/>
  <c r="F163" i="16" s="1"/>
  <c r="G163" i="16"/>
  <c r="H163" i="16"/>
  <c r="I163" i="16"/>
  <c r="J163" i="16"/>
  <c r="K163" i="16" a="1"/>
  <c r="K163" i="16" s="1"/>
  <c r="A164" i="16"/>
  <c r="B163" i="1"/>
  <c r="C163" i="1"/>
  <c r="D163" i="1"/>
  <c r="E163" i="1"/>
  <c r="A164" i="1"/>
  <c r="B163" i="17" l="1"/>
  <c r="C163" i="17"/>
  <c r="D163" i="17"/>
  <c r="E163" i="17"/>
  <c r="F163" i="17" s="1"/>
  <c r="G163" i="17"/>
  <c r="H163" i="17"/>
  <c r="I163" i="17"/>
  <c r="J163" i="17"/>
  <c r="K163" i="17" a="1"/>
  <c r="K163" i="17" s="1"/>
  <c r="A164" i="17"/>
  <c r="B164" i="16"/>
  <c r="C164" i="16"/>
  <c r="D164" i="16"/>
  <c r="E164" i="16"/>
  <c r="F164" i="16" s="1"/>
  <c r="G164" i="16"/>
  <c r="H164" i="16"/>
  <c r="I164" i="16"/>
  <c r="J164" i="16"/>
  <c r="K164" i="16" a="1"/>
  <c r="K164" i="16" s="1"/>
  <c r="A165" i="16"/>
  <c r="B164" i="1"/>
  <c r="C164" i="1"/>
  <c r="D164" i="1"/>
  <c r="E164" i="1"/>
  <c r="A165" i="1"/>
  <c r="B164" i="17" l="1"/>
  <c r="C164" i="17"/>
  <c r="D164" i="17"/>
  <c r="E164" i="17"/>
  <c r="F164" i="17" s="1"/>
  <c r="G164" i="17"/>
  <c r="H164" i="17"/>
  <c r="I164" i="17"/>
  <c r="J164" i="17"/>
  <c r="K164" i="17" a="1"/>
  <c r="K164" i="17" s="1"/>
  <c r="A165" i="17"/>
  <c r="B165" i="16"/>
  <c r="C165" i="16"/>
  <c r="D165" i="16"/>
  <c r="E165" i="16"/>
  <c r="F165" i="16" s="1"/>
  <c r="G165" i="16"/>
  <c r="H165" i="16"/>
  <c r="I165" i="16"/>
  <c r="J165" i="16"/>
  <c r="K165" i="16" a="1"/>
  <c r="K165" i="16" s="1"/>
  <c r="A166" i="16"/>
  <c r="B165" i="1"/>
  <c r="C165" i="1"/>
  <c r="D165" i="1"/>
  <c r="E165" i="1"/>
  <c r="A166" i="1"/>
  <c r="B165" i="17" l="1"/>
  <c r="C165" i="17"/>
  <c r="D165" i="17"/>
  <c r="E165" i="17"/>
  <c r="F165" i="17" s="1"/>
  <c r="G165" i="17"/>
  <c r="H165" i="17"/>
  <c r="I165" i="17"/>
  <c r="J165" i="17"/>
  <c r="K165" i="17" a="1"/>
  <c r="K165" i="17" s="1"/>
  <c r="A166" i="17"/>
  <c r="B166" i="16"/>
  <c r="C166" i="16"/>
  <c r="D166" i="16"/>
  <c r="E166" i="16"/>
  <c r="F166" i="16" s="1"/>
  <c r="G166" i="16"/>
  <c r="H166" i="16"/>
  <c r="I166" i="16"/>
  <c r="J166" i="16"/>
  <c r="K166" i="16" a="1"/>
  <c r="K166" i="16" s="1"/>
  <c r="A167" i="16"/>
  <c r="B166" i="1"/>
  <c r="C166" i="1"/>
  <c r="D166" i="1"/>
  <c r="E166" i="1"/>
  <c r="A167" i="1"/>
  <c r="B166" i="17" l="1"/>
  <c r="C166" i="17"/>
  <c r="D166" i="17"/>
  <c r="E166" i="17"/>
  <c r="F166" i="17" s="1"/>
  <c r="G166" i="17"/>
  <c r="H166" i="17"/>
  <c r="I166" i="17"/>
  <c r="J166" i="17"/>
  <c r="K166" i="17" a="1"/>
  <c r="K166" i="17" s="1"/>
  <c r="A167" i="17"/>
  <c r="B167" i="16"/>
  <c r="C167" i="16"/>
  <c r="D167" i="16"/>
  <c r="E167" i="16"/>
  <c r="F167" i="16" s="1"/>
  <c r="G167" i="16"/>
  <c r="H167" i="16"/>
  <c r="I167" i="16"/>
  <c r="J167" i="16"/>
  <c r="K167" i="16" a="1"/>
  <c r="K167" i="16" s="1"/>
  <c r="A168" i="16"/>
  <c r="B167" i="1"/>
  <c r="C167" i="1"/>
  <c r="D167" i="1"/>
  <c r="E167" i="1"/>
  <c r="A168" i="1"/>
  <c r="B167" i="17" l="1"/>
  <c r="C167" i="17"/>
  <c r="D167" i="17"/>
  <c r="E167" i="17"/>
  <c r="F167" i="17" s="1"/>
  <c r="G167" i="17"/>
  <c r="H167" i="17"/>
  <c r="I167" i="17"/>
  <c r="J167" i="17"/>
  <c r="K167" i="17" a="1"/>
  <c r="K167" i="17" s="1"/>
  <c r="A168" i="17"/>
  <c r="B168" i="16"/>
  <c r="C168" i="16"/>
  <c r="D168" i="16"/>
  <c r="E168" i="16"/>
  <c r="F168" i="16" s="1"/>
  <c r="G168" i="16"/>
  <c r="H168" i="16"/>
  <c r="I168" i="16"/>
  <c r="J168" i="16"/>
  <c r="K168" i="16" a="1"/>
  <c r="K168" i="16" s="1"/>
  <c r="A169" i="16"/>
  <c r="B168" i="1"/>
  <c r="C168" i="1"/>
  <c r="D168" i="1"/>
  <c r="E168" i="1"/>
  <c r="A169" i="1"/>
  <c r="B168" i="17" l="1"/>
  <c r="C168" i="17"/>
  <c r="D168" i="17"/>
  <c r="E168" i="17"/>
  <c r="F168" i="17" s="1"/>
  <c r="G168" i="17"/>
  <c r="H168" i="17"/>
  <c r="I168" i="17"/>
  <c r="J168" i="17"/>
  <c r="K168" i="17" a="1"/>
  <c r="K168" i="17" s="1"/>
  <c r="A169" i="17"/>
  <c r="B169" i="16"/>
  <c r="C169" i="16"/>
  <c r="D169" i="16"/>
  <c r="E169" i="16"/>
  <c r="F169" i="16" s="1"/>
  <c r="G169" i="16"/>
  <c r="H169" i="16"/>
  <c r="I169" i="16"/>
  <c r="J169" i="16"/>
  <c r="K169" i="16" a="1"/>
  <c r="K169" i="16" s="1"/>
  <c r="A170" i="16"/>
  <c r="B169" i="1"/>
  <c r="C169" i="1"/>
  <c r="D169" i="1"/>
  <c r="E169" i="1"/>
  <c r="A170" i="1"/>
  <c r="B169" i="17" l="1"/>
  <c r="C169" i="17"/>
  <c r="D169" i="17"/>
  <c r="E169" i="17"/>
  <c r="F169" i="17" s="1"/>
  <c r="G169" i="17"/>
  <c r="H169" i="17"/>
  <c r="I169" i="17"/>
  <c r="J169" i="17"/>
  <c r="K169" i="17" a="1"/>
  <c r="K169" i="17" s="1"/>
  <c r="A170" i="17"/>
  <c r="B170" i="16"/>
  <c r="C170" i="16"/>
  <c r="D170" i="16"/>
  <c r="E170" i="16"/>
  <c r="F170" i="16" s="1"/>
  <c r="G170" i="16"/>
  <c r="H170" i="16"/>
  <c r="I170" i="16"/>
  <c r="J170" i="16"/>
  <c r="K170" i="16" a="1"/>
  <c r="K170" i="16" s="1"/>
  <c r="A171" i="16"/>
  <c r="B170" i="1"/>
  <c r="C170" i="1"/>
  <c r="D170" i="1"/>
  <c r="E170" i="1"/>
  <c r="A171" i="1"/>
  <c r="B170" i="17" l="1"/>
  <c r="C170" i="17"/>
  <c r="D170" i="17"/>
  <c r="E170" i="17"/>
  <c r="F170" i="17" s="1"/>
  <c r="G170" i="17"/>
  <c r="H170" i="17"/>
  <c r="I170" i="17"/>
  <c r="J170" i="17"/>
  <c r="K170" i="17" a="1"/>
  <c r="K170" i="17" s="1"/>
  <c r="A171" i="17"/>
  <c r="B171" i="16"/>
  <c r="C171" i="16"/>
  <c r="D171" i="16"/>
  <c r="E171" i="16"/>
  <c r="F171" i="16" s="1"/>
  <c r="G171" i="16"/>
  <c r="H171" i="16"/>
  <c r="I171" i="16"/>
  <c r="J171" i="16"/>
  <c r="K171" i="16" a="1"/>
  <c r="K171" i="16" s="1"/>
  <c r="A172" i="16"/>
  <c r="B171" i="1"/>
  <c r="C171" i="1"/>
  <c r="D171" i="1"/>
  <c r="E171" i="1"/>
  <c r="A172" i="1"/>
  <c r="B171" i="17" l="1"/>
  <c r="C171" i="17"/>
  <c r="D171" i="17"/>
  <c r="E171" i="17"/>
  <c r="F171" i="17" s="1"/>
  <c r="G171" i="17"/>
  <c r="H171" i="17"/>
  <c r="I171" i="17"/>
  <c r="J171" i="17"/>
  <c r="K171" i="17" a="1"/>
  <c r="K171" i="17" s="1"/>
  <c r="A172" i="17"/>
  <c r="B172" i="16"/>
  <c r="C172" i="16"/>
  <c r="D172" i="16"/>
  <c r="E172" i="16"/>
  <c r="F172" i="16" s="1"/>
  <c r="G172" i="16"/>
  <c r="H172" i="16"/>
  <c r="I172" i="16"/>
  <c r="J172" i="16"/>
  <c r="K172" i="16" a="1"/>
  <c r="K172" i="16" s="1"/>
  <c r="A173" i="16"/>
  <c r="B172" i="1"/>
  <c r="C172" i="1"/>
  <c r="D172" i="1"/>
  <c r="E172" i="1"/>
  <c r="A173" i="1"/>
  <c r="B172" i="17" l="1"/>
  <c r="C172" i="17"/>
  <c r="D172" i="17"/>
  <c r="E172" i="17"/>
  <c r="F172" i="17" s="1"/>
  <c r="G172" i="17"/>
  <c r="H172" i="17"/>
  <c r="I172" i="17"/>
  <c r="J172" i="17"/>
  <c r="K172" i="17" a="1"/>
  <c r="K172" i="17" s="1"/>
  <c r="A173" i="17"/>
  <c r="B173" i="16"/>
  <c r="C173" i="16"/>
  <c r="D173" i="16"/>
  <c r="E173" i="16"/>
  <c r="F173" i="16" s="1"/>
  <c r="G173" i="16"/>
  <c r="H173" i="16"/>
  <c r="I173" i="16"/>
  <c r="J173" i="16"/>
  <c r="K173" i="16" a="1"/>
  <c r="K173" i="16" s="1"/>
  <c r="A174" i="16"/>
  <c r="B173" i="1"/>
  <c r="C173" i="1"/>
  <c r="D173" i="1"/>
  <c r="E173" i="1"/>
  <c r="A174" i="1"/>
  <c r="B173" i="17" l="1"/>
  <c r="C173" i="17"/>
  <c r="D173" i="17"/>
  <c r="E173" i="17"/>
  <c r="F173" i="17" s="1"/>
  <c r="G173" i="17"/>
  <c r="H173" i="17"/>
  <c r="I173" i="17"/>
  <c r="J173" i="17"/>
  <c r="K173" i="17" a="1"/>
  <c r="K173" i="17" s="1"/>
  <c r="A174" i="17"/>
  <c r="B174" i="16"/>
  <c r="C174" i="16"/>
  <c r="D174" i="16"/>
  <c r="E174" i="16"/>
  <c r="F174" i="16" s="1"/>
  <c r="G174" i="16"/>
  <c r="H174" i="16"/>
  <c r="I174" i="16"/>
  <c r="J174" i="16"/>
  <c r="K174" i="16" a="1"/>
  <c r="K174" i="16" s="1"/>
  <c r="A175" i="16"/>
  <c r="B174" i="1"/>
  <c r="C174" i="1"/>
  <c r="D174" i="1"/>
  <c r="E174" i="1"/>
  <c r="A175" i="1"/>
  <c r="B174" i="17" l="1"/>
  <c r="C174" i="17"/>
  <c r="D174" i="17"/>
  <c r="E174" i="17"/>
  <c r="F174" i="17" s="1"/>
  <c r="G174" i="17"/>
  <c r="H174" i="17"/>
  <c r="I174" i="17"/>
  <c r="J174" i="17"/>
  <c r="K174" i="17" a="1"/>
  <c r="K174" i="17" s="1"/>
  <c r="A175" i="17"/>
  <c r="B175" i="16"/>
  <c r="C175" i="16"/>
  <c r="D175" i="16"/>
  <c r="E175" i="16"/>
  <c r="F175" i="16" s="1"/>
  <c r="G175" i="16"/>
  <c r="H175" i="16"/>
  <c r="I175" i="16"/>
  <c r="J175" i="16"/>
  <c r="K175" i="16" a="1"/>
  <c r="K175" i="16" s="1"/>
  <c r="A176" i="16"/>
  <c r="B175" i="1"/>
  <c r="C175" i="1"/>
  <c r="D175" i="1"/>
  <c r="E175" i="1"/>
  <c r="A176" i="1"/>
  <c r="B175" i="17" l="1"/>
  <c r="C175" i="17"/>
  <c r="D175" i="17"/>
  <c r="E175" i="17"/>
  <c r="F175" i="17" s="1"/>
  <c r="G175" i="17"/>
  <c r="H175" i="17"/>
  <c r="I175" i="17"/>
  <c r="J175" i="17"/>
  <c r="K175" i="17" a="1"/>
  <c r="K175" i="17" s="1"/>
  <c r="A176" i="17"/>
  <c r="B176" i="16"/>
  <c r="C176" i="16"/>
  <c r="D176" i="16"/>
  <c r="E176" i="16"/>
  <c r="F176" i="16" s="1"/>
  <c r="G176" i="16"/>
  <c r="H176" i="16"/>
  <c r="I176" i="16"/>
  <c r="J176" i="16"/>
  <c r="K176" i="16" a="1"/>
  <c r="K176" i="16" s="1"/>
  <c r="A177" i="16"/>
  <c r="B176" i="1"/>
  <c r="C176" i="1"/>
  <c r="D176" i="1"/>
  <c r="E176" i="1"/>
  <c r="A177" i="1"/>
  <c r="B176" i="17" l="1"/>
  <c r="C176" i="17"/>
  <c r="D176" i="17"/>
  <c r="E176" i="17"/>
  <c r="F176" i="17" s="1"/>
  <c r="G176" i="17"/>
  <c r="H176" i="17"/>
  <c r="I176" i="17"/>
  <c r="J176" i="17"/>
  <c r="K176" i="17" a="1"/>
  <c r="K176" i="17" s="1"/>
  <c r="A177" i="17"/>
  <c r="B177" i="16"/>
  <c r="C177" i="16"/>
  <c r="D177" i="16"/>
  <c r="E177" i="16"/>
  <c r="F177" i="16" s="1"/>
  <c r="G177" i="16"/>
  <c r="H177" i="16"/>
  <c r="I177" i="16"/>
  <c r="J177" i="16"/>
  <c r="K177" i="16" a="1"/>
  <c r="K177" i="16" s="1"/>
  <c r="A178" i="16"/>
  <c r="B177" i="1"/>
  <c r="C177" i="1"/>
  <c r="D177" i="1"/>
  <c r="E177" i="1"/>
  <c r="A178" i="1"/>
  <c r="B177" i="17" l="1"/>
  <c r="C177" i="17"/>
  <c r="D177" i="17"/>
  <c r="E177" i="17"/>
  <c r="F177" i="17" s="1"/>
  <c r="G177" i="17"/>
  <c r="H177" i="17"/>
  <c r="I177" i="17"/>
  <c r="J177" i="17"/>
  <c r="K177" i="17" a="1"/>
  <c r="K177" i="17" s="1"/>
  <c r="A178" i="17"/>
  <c r="B178" i="16"/>
  <c r="C178" i="16"/>
  <c r="D178" i="16"/>
  <c r="E178" i="16"/>
  <c r="F178" i="16" s="1"/>
  <c r="G178" i="16"/>
  <c r="H178" i="16"/>
  <c r="I178" i="16"/>
  <c r="J178" i="16"/>
  <c r="K178" i="16" a="1"/>
  <c r="K178" i="16" s="1"/>
  <c r="A179" i="16"/>
  <c r="B178" i="1"/>
  <c r="C178" i="1"/>
  <c r="D178" i="1"/>
  <c r="E178" i="1"/>
  <c r="A179" i="1"/>
  <c r="B178" i="17" l="1"/>
  <c r="C178" i="17"/>
  <c r="D178" i="17"/>
  <c r="E178" i="17"/>
  <c r="F178" i="17" s="1"/>
  <c r="G178" i="17"/>
  <c r="H178" i="17"/>
  <c r="I178" i="17"/>
  <c r="J178" i="17"/>
  <c r="K178" i="17" a="1"/>
  <c r="K178" i="17" s="1"/>
  <c r="A179" i="17"/>
  <c r="B179" i="16"/>
  <c r="C179" i="16"/>
  <c r="D179" i="16"/>
  <c r="E179" i="16"/>
  <c r="F179" i="16" s="1"/>
  <c r="G179" i="16"/>
  <c r="H179" i="16"/>
  <c r="I179" i="16"/>
  <c r="J179" i="16"/>
  <c r="K179" i="16" a="1"/>
  <c r="K179" i="16" s="1"/>
  <c r="A180" i="16"/>
  <c r="B179" i="1"/>
  <c r="C179" i="1"/>
  <c r="D179" i="1"/>
  <c r="E179" i="1"/>
  <c r="A180" i="1"/>
  <c r="B179" i="17" l="1"/>
  <c r="C179" i="17"/>
  <c r="D179" i="17"/>
  <c r="E179" i="17"/>
  <c r="F179" i="17" s="1"/>
  <c r="G179" i="17"/>
  <c r="H179" i="17"/>
  <c r="I179" i="17"/>
  <c r="J179" i="17"/>
  <c r="K179" i="17" a="1"/>
  <c r="K179" i="17" s="1"/>
  <c r="A180" i="17"/>
  <c r="B180" i="16"/>
  <c r="C180" i="16"/>
  <c r="D180" i="16"/>
  <c r="E180" i="16"/>
  <c r="F180" i="16" s="1"/>
  <c r="G180" i="16"/>
  <c r="H180" i="16"/>
  <c r="I180" i="16"/>
  <c r="J180" i="16"/>
  <c r="K180" i="16" a="1"/>
  <c r="K180" i="16" s="1"/>
  <c r="A181" i="16"/>
  <c r="B180" i="1"/>
  <c r="C180" i="1"/>
  <c r="D180" i="1"/>
  <c r="E180" i="1"/>
  <c r="A181" i="1"/>
  <c r="B180" i="17" l="1"/>
  <c r="C180" i="17"/>
  <c r="D180" i="17"/>
  <c r="E180" i="17"/>
  <c r="F180" i="17" s="1"/>
  <c r="G180" i="17"/>
  <c r="H180" i="17"/>
  <c r="I180" i="17"/>
  <c r="J180" i="17"/>
  <c r="K180" i="17" a="1"/>
  <c r="K180" i="17" s="1"/>
  <c r="A181" i="17"/>
  <c r="B181" i="16"/>
  <c r="C181" i="16"/>
  <c r="D181" i="16"/>
  <c r="E181" i="16"/>
  <c r="F181" i="16" s="1"/>
  <c r="G181" i="16"/>
  <c r="H181" i="16"/>
  <c r="I181" i="16"/>
  <c r="J181" i="16"/>
  <c r="K181" i="16" a="1"/>
  <c r="K181" i="16" s="1"/>
  <c r="A182" i="16"/>
  <c r="B181" i="1"/>
  <c r="C181" i="1"/>
  <c r="D181" i="1"/>
  <c r="E181" i="1"/>
  <c r="A182" i="1"/>
  <c r="B181" i="17" l="1"/>
  <c r="C181" i="17"/>
  <c r="D181" i="17"/>
  <c r="E181" i="17"/>
  <c r="F181" i="17" s="1"/>
  <c r="G181" i="17"/>
  <c r="H181" i="17"/>
  <c r="I181" i="17"/>
  <c r="J181" i="17"/>
  <c r="K181" i="17" a="1"/>
  <c r="K181" i="17" s="1"/>
  <c r="A182" i="17"/>
  <c r="B182" i="16"/>
  <c r="C182" i="16"/>
  <c r="D182" i="16"/>
  <c r="E182" i="16"/>
  <c r="F182" i="16" s="1"/>
  <c r="G182" i="16"/>
  <c r="H182" i="16"/>
  <c r="I182" i="16"/>
  <c r="J182" i="16"/>
  <c r="K182" i="16" a="1"/>
  <c r="K182" i="16" s="1"/>
  <c r="A183" i="16"/>
  <c r="B182" i="1"/>
  <c r="C182" i="1"/>
  <c r="D182" i="1"/>
  <c r="E182" i="1"/>
  <c r="A183" i="1"/>
  <c r="B182" i="17" l="1"/>
  <c r="C182" i="17"/>
  <c r="D182" i="17"/>
  <c r="E182" i="17"/>
  <c r="F182" i="17" s="1"/>
  <c r="G182" i="17"/>
  <c r="H182" i="17"/>
  <c r="I182" i="17"/>
  <c r="J182" i="17"/>
  <c r="K182" i="17" a="1"/>
  <c r="K182" i="17" s="1"/>
  <c r="A183" i="17"/>
  <c r="B183" i="16"/>
  <c r="C183" i="16"/>
  <c r="D183" i="16"/>
  <c r="E183" i="16"/>
  <c r="F183" i="16" s="1"/>
  <c r="G183" i="16"/>
  <c r="H183" i="16"/>
  <c r="I183" i="16"/>
  <c r="J183" i="16"/>
  <c r="K183" i="16" a="1"/>
  <c r="K183" i="16" s="1"/>
  <c r="A184" i="16"/>
  <c r="B183" i="1"/>
  <c r="C183" i="1"/>
  <c r="D183" i="1"/>
  <c r="E183" i="1"/>
  <c r="A184" i="1"/>
  <c r="B183" i="17" l="1"/>
  <c r="C183" i="17"/>
  <c r="D183" i="17"/>
  <c r="E183" i="17"/>
  <c r="F183" i="17" s="1"/>
  <c r="G183" i="17"/>
  <c r="H183" i="17"/>
  <c r="I183" i="17"/>
  <c r="J183" i="17"/>
  <c r="K183" i="17" a="1"/>
  <c r="K183" i="17" s="1"/>
  <c r="A184" i="17"/>
  <c r="B184" i="16"/>
  <c r="C184" i="16"/>
  <c r="D184" i="16"/>
  <c r="E184" i="16"/>
  <c r="F184" i="16" s="1"/>
  <c r="G184" i="16"/>
  <c r="H184" i="16"/>
  <c r="I184" i="16"/>
  <c r="J184" i="16"/>
  <c r="K184" i="16" a="1"/>
  <c r="K184" i="16" s="1"/>
  <c r="A185" i="16"/>
  <c r="B184" i="1"/>
  <c r="C184" i="1"/>
  <c r="D184" i="1"/>
  <c r="E184" i="1"/>
  <c r="A185" i="1"/>
  <c r="B184" i="17" l="1"/>
  <c r="C184" i="17"/>
  <c r="D184" i="17"/>
  <c r="E184" i="17"/>
  <c r="F184" i="17" s="1"/>
  <c r="G184" i="17"/>
  <c r="H184" i="17"/>
  <c r="I184" i="17"/>
  <c r="J184" i="17"/>
  <c r="K184" i="17" a="1"/>
  <c r="K184" i="17" s="1"/>
  <c r="A185" i="17"/>
  <c r="B185" i="16"/>
  <c r="C185" i="16"/>
  <c r="D185" i="16"/>
  <c r="E185" i="16"/>
  <c r="F185" i="16" s="1"/>
  <c r="G185" i="16"/>
  <c r="H185" i="16"/>
  <c r="I185" i="16"/>
  <c r="J185" i="16"/>
  <c r="K185" i="16" a="1"/>
  <c r="K185" i="16" s="1"/>
  <c r="A186" i="16"/>
  <c r="B185" i="1"/>
  <c r="C185" i="1"/>
  <c r="D185" i="1"/>
  <c r="E185" i="1"/>
  <c r="A186" i="1"/>
  <c r="B185" i="17" l="1"/>
  <c r="C185" i="17"/>
  <c r="D185" i="17"/>
  <c r="E185" i="17"/>
  <c r="F185" i="17" s="1"/>
  <c r="G185" i="17"/>
  <c r="H185" i="17"/>
  <c r="I185" i="17"/>
  <c r="J185" i="17"/>
  <c r="K185" i="17" a="1"/>
  <c r="K185" i="17" s="1"/>
  <c r="A186" i="17"/>
  <c r="B186" i="16"/>
  <c r="C186" i="16"/>
  <c r="D186" i="16"/>
  <c r="E186" i="16"/>
  <c r="F186" i="16" s="1"/>
  <c r="G186" i="16"/>
  <c r="H186" i="16"/>
  <c r="I186" i="16"/>
  <c r="J186" i="16"/>
  <c r="K186" i="16" a="1"/>
  <c r="K186" i="16" s="1"/>
  <c r="A187" i="16"/>
  <c r="B186" i="1"/>
  <c r="C186" i="1"/>
  <c r="D186" i="1"/>
  <c r="E186" i="1"/>
  <c r="A187" i="1"/>
  <c r="B186" i="17" l="1"/>
  <c r="C186" i="17"/>
  <c r="D186" i="17"/>
  <c r="E186" i="17"/>
  <c r="F186" i="17" s="1"/>
  <c r="G186" i="17"/>
  <c r="H186" i="17"/>
  <c r="I186" i="17"/>
  <c r="J186" i="17"/>
  <c r="K186" i="17" a="1"/>
  <c r="K186" i="17" s="1"/>
  <c r="A187" i="17"/>
  <c r="B187" i="16"/>
  <c r="C187" i="16"/>
  <c r="D187" i="16"/>
  <c r="E187" i="16"/>
  <c r="F187" i="16" s="1"/>
  <c r="G187" i="16"/>
  <c r="H187" i="16"/>
  <c r="I187" i="16"/>
  <c r="J187" i="16"/>
  <c r="K187" i="16" a="1"/>
  <c r="K187" i="16" s="1"/>
  <c r="A188" i="16"/>
  <c r="B187" i="1"/>
  <c r="C187" i="1"/>
  <c r="D187" i="1"/>
  <c r="E187" i="1"/>
  <c r="A188" i="1"/>
  <c r="B187" i="17" l="1"/>
  <c r="C187" i="17"/>
  <c r="D187" i="17"/>
  <c r="E187" i="17"/>
  <c r="F187" i="17" s="1"/>
  <c r="G187" i="17"/>
  <c r="H187" i="17"/>
  <c r="I187" i="17"/>
  <c r="J187" i="17"/>
  <c r="K187" i="17" a="1"/>
  <c r="K187" i="17" s="1"/>
  <c r="A188" i="17"/>
  <c r="B188" i="16"/>
  <c r="C188" i="16"/>
  <c r="D188" i="16"/>
  <c r="E188" i="16"/>
  <c r="F188" i="16" s="1"/>
  <c r="G188" i="16"/>
  <c r="H188" i="16"/>
  <c r="I188" i="16"/>
  <c r="J188" i="16"/>
  <c r="K188" i="16" a="1"/>
  <c r="K188" i="16" s="1"/>
  <c r="A189" i="16"/>
  <c r="B188" i="1"/>
  <c r="C188" i="1"/>
  <c r="D188" i="1"/>
  <c r="E188" i="1"/>
  <c r="A189" i="1"/>
  <c r="B188" i="17" l="1"/>
  <c r="C188" i="17"/>
  <c r="D188" i="17"/>
  <c r="E188" i="17"/>
  <c r="F188" i="17" s="1"/>
  <c r="G188" i="17"/>
  <c r="H188" i="17"/>
  <c r="I188" i="17"/>
  <c r="J188" i="17"/>
  <c r="K188" i="17" a="1"/>
  <c r="K188" i="17" s="1"/>
  <c r="A189" i="17"/>
  <c r="B189" i="16"/>
  <c r="C189" i="16"/>
  <c r="D189" i="16"/>
  <c r="E189" i="16"/>
  <c r="F189" i="16" s="1"/>
  <c r="G189" i="16"/>
  <c r="H189" i="16"/>
  <c r="I189" i="16"/>
  <c r="J189" i="16"/>
  <c r="K189" i="16" a="1"/>
  <c r="K189" i="16" s="1"/>
  <c r="A190" i="16"/>
  <c r="B189" i="1"/>
  <c r="C189" i="1"/>
  <c r="D189" i="1"/>
  <c r="E189" i="1"/>
  <c r="A190" i="1"/>
  <c r="B189" i="17" l="1"/>
  <c r="C189" i="17"/>
  <c r="D189" i="17"/>
  <c r="E189" i="17"/>
  <c r="F189" i="17" s="1"/>
  <c r="G189" i="17"/>
  <c r="H189" i="17"/>
  <c r="I189" i="17"/>
  <c r="J189" i="17"/>
  <c r="K189" i="17" a="1"/>
  <c r="K189" i="17" s="1"/>
  <c r="A190" i="17"/>
  <c r="B190" i="16"/>
  <c r="C190" i="16"/>
  <c r="D190" i="16"/>
  <c r="E190" i="16"/>
  <c r="F190" i="16" s="1"/>
  <c r="G190" i="16"/>
  <c r="H190" i="16"/>
  <c r="I190" i="16"/>
  <c r="J190" i="16"/>
  <c r="K190" i="16" a="1"/>
  <c r="K190" i="16" s="1"/>
  <c r="A191" i="16"/>
  <c r="B190" i="1"/>
  <c r="C190" i="1"/>
  <c r="D190" i="1"/>
  <c r="E190" i="1"/>
  <c r="A191" i="1"/>
  <c r="B190" i="17" l="1"/>
  <c r="C190" i="17"/>
  <c r="D190" i="17"/>
  <c r="E190" i="17"/>
  <c r="F190" i="17" s="1"/>
  <c r="G190" i="17"/>
  <c r="H190" i="17"/>
  <c r="I190" i="17"/>
  <c r="J190" i="17"/>
  <c r="K190" i="17" a="1"/>
  <c r="K190" i="17" s="1"/>
  <c r="A191" i="17"/>
  <c r="B191" i="16"/>
  <c r="C191" i="16"/>
  <c r="D191" i="16"/>
  <c r="E191" i="16"/>
  <c r="F191" i="16" s="1"/>
  <c r="G191" i="16"/>
  <c r="H191" i="16"/>
  <c r="I191" i="16"/>
  <c r="J191" i="16"/>
  <c r="K191" i="16" a="1"/>
  <c r="K191" i="16" s="1"/>
  <c r="A192" i="16"/>
  <c r="B191" i="1"/>
  <c r="C191" i="1"/>
  <c r="D191" i="1"/>
  <c r="E191" i="1"/>
  <c r="A192" i="1"/>
  <c r="B191" i="17" l="1"/>
  <c r="C191" i="17"/>
  <c r="D191" i="17"/>
  <c r="E191" i="17"/>
  <c r="F191" i="17" s="1"/>
  <c r="G191" i="17"/>
  <c r="H191" i="17"/>
  <c r="I191" i="17"/>
  <c r="J191" i="17"/>
  <c r="K191" i="17" a="1"/>
  <c r="K191" i="17" s="1"/>
  <c r="A192" i="17"/>
  <c r="B192" i="16"/>
  <c r="C192" i="16"/>
  <c r="D192" i="16"/>
  <c r="E192" i="16"/>
  <c r="F192" i="16" s="1"/>
  <c r="G192" i="16"/>
  <c r="H192" i="16"/>
  <c r="I192" i="16"/>
  <c r="J192" i="16"/>
  <c r="K192" i="16" a="1"/>
  <c r="K192" i="16" s="1"/>
  <c r="A193" i="16"/>
  <c r="B192" i="1"/>
  <c r="C192" i="1"/>
  <c r="D192" i="1"/>
  <c r="E192" i="1"/>
  <c r="A193" i="1"/>
  <c r="B192" i="17" l="1"/>
  <c r="C192" i="17"/>
  <c r="D192" i="17"/>
  <c r="E192" i="17"/>
  <c r="F192" i="17" s="1"/>
  <c r="G192" i="17"/>
  <c r="H192" i="17"/>
  <c r="I192" i="17"/>
  <c r="J192" i="17"/>
  <c r="K192" i="17" a="1"/>
  <c r="K192" i="17" s="1"/>
  <c r="A193" i="17"/>
  <c r="B193" i="16"/>
  <c r="C193" i="16"/>
  <c r="D193" i="16"/>
  <c r="E193" i="16"/>
  <c r="F193" i="16" s="1"/>
  <c r="G193" i="16"/>
  <c r="H193" i="16"/>
  <c r="I193" i="16"/>
  <c r="J193" i="16"/>
  <c r="K193" i="16" a="1"/>
  <c r="K193" i="16" s="1"/>
  <c r="A194" i="16"/>
  <c r="B193" i="1"/>
  <c r="C193" i="1"/>
  <c r="D193" i="1"/>
  <c r="E193" i="1"/>
  <c r="A194" i="1"/>
  <c r="B193" i="17" l="1"/>
  <c r="C193" i="17"/>
  <c r="D193" i="17"/>
  <c r="E193" i="17"/>
  <c r="F193" i="17" s="1"/>
  <c r="G193" i="17"/>
  <c r="H193" i="17"/>
  <c r="I193" i="17"/>
  <c r="J193" i="17"/>
  <c r="K193" i="17" a="1"/>
  <c r="K193" i="17" s="1"/>
  <c r="A194" i="17"/>
  <c r="B194" i="16"/>
  <c r="C194" i="16"/>
  <c r="D194" i="16"/>
  <c r="E194" i="16"/>
  <c r="F194" i="16" s="1"/>
  <c r="G194" i="16"/>
  <c r="H194" i="16"/>
  <c r="I194" i="16"/>
  <c r="J194" i="16"/>
  <c r="K194" i="16" a="1"/>
  <c r="K194" i="16" s="1"/>
  <c r="A195" i="16"/>
  <c r="B194" i="1"/>
  <c r="C194" i="1"/>
  <c r="D194" i="1"/>
  <c r="E194" i="1"/>
  <c r="A195" i="1"/>
  <c r="B194" i="17" l="1"/>
  <c r="C194" i="17"/>
  <c r="D194" i="17"/>
  <c r="E194" i="17"/>
  <c r="F194" i="17" s="1"/>
  <c r="G194" i="17"/>
  <c r="H194" i="17"/>
  <c r="I194" i="17"/>
  <c r="J194" i="17"/>
  <c r="K194" i="17" a="1"/>
  <c r="K194" i="17" s="1"/>
  <c r="A195" i="17"/>
  <c r="B195" i="16"/>
  <c r="C195" i="16"/>
  <c r="D195" i="16"/>
  <c r="E195" i="16"/>
  <c r="F195" i="16" s="1"/>
  <c r="G195" i="16"/>
  <c r="H195" i="16"/>
  <c r="I195" i="16"/>
  <c r="J195" i="16"/>
  <c r="K195" i="16" a="1"/>
  <c r="K195" i="16" s="1"/>
  <c r="A196" i="16"/>
  <c r="B195" i="1"/>
  <c r="C195" i="1"/>
  <c r="D195" i="1"/>
  <c r="E195" i="1"/>
  <c r="A196" i="1"/>
  <c r="B195" i="17" l="1"/>
  <c r="C195" i="17"/>
  <c r="D195" i="17"/>
  <c r="E195" i="17"/>
  <c r="F195" i="17" s="1"/>
  <c r="G195" i="17"/>
  <c r="H195" i="17"/>
  <c r="I195" i="17"/>
  <c r="J195" i="17"/>
  <c r="K195" i="17" a="1"/>
  <c r="K195" i="17" s="1"/>
  <c r="A196" i="17"/>
  <c r="B196" i="16"/>
  <c r="C196" i="16"/>
  <c r="D196" i="16"/>
  <c r="E196" i="16"/>
  <c r="F196" i="16" s="1"/>
  <c r="G196" i="16"/>
  <c r="H196" i="16"/>
  <c r="I196" i="16"/>
  <c r="J196" i="16"/>
  <c r="K196" i="16" a="1"/>
  <c r="K196" i="16" s="1"/>
  <c r="A197" i="16"/>
  <c r="B196" i="1"/>
  <c r="C196" i="1"/>
  <c r="D196" i="1"/>
  <c r="E196" i="1"/>
  <c r="A197" i="1"/>
  <c r="B196" i="17" l="1"/>
  <c r="C196" i="17"/>
  <c r="D196" i="17"/>
  <c r="E196" i="17"/>
  <c r="F196" i="17" s="1"/>
  <c r="G196" i="17"/>
  <c r="H196" i="17"/>
  <c r="I196" i="17"/>
  <c r="J196" i="17"/>
  <c r="K196" i="17" a="1"/>
  <c r="K196" i="17" s="1"/>
  <c r="A197" i="17"/>
  <c r="B197" i="16"/>
  <c r="C197" i="16"/>
  <c r="D197" i="16"/>
  <c r="E197" i="16"/>
  <c r="F197" i="16" s="1"/>
  <c r="G197" i="16"/>
  <c r="H197" i="16"/>
  <c r="I197" i="16"/>
  <c r="J197" i="16"/>
  <c r="K197" i="16" a="1"/>
  <c r="K197" i="16" s="1"/>
  <c r="A198" i="16"/>
  <c r="B197" i="1"/>
  <c r="C197" i="1"/>
  <c r="D197" i="1"/>
  <c r="E197" i="1"/>
  <c r="A198" i="1"/>
  <c r="B197" i="17" l="1"/>
  <c r="C197" i="17"/>
  <c r="D197" i="17"/>
  <c r="E197" i="17"/>
  <c r="F197" i="17" s="1"/>
  <c r="G197" i="17"/>
  <c r="H197" i="17"/>
  <c r="I197" i="17"/>
  <c r="J197" i="17"/>
  <c r="K197" i="17" a="1"/>
  <c r="K197" i="17" s="1"/>
  <c r="A198" i="17"/>
  <c r="B198" i="16"/>
  <c r="C198" i="16"/>
  <c r="D198" i="16"/>
  <c r="E198" i="16"/>
  <c r="F198" i="16" s="1"/>
  <c r="G198" i="16"/>
  <c r="H198" i="16"/>
  <c r="I198" i="16"/>
  <c r="J198" i="16"/>
  <c r="K198" i="16" a="1"/>
  <c r="K198" i="16" s="1"/>
  <c r="A199" i="16"/>
  <c r="B198" i="1"/>
  <c r="C198" i="1"/>
  <c r="D198" i="1"/>
  <c r="E198" i="1"/>
  <c r="A199" i="1"/>
  <c r="B198" i="17" l="1"/>
  <c r="C198" i="17"/>
  <c r="D198" i="17"/>
  <c r="E198" i="17"/>
  <c r="F198" i="17" s="1"/>
  <c r="G198" i="17"/>
  <c r="H198" i="17"/>
  <c r="I198" i="17"/>
  <c r="J198" i="17"/>
  <c r="K198" i="17" a="1"/>
  <c r="K198" i="17" s="1"/>
  <c r="A199" i="17"/>
  <c r="B199" i="16"/>
  <c r="C199" i="16"/>
  <c r="D199" i="16"/>
  <c r="E199" i="16"/>
  <c r="F199" i="16" s="1"/>
  <c r="G199" i="16"/>
  <c r="H199" i="16"/>
  <c r="I199" i="16"/>
  <c r="J199" i="16"/>
  <c r="K199" i="16" a="1"/>
  <c r="K199" i="16" s="1"/>
  <c r="A200" i="16"/>
  <c r="B199" i="1"/>
  <c r="C199" i="1"/>
  <c r="D199" i="1"/>
  <c r="E199" i="1"/>
  <c r="A200" i="1"/>
  <c r="B199" i="17" l="1"/>
  <c r="C199" i="17"/>
  <c r="D199" i="17"/>
  <c r="E199" i="17"/>
  <c r="F199" i="17" s="1"/>
  <c r="G199" i="17"/>
  <c r="H199" i="17"/>
  <c r="I199" i="17"/>
  <c r="J199" i="17"/>
  <c r="K199" i="17" a="1"/>
  <c r="K199" i="17" s="1"/>
  <c r="A200" i="17"/>
  <c r="B200" i="16"/>
  <c r="C200" i="16"/>
  <c r="D200" i="16"/>
  <c r="E200" i="16"/>
  <c r="F200" i="16" s="1"/>
  <c r="G200" i="16"/>
  <c r="H200" i="16"/>
  <c r="I200" i="16"/>
  <c r="J200" i="16"/>
  <c r="K200" i="16" a="1"/>
  <c r="K200" i="16" s="1"/>
  <c r="A201" i="16"/>
  <c r="B200" i="1"/>
  <c r="C200" i="1"/>
  <c r="D200" i="1"/>
  <c r="E200" i="1"/>
  <c r="A201" i="1"/>
  <c r="B200" i="17" l="1"/>
  <c r="C200" i="17"/>
  <c r="D200" i="17"/>
  <c r="E200" i="17"/>
  <c r="F200" i="17" s="1"/>
  <c r="G200" i="17"/>
  <c r="H200" i="17"/>
  <c r="I200" i="17"/>
  <c r="J200" i="17"/>
  <c r="K200" i="17" a="1"/>
  <c r="K200" i="17" s="1"/>
  <c r="A201" i="17"/>
  <c r="B201" i="16"/>
  <c r="C201" i="16"/>
  <c r="D201" i="16"/>
  <c r="E201" i="16"/>
  <c r="F201" i="16" s="1"/>
  <c r="G201" i="16"/>
  <c r="H201" i="16"/>
  <c r="I201" i="16"/>
  <c r="J201" i="16"/>
  <c r="K201" i="16" a="1"/>
  <c r="K201" i="16" s="1"/>
  <c r="A202" i="16"/>
  <c r="B201" i="1"/>
  <c r="C201" i="1"/>
  <c r="D201" i="1"/>
  <c r="E201" i="1"/>
  <c r="A202" i="1"/>
  <c r="B201" i="17" l="1"/>
  <c r="C201" i="17"/>
  <c r="D201" i="17"/>
  <c r="E201" i="17"/>
  <c r="F201" i="17" s="1"/>
  <c r="G201" i="17"/>
  <c r="H201" i="17"/>
  <c r="I201" i="17"/>
  <c r="J201" i="17"/>
  <c r="K201" i="17" a="1"/>
  <c r="K201" i="17" s="1"/>
  <c r="A202" i="17"/>
  <c r="B202" i="16"/>
  <c r="C202" i="16"/>
  <c r="D202" i="16"/>
  <c r="E202" i="16"/>
  <c r="F202" i="16" s="1"/>
  <c r="G202" i="16"/>
  <c r="H202" i="16"/>
  <c r="I202" i="16"/>
  <c r="J202" i="16"/>
  <c r="K202" i="16" a="1"/>
  <c r="K202" i="16" s="1"/>
  <c r="A203" i="16"/>
  <c r="B202" i="1"/>
  <c r="C202" i="1"/>
  <c r="D202" i="1"/>
  <c r="E202" i="1"/>
  <c r="A203" i="1"/>
  <c r="B202" i="17" l="1"/>
  <c r="C202" i="17"/>
  <c r="D202" i="17"/>
  <c r="E202" i="17"/>
  <c r="F202" i="17" s="1"/>
  <c r="G202" i="17"/>
  <c r="H202" i="17"/>
  <c r="I202" i="17"/>
  <c r="J202" i="17"/>
  <c r="K202" i="17" a="1"/>
  <c r="K202" i="17" s="1"/>
  <c r="A203" i="17"/>
  <c r="B203" i="16"/>
  <c r="C203" i="16"/>
  <c r="D203" i="16"/>
  <c r="E203" i="16"/>
  <c r="F203" i="16" s="1"/>
  <c r="G203" i="16"/>
  <c r="H203" i="16"/>
  <c r="I203" i="16"/>
  <c r="J203" i="16"/>
  <c r="K203" i="16" a="1"/>
  <c r="K203" i="16" s="1"/>
  <c r="A204" i="16"/>
  <c r="B203" i="1"/>
  <c r="C203" i="1"/>
  <c r="D203" i="1"/>
  <c r="E203" i="1"/>
  <c r="A204" i="1"/>
  <c r="B203" i="17" l="1"/>
  <c r="C203" i="17"/>
  <c r="D203" i="17"/>
  <c r="E203" i="17"/>
  <c r="F203" i="17" s="1"/>
  <c r="G203" i="17"/>
  <c r="H203" i="17"/>
  <c r="I203" i="17"/>
  <c r="J203" i="17"/>
  <c r="K203" i="17" a="1"/>
  <c r="K203" i="17" s="1"/>
  <c r="A204" i="17"/>
  <c r="B204" i="16"/>
  <c r="C204" i="16"/>
  <c r="D204" i="16"/>
  <c r="E204" i="16"/>
  <c r="F204" i="16" s="1"/>
  <c r="G204" i="16"/>
  <c r="H204" i="16"/>
  <c r="I204" i="16"/>
  <c r="J204" i="16"/>
  <c r="K204" i="16" a="1"/>
  <c r="K204" i="16" s="1"/>
  <c r="A205" i="16"/>
  <c r="B204" i="1"/>
  <c r="C204" i="1"/>
  <c r="D204" i="1"/>
  <c r="E204" i="1"/>
  <c r="A205" i="1"/>
  <c r="B204" i="17" l="1"/>
  <c r="C204" i="17"/>
  <c r="D204" i="17"/>
  <c r="E204" i="17"/>
  <c r="F204" i="17" s="1"/>
  <c r="G204" i="17"/>
  <c r="H204" i="17"/>
  <c r="I204" i="17"/>
  <c r="J204" i="17"/>
  <c r="K204" i="17" a="1"/>
  <c r="K204" i="17" s="1"/>
  <c r="A205" i="17"/>
  <c r="B205" i="16"/>
  <c r="C205" i="16"/>
  <c r="D205" i="16"/>
  <c r="E205" i="16"/>
  <c r="F205" i="16" s="1"/>
  <c r="G205" i="16"/>
  <c r="H205" i="16"/>
  <c r="I205" i="16"/>
  <c r="J205" i="16"/>
  <c r="K205" i="16" a="1"/>
  <c r="K205" i="16" s="1"/>
  <c r="A206" i="16"/>
  <c r="B205" i="1"/>
  <c r="C205" i="1"/>
  <c r="D205" i="1"/>
  <c r="E205" i="1"/>
  <c r="A206" i="1"/>
  <c r="B205" i="17" l="1"/>
  <c r="C205" i="17"/>
  <c r="D205" i="17"/>
  <c r="E205" i="17"/>
  <c r="F205" i="17" s="1"/>
  <c r="G205" i="17"/>
  <c r="H205" i="17"/>
  <c r="I205" i="17"/>
  <c r="J205" i="17"/>
  <c r="K205" i="17" a="1"/>
  <c r="K205" i="17" s="1"/>
  <c r="A206" i="17"/>
  <c r="B206" i="16"/>
  <c r="C206" i="16"/>
  <c r="D206" i="16"/>
  <c r="E206" i="16"/>
  <c r="F206" i="16" s="1"/>
  <c r="G206" i="16"/>
  <c r="H206" i="16"/>
  <c r="I206" i="16"/>
  <c r="J206" i="16"/>
  <c r="K206" i="16" a="1"/>
  <c r="K206" i="16" s="1"/>
  <c r="A207" i="16"/>
  <c r="B206" i="1"/>
  <c r="C206" i="1"/>
  <c r="D206" i="1"/>
  <c r="E206" i="1"/>
  <c r="A207" i="1"/>
  <c r="B206" i="17" l="1"/>
  <c r="C206" i="17"/>
  <c r="D206" i="17"/>
  <c r="E206" i="17"/>
  <c r="F206" i="17" s="1"/>
  <c r="G206" i="17"/>
  <c r="H206" i="17"/>
  <c r="I206" i="17"/>
  <c r="J206" i="17"/>
  <c r="K206" i="17" a="1"/>
  <c r="K206" i="17" s="1"/>
  <c r="A207" i="17"/>
  <c r="B207" i="16"/>
  <c r="C207" i="16"/>
  <c r="D207" i="16"/>
  <c r="E207" i="16"/>
  <c r="F207" i="16" s="1"/>
  <c r="G207" i="16"/>
  <c r="H207" i="16"/>
  <c r="I207" i="16"/>
  <c r="J207" i="16"/>
  <c r="K207" i="16" a="1"/>
  <c r="K207" i="16" s="1"/>
  <c r="A208" i="16"/>
  <c r="B207" i="1"/>
  <c r="C207" i="1"/>
  <c r="D207" i="1"/>
  <c r="E207" i="1"/>
  <c r="A208" i="1"/>
  <c r="B207" i="17" l="1"/>
  <c r="C207" i="17"/>
  <c r="D207" i="17"/>
  <c r="E207" i="17"/>
  <c r="F207" i="17" s="1"/>
  <c r="G207" i="17"/>
  <c r="H207" i="17"/>
  <c r="I207" i="17"/>
  <c r="J207" i="17"/>
  <c r="K207" i="17" a="1"/>
  <c r="K207" i="17" s="1"/>
  <c r="A208" i="17"/>
  <c r="B208" i="16"/>
  <c r="C208" i="16"/>
  <c r="D208" i="16"/>
  <c r="E208" i="16"/>
  <c r="F208" i="16" s="1"/>
  <c r="G208" i="16"/>
  <c r="H208" i="16"/>
  <c r="I208" i="16"/>
  <c r="J208" i="16"/>
  <c r="K208" i="16" a="1"/>
  <c r="K208" i="16" s="1"/>
  <c r="A209" i="16"/>
  <c r="B208" i="1"/>
  <c r="C208" i="1"/>
  <c r="D208" i="1"/>
  <c r="E208" i="1"/>
  <c r="A209" i="1"/>
  <c r="B208" i="17" l="1"/>
  <c r="C208" i="17"/>
  <c r="D208" i="17"/>
  <c r="E208" i="17"/>
  <c r="F208" i="17" s="1"/>
  <c r="G208" i="17"/>
  <c r="H208" i="17"/>
  <c r="I208" i="17"/>
  <c r="J208" i="17"/>
  <c r="K208" i="17" a="1"/>
  <c r="K208" i="17" s="1"/>
  <c r="A209" i="17"/>
  <c r="B209" i="16"/>
  <c r="C209" i="16"/>
  <c r="D209" i="16"/>
  <c r="E209" i="16"/>
  <c r="F209" i="16" s="1"/>
  <c r="G209" i="16"/>
  <c r="H209" i="16"/>
  <c r="I209" i="16"/>
  <c r="J209" i="16"/>
  <c r="K209" i="16" a="1"/>
  <c r="K209" i="16" s="1"/>
  <c r="A210" i="16"/>
  <c r="B209" i="1"/>
  <c r="C209" i="1"/>
  <c r="D209" i="1"/>
  <c r="E209" i="1"/>
  <c r="A210" i="1"/>
  <c r="B209" i="17" l="1"/>
  <c r="C209" i="17"/>
  <c r="D209" i="17"/>
  <c r="E209" i="17"/>
  <c r="F209" i="17" s="1"/>
  <c r="G209" i="17"/>
  <c r="H209" i="17"/>
  <c r="I209" i="17"/>
  <c r="J209" i="17"/>
  <c r="K209" i="17" a="1"/>
  <c r="K209" i="17" s="1"/>
  <c r="A210" i="17"/>
  <c r="B210" i="16"/>
  <c r="C210" i="16"/>
  <c r="D210" i="16"/>
  <c r="E210" i="16"/>
  <c r="F210" i="16" s="1"/>
  <c r="G210" i="16"/>
  <c r="H210" i="16"/>
  <c r="I210" i="16"/>
  <c r="J210" i="16"/>
  <c r="K210" i="16" a="1"/>
  <c r="K210" i="16" s="1"/>
  <c r="A211" i="16"/>
  <c r="B210" i="1"/>
  <c r="C210" i="1"/>
  <c r="D210" i="1"/>
  <c r="E210" i="1"/>
  <c r="A211" i="1"/>
  <c r="B210" i="17" l="1"/>
  <c r="C210" i="17"/>
  <c r="D210" i="17"/>
  <c r="E210" i="17"/>
  <c r="F210" i="17" s="1"/>
  <c r="G210" i="17"/>
  <c r="H210" i="17"/>
  <c r="I210" i="17"/>
  <c r="J210" i="17"/>
  <c r="K210" i="17" a="1"/>
  <c r="K210" i="17" s="1"/>
  <c r="A211" i="17"/>
  <c r="B211" i="16"/>
  <c r="C211" i="16"/>
  <c r="D211" i="16"/>
  <c r="E211" i="16"/>
  <c r="F211" i="16" s="1"/>
  <c r="G211" i="16"/>
  <c r="H211" i="16"/>
  <c r="I211" i="16"/>
  <c r="J211" i="16"/>
  <c r="K211" i="16" a="1"/>
  <c r="K211" i="16" s="1"/>
  <c r="A212" i="16"/>
  <c r="B211" i="1"/>
  <c r="C211" i="1"/>
  <c r="D211" i="1"/>
  <c r="E211" i="1"/>
  <c r="A212" i="1"/>
  <c r="B211" i="17" l="1"/>
  <c r="C211" i="17"/>
  <c r="D211" i="17"/>
  <c r="E211" i="17"/>
  <c r="F211" i="17" s="1"/>
  <c r="G211" i="17"/>
  <c r="H211" i="17"/>
  <c r="I211" i="17"/>
  <c r="J211" i="17"/>
  <c r="K211" i="17" a="1"/>
  <c r="K211" i="17" s="1"/>
  <c r="A212" i="17"/>
  <c r="B212" i="16"/>
  <c r="C212" i="16"/>
  <c r="D212" i="16"/>
  <c r="E212" i="16"/>
  <c r="F212" i="16" s="1"/>
  <c r="G212" i="16"/>
  <c r="H212" i="16"/>
  <c r="I212" i="16"/>
  <c r="J212" i="16"/>
  <c r="K212" i="16" a="1"/>
  <c r="K212" i="16" s="1"/>
  <c r="A213" i="16"/>
  <c r="B212" i="1"/>
  <c r="C212" i="1"/>
  <c r="D212" i="1"/>
  <c r="E212" i="1"/>
  <c r="A213" i="1"/>
  <c r="B212" i="17" l="1"/>
  <c r="C212" i="17"/>
  <c r="D212" i="17"/>
  <c r="E212" i="17"/>
  <c r="F212" i="17" s="1"/>
  <c r="G212" i="17"/>
  <c r="H212" i="17"/>
  <c r="I212" i="17"/>
  <c r="J212" i="17"/>
  <c r="K212" i="17" a="1"/>
  <c r="K212" i="17" s="1"/>
  <c r="A213" i="17"/>
  <c r="B213" i="16"/>
  <c r="C213" i="16"/>
  <c r="D213" i="16"/>
  <c r="E213" i="16"/>
  <c r="F213" i="16" s="1"/>
  <c r="G213" i="16"/>
  <c r="H213" i="16"/>
  <c r="I213" i="16"/>
  <c r="J213" i="16"/>
  <c r="K213" i="16" a="1"/>
  <c r="K213" i="16" s="1"/>
  <c r="A214" i="16"/>
  <c r="B213" i="1"/>
  <c r="C213" i="1"/>
  <c r="D213" i="1"/>
  <c r="E213" i="1"/>
  <c r="A214" i="1"/>
  <c r="B213" i="17" l="1"/>
  <c r="C213" i="17"/>
  <c r="D213" i="17"/>
  <c r="E213" i="17"/>
  <c r="F213" i="17" s="1"/>
  <c r="G213" i="17"/>
  <c r="H213" i="17"/>
  <c r="I213" i="17"/>
  <c r="J213" i="17"/>
  <c r="K213" i="17" a="1"/>
  <c r="K213" i="17" s="1"/>
  <c r="A214" i="17"/>
  <c r="B214" i="16"/>
  <c r="C214" i="16"/>
  <c r="D214" i="16"/>
  <c r="E214" i="16"/>
  <c r="F214" i="16" s="1"/>
  <c r="G214" i="16"/>
  <c r="H214" i="16"/>
  <c r="I214" i="16"/>
  <c r="J214" i="16"/>
  <c r="K214" i="16" a="1"/>
  <c r="K214" i="16" s="1"/>
  <c r="A215" i="16"/>
  <c r="B214" i="1"/>
  <c r="C214" i="1"/>
  <c r="D214" i="1"/>
  <c r="E214" i="1"/>
  <c r="A215" i="1"/>
  <c r="B214" i="17" l="1"/>
  <c r="C214" i="17"/>
  <c r="D214" i="17"/>
  <c r="E214" i="17"/>
  <c r="F214" i="17" s="1"/>
  <c r="G214" i="17"/>
  <c r="H214" i="17"/>
  <c r="I214" i="17"/>
  <c r="J214" i="17"/>
  <c r="K214" i="17" a="1"/>
  <c r="K214" i="17" s="1"/>
  <c r="A215" i="17"/>
  <c r="B215" i="16"/>
  <c r="C215" i="16"/>
  <c r="D215" i="16"/>
  <c r="E215" i="16"/>
  <c r="F215" i="16" s="1"/>
  <c r="G215" i="16"/>
  <c r="H215" i="16"/>
  <c r="I215" i="16"/>
  <c r="J215" i="16"/>
  <c r="K215" i="16" a="1"/>
  <c r="K215" i="16" s="1"/>
  <c r="A216" i="16"/>
  <c r="B215" i="1"/>
  <c r="C215" i="1"/>
  <c r="D215" i="1"/>
  <c r="E215" i="1"/>
  <c r="A216" i="1"/>
  <c r="B215" i="17" l="1"/>
  <c r="C215" i="17"/>
  <c r="D215" i="17"/>
  <c r="E215" i="17"/>
  <c r="F215" i="17" s="1"/>
  <c r="G215" i="17"/>
  <c r="H215" i="17"/>
  <c r="I215" i="17"/>
  <c r="J215" i="17"/>
  <c r="K215" i="17" a="1"/>
  <c r="K215" i="17" s="1"/>
  <c r="A216" i="17"/>
  <c r="B216" i="16"/>
  <c r="C216" i="16"/>
  <c r="D216" i="16"/>
  <c r="E216" i="16"/>
  <c r="F216" i="16" s="1"/>
  <c r="G216" i="16"/>
  <c r="H216" i="16"/>
  <c r="I216" i="16"/>
  <c r="J216" i="16"/>
  <c r="K216" i="16" a="1"/>
  <c r="K216" i="16" s="1"/>
  <c r="A217" i="16"/>
  <c r="B216" i="1"/>
  <c r="C216" i="1"/>
  <c r="D216" i="1"/>
  <c r="E216" i="1"/>
  <c r="A217" i="1"/>
  <c r="B216" i="17" l="1"/>
  <c r="C216" i="17"/>
  <c r="D216" i="17"/>
  <c r="E216" i="17"/>
  <c r="F216" i="17" s="1"/>
  <c r="G216" i="17"/>
  <c r="H216" i="17"/>
  <c r="I216" i="17"/>
  <c r="J216" i="17"/>
  <c r="K216" i="17" a="1"/>
  <c r="K216" i="17" s="1"/>
  <c r="A217" i="17"/>
  <c r="B217" i="16"/>
  <c r="C217" i="16"/>
  <c r="D217" i="16"/>
  <c r="E217" i="16"/>
  <c r="F217" i="16" s="1"/>
  <c r="G217" i="16"/>
  <c r="H217" i="16"/>
  <c r="I217" i="16"/>
  <c r="J217" i="16"/>
  <c r="K217" i="16" a="1"/>
  <c r="K217" i="16" s="1"/>
  <c r="A218" i="16"/>
  <c r="B217" i="1"/>
  <c r="C217" i="1"/>
  <c r="D217" i="1"/>
  <c r="E217" i="1"/>
  <c r="A218" i="1"/>
  <c r="B217" i="17" l="1"/>
  <c r="C217" i="17"/>
  <c r="D217" i="17"/>
  <c r="E217" i="17"/>
  <c r="F217" i="17" s="1"/>
  <c r="G217" i="17"/>
  <c r="H217" i="17"/>
  <c r="I217" i="17"/>
  <c r="J217" i="17"/>
  <c r="K217" i="17" a="1"/>
  <c r="K217" i="17" s="1"/>
  <c r="A218" i="17"/>
  <c r="B218" i="16"/>
  <c r="C218" i="16"/>
  <c r="D218" i="16"/>
  <c r="E218" i="16"/>
  <c r="F218" i="16" s="1"/>
  <c r="G218" i="16"/>
  <c r="H218" i="16"/>
  <c r="I218" i="16"/>
  <c r="J218" i="16"/>
  <c r="K218" i="16" a="1"/>
  <c r="K218" i="16" s="1"/>
  <c r="A219" i="16"/>
  <c r="B218" i="1"/>
  <c r="C218" i="1"/>
  <c r="D218" i="1"/>
  <c r="E218" i="1"/>
  <c r="A219" i="1"/>
  <c r="B218" i="17" l="1"/>
  <c r="C218" i="17"/>
  <c r="D218" i="17"/>
  <c r="E218" i="17"/>
  <c r="F218" i="17" s="1"/>
  <c r="G218" i="17"/>
  <c r="H218" i="17"/>
  <c r="I218" i="17"/>
  <c r="J218" i="17"/>
  <c r="K218" i="17" a="1"/>
  <c r="K218" i="17" s="1"/>
  <c r="A219" i="17"/>
  <c r="B219" i="16"/>
  <c r="C219" i="16"/>
  <c r="D219" i="16"/>
  <c r="E219" i="16"/>
  <c r="F219" i="16" s="1"/>
  <c r="G219" i="16"/>
  <c r="H219" i="16"/>
  <c r="I219" i="16"/>
  <c r="J219" i="16"/>
  <c r="K219" i="16" a="1"/>
  <c r="K219" i="16" s="1"/>
  <c r="A220" i="16"/>
  <c r="B219" i="1"/>
  <c r="C219" i="1"/>
  <c r="D219" i="1"/>
  <c r="E219" i="1"/>
  <c r="A220" i="1"/>
  <c r="B219" i="17" l="1"/>
  <c r="C219" i="17"/>
  <c r="D219" i="17"/>
  <c r="E219" i="17"/>
  <c r="F219" i="17" s="1"/>
  <c r="G219" i="17"/>
  <c r="H219" i="17"/>
  <c r="I219" i="17"/>
  <c r="J219" i="17"/>
  <c r="K219" i="17" a="1"/>
  <c r="K219" i="17" s="1"/>
  <c r="A220" i="17"/>
  <c r="B220" i="16"/>
  <c r="C220" i="16"/>
  <c r="D220" i="16"/>
  <c r="E220" i="16"/>
  <c r="F220" i="16" s="1"/>
  <c r="G220" i="16"/>
  <c r="H220" i="16"/>
  <c r="I220" i="16"/>
  <c r="J220" i="16"/>
  <c r="K220" i="16" a="1"/>
  <c r="K220" i="16" s="1"/>
  <c r="A221" i="16"/>
  <c r="B220" i="1"/>
  <c r="C220" i="1"/>
  <c r="D220" i="1"/>
  <c r="E220" i="1"/>
  <c r="A221" i="1"/>
  <c r="B220" i="17" l="1"/>
  <c r="C220" i="17"/>
  <c r="D220" i="17"/>
  <c r="E220" i="17"/>
  <c r="F220" i="17" s="1"/>
  <c r="G220" i="17"/>
  <c r="H220" i="17"/>
  <c r="I220" i="17"/>
  <c r="J220" i="17"/>
  <c r="K220" i="17" a="1"/>
  <c r="K220" i="17" s="1"/>
  <c r="A221" i="17"/>
  <c r="B221" i="16"/>
  <c r="C221" i="16"/>
  <c r="D221" i="16"/>
  <c r="E221" i="16"/>
  <c r="F221" i="16" s="1"/>
  <c r="G221" i="16"/>
  <c r="H221" i="16"/>
  <c r="I221" i="16"/>
  <c r="J221" i="16"/>
  <c r="K221" i="16" a="1"/>
  <c r="K221" i="16" s="1"/>
  <c r="A222" i="16"/>
  <c r="B221" i="1"/>
  <c r="C221" i="1"/>
  <c r="D221" i="1"/>
  <c r="E221" i="1"/>
  <c r="A222" i="1"/>
  <c r="B221" i="17" l="1"/>
  <c r="C221" i="17"/>
  <c r="D221" i="17"/>
  <c r="E221" i="17"/>
  <c r="F221" i="17" s="1"/>
  <c r="G221" i="17"/>
  <c r="H221" i="17"/>
  <c r="I221" i="17"/>
  <c r="J221" i="17"/>
  <c r="K221" i="17" a="1"/>
  <c r="K221" i="17" s="1"/>
  <c r="A222" i="17"/>
  <c r="B222" i="16"/>
  <c r="C222" i="16"/>
  <c r="D222" i="16"/>
  <c r="E222" i="16"/>
  <c r="F222" i="16" s="1"/>
  <c r="G222" i="16"/>
  <c r="H222" i="16"/>
  <c r="I222" i="16"/>
  <c r="J222" i="16"/>
  <c r="K222" i="16" a="1"/>
  <c r="K222" i="16" s="1"/>
  <c r="A223" i="16"/>
  <c r="B222" i="1"/>
  <c r="C222" i="1"/>
  <c r="D222" i="1"/>
  <c r="E222" i="1"/>
  <c r="A223" i="1"/>
  <c r="B222" i="17" l="1"/>
  <c r="C222" i="17"/>
  <c r="D222" i="17"/>
  <c r="E222" i="17"/>
  <c r="F222" i="17" s="1"/>
  <c r="G222" i="17"/>
  <c r="H222" i="17"/>
  <c r="I222" i="17"/>
  <c r="J222" i="17"/>
  <c r="K222" i="17" a="1"/>
  <c r="K222" i="17" s="1"/>
  <c r="A223" i="17"/>
  <c r="B223" i="16"/>
  <c r="C223" i="16"/>
  <c r="D223" i="16"/>
  <c r="E223" i="16"/>
  <c r="F223" i="16" s="1"/>
  <c r="G223" i="16"/>
  <c r="H223" i="16"/>
  <c r="I223" i="16"/>
  <c r="J223" i="16"/>
  <c r="K223" i="16" a="1"/>
  <c r="K223" i="16" s="1"/>
  <c r="A224" i="16"/>
  <c r="B223" i="1"/>
  <c r="C223" i="1"/>
  <c r="D223" i="1"/>
  <c r="E223" i="1"/>
  <c r="A224" i="1"/>
  <c r="B223" i="17" l="1"/>
  <c r="C223" i="17"/>
  <c r="D223" i="17"/>
  <c r="E223" i="17"/>
  <c r="F223" i="17" s="1"/>
  <c r="G223" i="17"/>
  <c r="H223" i="17"/>
  <c r="I223" i="17"/>
  <c r="J223" i="17"/>
  <c r="K223" i="17" a="1"/>
  <c r="K223" i="17" s="1"/>
  <c r="A224" i="17"/>
  <c r="B224" i="16"/>
  <c r="C224" i="16"/>
  <c r="D224" i="16"/>
  <c r="E224" i="16"/>
  <c r="F224" i="16" s="1"/>
  <c r="G224" i="16"/>
  <c r="H224" i="16"/>
  <c r="I224" i="16"/>
  <c r="J224" i="16"/>
  <c r="K224" i="16" a="1"/>
  <c r="K224" i="16" s="1"/>
  <c r="A225" i="16"/>
  <c r="B224" i="1"/>
  <c r="C224" i="1"/>
  <c r="D224" i="1"/>
  <c r="E224" i="1"/>
  <c r="A225" i="1"/>
  <c r="B224" i="17" l="1"/>
  <c r="C224" i="17"/>
  <c r="D224" i="17"/>
  <c r="E224" i="17"/>
  <c r="F224" i="17" s="1"/>
  <c r="G224" i="17"/>
  <c r="H224" i="17"/>
  <c r="I224" i="17"/>
  <c r="J224" i="17"/>
  <c r="K224" i="17" a="1"/>
  <c r="K224" i="17" s="1"/>
  <c r="A225" i="17"/>
  <c r="B225" i="16"/>
  <c r="C225" i="16"/>
  <c r="D225" i="16"/>
  <c r="E225" i="16"/>
  <c r="F225" i="16" s="1"/>
  <c r="G225" i="16"/>
  <c r="H225" i="16"/>
  <c r="I225" i="16"/>
  <c r="J225" i="16"/>
  <c r="K225" i="16" a="1"/>
  <c r="K225" i="16" s="1"/>
  <c r="A226" i="16"/>
  <c r="B225" i="1"/>
  <c r="C225" i="1"/>
  <c r="D225" i="1"/>
  <c r="E225" i="1"/>
  <c r="A226" i="1"/>
  <c r="B225" i="17" l="1"/>
  <c r="C225" i="17"/>
  <c r="D225" i="17"/>
  <c r="E225" i="17"/>
  <c r="F225" i="17" s="1"/>
  <c r="G225" i="17"/>
  <c r="H225" i="17"/>
  <c r="I225" i="17"/>
  <c r="J225" i="17"/>
  <c r="K225" i="17" a="1"/>
  <c r="K225" i="17" s="1"/>
  <c r="A226" i="17"/>
  <c r="B226" i="16"/>
  <c r="C226" i="16"/>
  <c r="D226" i="16"/>
  <c r="E226" i="16"/>
  <c r="F226" i="16" s="1"/>
  <c r="G226" i="16"/>
  <c r="H226" i="16"/>
  <c r="I226" i="16"/>
  <c r="J226" i="16"/>
  <c r="K226" i="16" a="1"/>
  <c r="K226" i="16" s="1"/>
  <c r="A227" i="16"/>
  <c r="B226" i="1"/>
  <c r="C226" i="1"/>
  <c r="D226" i="1"/>
  <c r="E226" i="1"/>
  <c r="A227" i="1"/>
  <c r="B226" i="17" l="1"/>
  <c r="C226" i="17"/>
  <c r="D226" i="17"/>
  <c r="E226" i="17"/>
  <c r="F226" i="17" s="1"/>
  <c r="G226" i="17"/>
  <c r="H226" i="17"/>
  <c r="I226" i="17"/>
  <c r="J226" i="17"/>
  <c r="K226" i="17" a="1"/>
  <c r="K226" i="17" s="1"/>
  <c r="A227" i="17"/>
  <c r="B227" i="16"/>
  <c r="C227" i="16"/>
  <c r="D227" i="16"/>
  <c r="E227" i="16"/>
  <c r="F227" i="16" s="1"/>
  <c r="G227" i="16"/>
  <c r="H227" i="16"/>
  <c r="I227" i="16"/>
  <c r="J227" i="16"/>
  <c r="K227" i="16" a="1"/>
  <c r="K227" i="16" s="1"/>
  <c r="A228" i="16"/>
  <c r="B227" i="1"/>
  <c r="C227" i="1"/>
  <c r="D227" i="1"/>
  <c r="E227" i="1"/>
  <c r="A228" i="1"/>
  <c r="B227" i="17" l="1"/>
  <c r="C227" i="17"/>
  <c r="D227" i="17"/>
  <c r="E227" i="17"/>
  <c r="F227" i="17" s="1"/>
  <c r="G227" i="17"/>
  <c r="H227" i="17"/>
  <c r="I227" i="17"/>
  <c r="J227" i="17"/>
  <c r="K227" i="17" a="1"/>
  <c r="K227" i="17" s="1"/>
  <c r="A228" i="17"/>
  <c r="B228" i="16"/>
  <c r="C228" i="16"/>
  <c r="D228" i="16"/>
  <c r="E228" i="16"/>
  <c r="F228" i="16" s="1"/>
  <c r="G228" i="16"/>
  <c r="H228" i="16"/>
  <c r="I228" i="16"/>
  <c r="J228" i="16"/>
  <c r="K228" i="16" a="1"/>
  <c r="K228" i="16" s="1"/>
  <c r="A229" i="16"/>
  <c r="B228" i="1"/>
  <c r="C228" i="1"/>
  <c r="D228" i="1"/>
  <c r="E228" i="1"/>
  <c r="A229" i="1"/>
  <c r="B228" i="17" l="1"/>
  <c r="C228" i="17"/>
  <c r="D228" i="17"/>
  <c r="E228" i="17"/>
  <c r="F228" i="17" s="1"/>
  <c r="G228" i="17"/>
  <c r="H228" i="17"/>
  <c r="I228" i="17"/>
  <c r="J228" i="17"/>
  <c r="K228" i="17" a="1"/>
  <c r="K228" i="17" s="1"/>
  <c r="A229" i="17"/>
  <c r="B229" i="16"/>
  <c r="C229" i="16"/>
  <c r="D229" i="16"/>
  <c r="E229" i="16"/>
  <c r="F229" i="16" s="1"/>
  <c r="G229" i="16"/>
  <c r="H229" i="16"/>
  <c r="I229" i="16"/>
  <c r="J229" i="16"/>
  <c r="K229" i="16" a="1"/>
  <c r="K229" i="16" s="1"/>
  <c r="A230" i="16"/>
  <c r="B229" i="1"/>
  <c r="C229" i="1"/>
  <c r="D229" i="1"/>
  <c r="E229" i="1"/>
  <c r="A230" i="1"/>
  <c r="B229" i="17" l="1"/>
  <c r="C229" i="17"/>
  <c r="D229" i="17"/>
  <c r="E229" i="17"/>
  <c r="F229" i="17" s="1"/>
  <c r="G229" i="17"/>
  <c r="H229" i="17"/>
  <c r="I229" i="17"/>
  <c r="J229" i="17"/>
  <c r="K229" i="17" a="1"/>
  <c r="K229" i="17" s="1"/>
  <c r="A230" i="17"/>
  <c r="B230" i="16"/>
  <c r="C230" i="16"/>
  <c r="D230" i="16"/>
  <c r="E230" i="16"/>
  <c r="F230" i="16" s="1"/>
  <c r="G230" i="16"/>
  <c r="H230" i="16"/>
  <c r="I230" i="16"/>
  <c r="J230" i="16"/>
  <c r="K230" i="16" a="1"/>
  <c r="K230" i="16" s="1"/>
  <c r="A231" i="16"/>
  <c r="B230" i="1"/>
  <c r="C230" i="1"/>
  <c r="D230" i="1"/>
  <c r="E230" i="1"/>
  <c r="A231" i="1"/>
  <c r="B230" i="17" l="1"/>
  <c r="C230" i="17"/>
  <c r="D230" i="17"/>
  <c r="E230" i="17"/>
  <c r="F230" i="17" s="1"/>
  <c r="G230" i="17"/>
  <c r="H230" i="17"/>
  <c r="I230" i="17"/>
  <c r="J230" i="17"/>
  <c r="K230" i="17" a="1"/>
  <c r="K230" i="17" s="1"/>
  <c r="A231" i="17"/>
  <c r="B231" i="16"/>
  <c r="C231" i="16"/>
  <c r="D231" i="16"/>
  <c r="E231" i="16"/>
  <c r="F231" i="16" s="1"/>
  <c r="G231" i="16"/>
  <c r="H231" i="16"/>
  <c r="I231" i="16"/>
  <c r="J231" i="16"/>
  <c r="K231" i="16" a="1"/>
  <c r="K231" i="16" s="1"/>
  <c r="A232" i="16"/>
  <c r="B231" i="1"/>
  <c r="C231" i="1"/>
  <c r="D231" i="1"/>
  <c r="E231" i="1"/>
  <c r="A232" i="1"/>
  <c r="B231" i="17" l="1"/>
  <c r="C231" i="17"/>
  <c r="D231" i="17"/>
  <c r="E231" i="17"/>
  <c r="F231" i="17" s="1"/>
  <c r="G231" i="17"/>
  <c r="H231" i="17"/>
  <c r="I231" i="17"/>
  <c r="J231" i="17"/>
  <c r="K231" i="17" a="1"/>
  <c r="K231" i="17" s="1"/>
  <c r="A232" i="17"/>
  <c r="B232" i="16"/>
  <c r="C232" i="16"/>
  <c r="D232" i="16"/>
  <c r="E232" i="16"/>
  <c r="F232" i="16" s="1"/>
  <c r="G232" i="16"/>
  <c r="H232" i="16"/>
  <c r="I232" i="16"/>
  <c r="J232" i="16"/>
  <c r="K232" i="16" a="1"/>
  <c r="K232" i="16" s="1"/>
  <c r="A233" i="16"/>
  <c r="B232" i="1"/>
  <c r="C232" i="1"/>
  <c r="D232" i="1"/>
  <c r="E232" i="1"/>
  <c r="A233" i="1"/>
  <c r="B232" i="17" l="1"/>
  <c r="C232" i="17"/>
  <c r="D232" i="17"/>
  <c r="E232" i="17"/>
  <c r="F232" i="17" s="1"/>
  <c r="G232" i="17"/>
  <c r="H232" i="17"/>
  <c r="I232" i="17"/>
  <c r="J232" i="17"/>
  <c r="K232" i="17" a="1"/>
  <c r="K232" i="17" s="1"/>
  <c r="A233" i="17"/>
  <c r="B233" i="16"/>
  <c r="C233" i="16"/>
  <c r="D233" i="16"/>
  <c r="E233" i="16"/>
  <c r="F233" i="16" s="1"/>
  <c r="G233" i="16"/>
  <c r="H233" i="16"/>
  <c r="I233" i="16"/>
  <c r="J233" i="16"/>
  <c r="K233" i="16" a="1"/>
  <c r="K233" i="16" s="1"/>
  <c r="A234" i="16"/>
  <c r="B233" i="1"/>
  <c r="C233" i="1"/>
  <c r="D233" i="1"/>
  <c r="E233" i="1"/>
  <c r="A234" i="1"/>
  <c r="B233" i="17" l="1"/>
  <c r="C233" i="17"/>
  <c r="D233" i="17"/>
  <c r="E233" i="17"/>
  <c r="F233" i="17" s="1"/>
  <c r="G233" i="17"/>
  <c r="H233" i="17"/>
  <c r="I233" i="17"/>
  <c r="J233" i="17"/>
  <c r="K233" i="17" a="1"/>
  <c r="K233" i="17" s="1"/>
  <c r="A234" i="17"/>
  <c r="B234" i="16"/>
  <c r="C234" i="16"/>
  <c r="D234" i="16"/>
  <c r="E234" i="16"/>
  <c r="F234" i="16" s="1"/>
  <c r="G234" i="16"/>
  <c r="H234" i="16"/>
  <c r="I234" i="16"/>
  <c r="J234" i="16"/>
  <c r="K234" i="16" a="1"/>
  <c r="K234" i="16" s="1"/>
  <c r="A235" i="16"/>
  <c r="B234" i="1"/>
  <c r="C234" i="1"/>
  <c r="D234" i="1"/>
  <c r="E234" i="1"/>
  <c r="A235" i="1"/>
  <c r="B234" i="17" l="1"/>
  <c r="C234" i="17"/>
  <c r="D234" i="17"/>
  <c r="E234" i="17"/>
  <c r="F234" i="17" s="1"/>
  <c r="G234" i="17"/>
  <c r="H234" i="17"/>
  <c r="I234" i="17"/>
  <c r="J234" i="17"/>
  <c r="K234" i="17" a="1"/>
  <c r="K234" i="17" s="1"/>
  <c r="A235" i="17"/>
  <c r="B235" i="16"/>
  <c r="C235" i="16"/>
  <c r="D235" i="16"/>
  <c r="E235" i="16"/>
  <c r="F235" i="16" s="1"/>
  <c r="G235" i="16"/>
  <c r="H235" i="16"/>
  <c r="I235" i="16"/>
  <c r="J235" i="16"/>
  <c r="K235" i="16" a="1"/>
  <c r="K235" i="16" s="1"/>
  <c r="A236" i="16"/>
  <c r="B235" i="1"/>
  <c r="C235" i="1"/>
  <c r="D235" i="1"/>
  <c r="E235" i="1"/>
  <c r="A236" i="1"/>
  <c r="B235" i="17" l="1"/>
  <c r="C235" i="17"/>
  <c r="D235" i="17"/>
  <c r="E235" i="17"/>
  <c r="F235" i="17" s="1"/>
  <c r="G235" i="17"/>
  <c r="H235" i="17"/>
  <c r="I235" i="17"/>
  <c r="J235" i="17"/>
  <c r="K235" i="17" a="1"/>
  <c r="K235" i="17" s="1"/>
  <c r="A236" i="17"/>
  <c r="B236" i="16"/>
  <c r="C236" i="16"/>
  <c r="D236" i="16"/>
  <c r="E236" i="16"/>
  <c r="F236" i="16" s="1"/>
  <c r="G236" i="16"/>
  <c r="H236" i="16"/>
  <c r="I236" i="16"/>
  <c r="J236" i="16"/>
  <c r="K236" i="16" a="1"/>
  <c r="K236" i="16" s="1"/>
  <c r="A237" i="16"/>
  <c r="B236" i="1"/>
  <c r="C236" i="1"/>
  <c r="D236" i="1"/>
  <c r="E236" i="1"/>
  <c r="A237" i="1"/>
  <c r="B236" i="17" l="1"/>
  <c r="C236" i="17"/>
  <c r="D236" i="17"/>
  <c r="E236" i="17"/>
  <c r="F236" i="17" s="1"/>
  <c r="G236" i="17"/>
  <c r="H236" i="17"/>
  <c r="I236" i="17"/>
  <c r="J236" i="17"/>
  <c r="K236" i="17" a="1"/>
  <c r="K236" i="17" s="1"/>
  <c r="A237" i="17"/>
  <c r="B237" i="16"/>
  <c r="C237" i="16"/>
  <c r="D237" i="16"/>
  <c r="E237" i="16"/>
  <c r="F237" i="16" s="1"/>
  <c r="G237" i="16"/>
  <c r="H237" i="16"/>
  <c r="I237" i="16"/>
  <c r="J237" i="16"/>
  <c r="K237" i="16" a="1"/>
  <c r="K237" i="16" s="1"/>
  <c r="A238" i="16"/>
  <c r="B237" i="1"/>
  <c r="C237" i="1"/>
  <c r="D237" i="1"/>
  <c r="E237" i="1"/>
  <c r="A238" i="1"/>
  <c r="B237" i="17" l="1"/>
  <c r="C237" i="17"/>
  <c r="D237" i="17"/>
  <c r="E237" i="17"/>
  <c r="F237" i="17" s="1"/>
  <c r="G237" i="17"/>
  <c r="H237" i="17"/>
  <c r="I237" i="17"/>
  <c r="J237" i="17"/>
  <c r="K237" i="17" a="1"/>
  <c r="K237" i="17" s="1"/>
  <c r="A238" i="17"/>
  <c r="B238" i="16"/>
  <c r="C238" i="16"/>
  <c r="D238" i="16"/>
  <c r="E238" i="16"/>
  <c r="F238" i="16" s="1"/>
  <c r="G238" i="16"/>
  <c r="H238" i="16"/>
  <c r="I238" i="16"/>
  <c r="J238" i="16"/>
  <c r="K238" i="16" a="1"/>
  <c r="K238" i="16" s="1"/>
  <c r="A239" i="16"/>
  <c r="B238" i="1"/>
  <c r="C238" i="1"/>
  <c r="D238" i="1"/>
  <c r="E238" i="1"/>
  <c r="A239" i="1"/>
  <c r="B238" i="17" l="1"/>
  <c r="C238" i="17"/>
  <c r="D238" i="17"/>
  <c r="E238" i="17"/>
  <c r="F238" i="17" s="1"/>
  <c r="G238" i="17"/>
  <c r="H238" i="17"/>
  <c r="I238" i="17"/>
  <c r="J238" i="17"/>
  <c r="K238" i="17" a="1"/>
  <c r="K238" i="17" s="1"/>
  <c r="A239" i="17"/>
  <c r="B239" i="16"/>
  <c r="C239" i="16"/>
  <c r="D239" i="16"/>
  <c r="E239" i="16"/>
  <c r="F239" i="16" s="1"/>
  <c r="G239" i="16"/>
  <c r="H239" i="16"/>
  <c r="I239" i="16"/>
  <c r="J239" i="16"/>
  <c r="K239" i="16" a="1"/>
  <c r="K239" i="16" s="1"/>
  <c r="A240" i="16"/>
  <c r="B239" i="1"/>
  <c r="C239" i="1"/>
  <c r="D239" i="1"/>
  <c r="E239" i="1"/>
  <c r="A240" i="1"/>
  <c r="B239" i="17" l="1"/>
  <c r="C239" i="17"/>
  <c r="D239" i="17"/>
  <c r="E239" i="17"/>
  <c r="F239" i="17" s="1"/>
  <c r="G239" i="17"/>
  <c r="H239" i="17"/>
  <c r="I239" i="17"/>
  <c r="J239" i="17"/>
  <c r="K239" i="17" a="1"/>
  <c r="K239" i="17" s="1"/>
  <c r="A240" i="17"/>
  <c r="B240" i="16"/>
  <c r="C240" i="16"/>
  <c r="D240" i="16"/>
  <c r="E240" i="16"/>
  <c r="F240" i="16" s="1"/>
  <c r="G240" i="16"/>
  <c r="H240" i="16"/>
  <c r="I240" i="16"/>
  <c r="J240" i="16"/>
  <c r="K240" i="16" a="1"/>
  <c r="K240" i="16" s="1"/>
  <c r="A241" i="16"/>
  <c r="B240" i="1"/>
  <c r="C240" i="1"/>
  <c r="D240" i="1"/>
  <c r="E240" i="1"/>
  <c r="A241" i="1"/>
  <c r="B240" i="17" l="1"/>
  <c r="C240" i="17"/>
  <c r="D240" i="17"/>
  <c r="E240" i="17"/>
  <c r="F240" i="17" s="1"/>
  <c r="G240" i="17"/>
  <c r="H240" i="17"/>
  <c r="I240" i="17"/>
  <c r="J240" i="17"/>
  <c r="K240" i="17" a="1"/>
  <c r="K240" i="17" s="1"/>
  <c r="A241" i="17"/>
  <c r="B241" i="16"/>
  <c r="C241" i="16"/>
  <c r="D241" i="16"/>
  <c r="E241" i="16"/>
  <c r="F241" i="16" s="1"/>
  <c r="G241" i="16"/>
  <c r="H241" i="16"/>
  <c r="I241" i="16"/>
  <c r="J241" i="16"/>
  <c r="K241" i="16" a="1"/>
  <c r="K241" i="16" s="1"/>
  <c r="A242" i="16"/>
  <c r="B241" i="1"/>
  <c r="C241" i="1"/>
  <c r="D241" i="1"/>
  <c r="E241" i="1"/>
  <c r="A242" i="1"/>
  <c r="B241" i="17" l="1"/>
  <c r="C241" i="17"/>
  <c r="D241" i="17"/>
  <c r="E241" i="17"/>
  <c r="F241" i="17" s="1"/>
  <c r="G241" i="17"/>
  <c r="H241" i="17"/>
  <c r="I241" i="17"/>
  <c r="J241" i="17"/>
  <c r="K241" i="17" a="1"/>
  <c r="K241" i="17" s="1"/>
  <c r="A242" i="17"/>
  <c r="B242" i="16"/>
  <c r="C242" i="16"/>
  <c r="D242" i="16"/>
  <c r="E242" i="16"/>
  <c r="F242" i="16" s="1"/>
  <c r="G242" i="16"/>
  <c r="H242" i="16"/>
  <c r="I242" i="16"/>
  <c r="J242" i="16"/>
  <c r="K242" i="16" a="1"/>
  <c r="K242" i="16" s="1"/>
  <c r="A243" i="16"/>
  <c r="B242" i="1"/>
  <c r="C242" i="1"/>
  <c r="D242" i="1"/>
  <c r="E242" i="1"/>
  <c r="A243" i="1"/>
  <c r="B242" i="17" l="1"/>
  <c r="C242" i="17"/>
  <c r="D242" i="17"/>
  <c r="E242" i="17"/>
  <c r="F242" i="17" s="1"/>
  <c r="G242" i="17"/>
  <c r="H242" i="17"/>
  <c r="I242" i="17"/>
  <c r="J242" i="17"/>
  <c r="K242" i="17" a="1"/>
  <c r="K242" i="17" s="1"/>
  <c r="A243" i="17"/>
  <c r="B243" i="16"/>
  <c r="C243" i="16"/>
  <c r="D243" i="16"/>
  <c r="E243" i="16"/>
  <c r="F243" i="16" s="1"/>
  <c r="G243" i="16"/>
  <c r="H243" i="16"/>
  <c r="I243" i="16"/>
  <c r="J243" i="16"/>
  <c r="K243" i="16" a="1"/>
  <c r="K243" i="16" s="1"/>
  <c r="A244" i="16"/>
  <c r="B243" i="1"/>
  <c r="C243" i="1"/>
  <c r="D243" i="1"/>
  <c r="E243" i="1"/>
  <c r="A244" i="1"/>
  <c r="B243" i="17" l="1"/>
  <c r="C243" i="17"/>
  <c r="D243" i="17"/>
  <c r="E243" i="17"/>
  <c r="F243" i="17" s="1"/>
  <c r="G243" i="17"/>
  <c r="H243" i="17"/>
  <c r="I243" i="17"/>
  <c r="J243" i="17"/>
  <c r="K243" i="17" a="1"/>
  <c r="K243" i="17" s="1"/>
  <c r="A244" i="17"/>
  <c r="B244" i="16"/>
  <c r="C244" i="16"/>
  <c r="D244" i="16"/>
  <c r="E244" i="16"/>
  <c r="F244" i="16" s="1"/>
  <c r="G244" i="16"/>
  <c r="H244" i="16"/>
  <c r="I244" i="16"/>
  <c r="J244" i="16"/>
  <c r="K244" i="16" a="1"/>
  <c r="K244" i="16" s="1"/>
  <c r="A245" i="16"/>
  <c r="B244" i="1"/>
  <c r="C244" i="1"/>
  <c r="D244" i="1"/>
  <c r="E244" i="1"/>
  <c r="A245" i="1"/>
  <c r="B244" i="17" l="1"/>
  <c r="C244" i="17"/>
  <c r="D244" i="17"/>
  <c r="E244" i="17"/>
  <c r="F244" i="17" s="1"/>
  <c r="G244" i="17"/>
  <c r="H244" i="17"/>
  <c r="I244" i="17"/>
  <c r="J244" i="17"/>
  <c r="K244" i="17" a="1"/>
  <c r="K244" i="17" s="1"/>
  <c r="A245" i="17"/>
  <c r="B245" i="16"/>
  <c r="C245" i="16"/>
  <c r="D245" i="16"/>
  <c r="E245" i="16"/>
  <c r="F245" i="16" s="1"/>
  <c r="G245" i="16"/>
  <c r="H245" i="16"/>
  <c r="I245" i="16"/>
  <c r="J245" i="16"/>
  <c r="K245" i="16" a="1"/>
  <c r="K245" i="16" s="1"/>
  <c r="A246" i="16"/>
  <c r="B245" i="1"/>
  <c r="C245" i="1"/>
  <c r="D245" i="1"/>
  <c r="E245" i="1"/>
  <c r="A246" i="1"/>
  <c r="B245" i="17" l="1"/>
  <c r="C245" i="17"/>
  <c r="D245" i="17"/>
  <c r="E245" i="17"/>
  <c r="F245" i="17" s="1"/>
  <c r="G245" i="17"/>
  <c r="H245" i="17"/>
  <c r="I245" i="17"/>
  <c r="J245" i="17"/>
  <c r="K245" i="17" a="1"/>
  <c r="K245" i="17" s="1"/>
  <c r="A246" i="17"/>
  <c r="B246" i="16"/>
  <c r="C246" i="16"/>
  <c r="D246" i="16"/>
  <c r="E246" i="16"/>
  <c r="F246" i="16" s="1"/>
  <c r="G246" i="16"/>
  <c r="H246" i="16"/>
  <c r="I246" i="16"/>
  <c r="J246" i="16"/>
  <c r="K246" i="16" a="1"/>
  <c r="K246" i="16" s="1"/>
  <c r="A247" i="16"/>
  <c r="B246" i="1"/>
  <c r="C246" i="1"/>
  <c r="D246" i="1"/>
  <c r="E246" i="1"/>
  <c r="A247" i="1"/>
  <c r="B246" i="17" l="1"/>
  <c r="C246" i="17"/>
  <c r="D246" i="17"/>
  <c r="E246" i="17"/>
  <c r="F246" i="17" s="1"/>
  <c r="G246" i="17"/>
  <c r="H246" i="17"/>
  <c r="I246" i="17"/>
  <c r="J246" i="17"/>
  <c r="K246" i="17" a="1"/>
  <c r="K246" i="17" s="1"/>
  <c r="A247" i="17"/>
  <c r="B247" i="16"/>
  <c r="C247" i="16"/>
  <c r="D247" i="16"/>
  <c r="E247" i="16"/>
  <c r="F247" i="16" s="1"/>
  <c r="G247" i="16"/>
  <c r="H247" i="16"/>
  <c r="I247" i="16"/>
  <c r="J247" i="16"/>
  <c r="K247" i="16" a="1"/>
  <c r="K247" i="16" s="1"/>
  <c r="A248" i="16"/>
  <c r="B247" i="1"/>
  <c r="C247" i="1"/>
  <c r="D247" i="1"/>
  <c r="E247" i="1"/>
  <c r="A248" i="1"/>
  <c r="B247" i="17" l="1"/>
  <c r="C247" i="17"/>
  <c r="D247" i="17"/>
  <c r="E247" i="17"/>
  <c r="F247" i="17" s="1"/>
  <c r="G247" i="17"/>
  <c r="H247" i="17"/>
  <c r="I247" i="17"/>
  <c r="J247" i="17"/>
  <c r="K247" i="17" a="1"/>
  <c r="K247" i="17" s="1"/>
  <c r="A248" i="17"/>
  <c r="B248" i="16"/>
  <c r="C248" i="16"/>
  <c r="D248" i="16"/>
  <c r="E248" i="16"/>
  <c r="F248" i="16" s="1"/>
  <c r="G248" i="16"/>
  <c r="H248" i="16"/>
  <c r="I248" i="16"/>
  <c r="J248" i="16"/>
  <c r="K248" i="16" a="1"/>
  <c r="K248" i="16" s="1"/>
  <c r="A249" i="16"/>
  <c r="B248" i="1"/>
  <c r="C248" i="1"/>
  <c r="D248" i="1"/>
  <c r="E248" i="1"/>
  <c r="A249" i="1"/>
  <c r="B248" i="17" l="1"/>
  <c r="C248" i="17"/>
  <c r="D248" i="17"/>
  <c r="E248" i="17"/>
  <c r="F248" i="17" s="1"/>
  <c r="G248" i="17"/>
  <c r="H248" i="17"/>
  <c r="I248" i="17"/>
  <c r="J248" i="17"/>
  <c r="K248" i="17" a="1"/>
  <c r="K248" i="17" s="1"/>
  <c r="A249" i="17"/>
  <c r="B249" i="16"/>
  <c r="C249" i="16"/>
  <c r="D249" i="16"/>
  <c r="E249" i="16"/>
  <c r="F249" i="16" s="1"/>
  <c r="G249" i="16"/>
  <c r="H249" i="16"/>
  <c r="I249" i="16"/>
  <c r="J249" i="16"/>
  <c r="K249" i="16" a="1"/>
  <c r="K249" i="16" s="1"/>
  <c r="A250" i="16"/>
  <c r="B249" i="1"/>
  <c r="C249" i="1"/>
  <c r="D249" i="1"/>
  <c r="E249" i="1"/>
  <c r="A250" i="1"/>
  <c r="B249" i="17" l="1"/>
  <c r="C249" i="17"/>
  <c r="D249" i="17"/>
  <c r="E249" i="17"/>
  <c r="F249" i="17" s="1"/>
  <c r="G249" i="17"/>
  <c r="H249" i="17"/>
  <c r="I249" i="17"/>
  <c r="J249" i="17"/>
  <c r="K249" i="17" a="1"/>
  <c r="K249" i="17" s="1"/>
  <c r="A250" i="17"/>
  <c r="B250" i="16"/>
  <c r="C250" i="16"/>
  <c r="D250" i="16"/>
  <c r="E250" i="16"/>
  <c r="F250" i="16" s="1"/>
  <c r="G250" i="16"/>
  <c r="H250" i="16"/>
  <c r="I250" i="16"/>
  <c r="J250" i="16"/>
  <c r="K250" i="16" a="1"/>
  <c r="K250" i="16" s="1"/>
  <c r="A251" i="16"/>
  <c r="B250" i="1"/>
  <c r="C250" i="1"/>
  <c r="D250" i="1"/>
  <c r="E250" i="1"/>
  <c r="A251" i="1"/>
  <c r="B250" i="17" l="1"/>
  <c r="C250" i="17"/>
  <c r="D250" i="17"/>
  <c r="E250" i="17"/>
  <c r="F250" i="17" s="1"/>
  <c r="G250" i="17"/>
  <c r="H250" i="17"/>
  <c r="I250" i="17"/>
  <c r="J250" i="17"/>
  <c r="K250" i="17" a="1"/>
  <c r="K250" i="17" s="1"/>
  <c r="A251" i="17"/>
  <c r="B251" i="16"/>
  <c r="C251" i="16"/>
  <c r="D251" i="16"/>
  <c r="E251" i="16"/>
  <c r="F251" i="16" s="1"/>
  <c r="G251" i="16"/>
  <c r="H251" i="16"/>
  <c r="I251" i="16"/>
  <c r="J251" i="16"/>
  <c r="K251" i="16" a="1"/>
  <c r="K251" i="16" s="1"/>
  <c r="A252" i="16"/>
  <c r="B251" i="1"/>
  <c r="C251" i="1"/>
  <c r="D251" i="1"/>
  <c r="E251" i="1"/>
  <c r="A252" i="1"/>
  <c r="B251" i="17" l="1"/>
  <c r="C251" i="17"/>
  <c r="D251" i="17"/>
  <c r="E251" i="17"/>
  <c r="F251" i="17" s="1"/>
  <c r="G251" i="17"/>
  <c r="H251" i="17"/>
  <c r="I251" i="17"/>
  <c r="J251" i="17"/>
  <c r="K251" i="17" a="1"/>
  <c r="K251" i="17" s="1"/>
  <c r="A252" i="17"/>
  <c r="B252" i="16"/>
  <c r="C252" i="16"/>
  <c r="D252" i="16"/>
  <c r="E252" i="16"/>
  <c r="F252" i="16" s="1"/>
  <c r="G252" i="16"/>
  <c r="H252" i="16"/>
  <c r="I252" i="16"/>
  <c r="J252" i="16"/>
  <c r="K252" i="16" a="1"/>
  <c r="K252" i="16" s="1"/>
  <c r="A253" i="16"/>
  <c r="B252" i="1"/>
  <c r="C252" i="1"/>
  <c r="D252" i="1"/>
  <c r="E252" i="1"/>
  <c r="A253" i="1"/>
  <c r="B252" i="17" l="1"/>
  <c r="C252" i="17"/>
  <c r="D252" i="17"/>
  <c r="E252" i="17"/>
  <c r="F252" i="17" s="1"/>
  <c r="G252" i="17"/>
  <c r="H252" i="17"/>
  <c r="I252" i="17"/>
  <c r="J252" i="17"/>
  <c r="K252" i="17" a="1"/>
  <c r="K252" i="17" s="1"/>
  <c r="A253" i="17"/>
  <c r="B253" i="16"/>
  <c r="C253" i="16"/>
  <c r="D253" i="16"/>
  <c r="E253" i="16"/>
  <c r="F253" i="16" s="1"/>
  <c r="G253" i="16"/>
  <c r="H253" i="16"/>
  <c r="I253" i="16"/>
  <c r="J253" i="16"/>
  <c r="K253" i="16" a="1"/>
  <c r="K253" i="16" s="1"/>
  <c r="A254" i="16"/>
  <c r="B253" i="1"/>
  <c r="C253" i="1"/>
  <c r="D253" i="1"/>
  <c r="E253" i="1"/>
  <c r="A254" i="1"/>
  <c r="B253" i="17" l="1"/>
  <c r="C253" i="17"/>
  <c r="D253" i="17"/>
  <c r="E253" i="17"/>
  <c r="F253" i="17" s="1"/>
  <c r="G253" i="17"/>
  <c r="H253" i="17"/>
  <c r="I253" i="17"/>
  <c r="J253" i="17"/>
  <c r="K253" i="17" a="1"/>
  <c r="K253" i="17" s="1"/>
  <c r="A254" i="17"/>
  <c r="B254" i="16"/>
  <c r="C254" i="16"/>
  <c r="D254" i="16"/>
  <c r="E254" i="16"/>
  <c r="F254" i="16" s="1"/>
  <c r="G254" i="16"/>
  <c r="H254" i="16"/>
  <c r="I254" i="16"/>
  <c r="J254" i="16"/>
  <c r="K254" i="16" a="1"/>
  <c r="K254" i="16" s="1"/>
  <c r="A255" i="16"/>
  <c r="B254" i="1"/>
  <c r="C254" i="1"/>
  <c r="D254" i="1"/>
  <c r="E254" i="1"/>
  <c r="A255" i="1"/>
  <c r="B254" i="17" l="1"/>
  <c r="C254" i="17"/>
  <c r="D254" i="17"/>
  <c r="E254" i="17"/>
  <c r="F254" i="17" s="1"/>
  <c r="G254" i="17"/>
  <c r="H254" i="17"/>
  <c r="I254" i="17"/>
  <c r="J254" i="17"/>
  <c r="K254" i="17" a="1"/>
  <c r="K254" i="17" s="1"/>
  <c r="A255" i="17"/>
  <c r="B255" i="16"/>
  <c r="C255" i="16"/>
  <c r="D255" i="16"/>
  <c r="E255" i="16"/>
  <c r="F255" i="16" s="1"/>
  <c r="G255" i="16"/>
  <c r="H255" i="16"/>
  <c r="I255" i="16"/>
  <c r="J255" i="16"/>
  <c r="K255" i="16" a="1"/>
  <c r="K255" i="16" s="1"/>
  <c r="A256" i="16"/>
  <c r="B255" i="1"/>
  <c r="C255" i="1"/>
  <c r="D255" i="1"/>
  <c r="E255" i="1"/>
  <c r="A256" i="1"/>
  <c r="B255" i="17" l="1"/>
  <c r="C255" i="17"/>
  <c r="D255" i="17"/>
  <c r="E255" i="17"/>
  <c r="F255" i="17" s="1"/>
  <c r="G255" i="17"/>
  <c r="H255" i="17"/>
  <c r="I255" i="17"/>
  <c r="J255" i="17"/>
  <c r="K255" i="17" a="1"/>
  <c r="K255" i="17" s="1"/>
  <c r="A256" i="17"/>
  <c r="B256" i="16"/>
  <c r="C256" i="16"/>
  <c r="D256" i="16"/>
  <c r="E256" i="16"/>
  <c r="F256" i="16" s="1"/>
  <c r="G256" i="16"/>
  <c r="H256" i="16"/>
  <c r="I256" i="16"/>
  <c r="J256" i="16"/>
  <c r="K256" i="16" a="1"/>
  <c r="K256" i="16" s="1"/>
  <c r="A257" i="16"/>
  <c r="B256" i="1"/>
  <c r="C256" i="1"/>
  <c r="D256" i="1"/>
  <c r="E256" i="1"/>
  <c r="A257" i="1"/>
  <c r="B256" i="17" l="1"/>
  <c r="C256" i="17"/>
  <c r="D256" i="17"/>
  <c r="E256" i="17"/>
  <c r="F256" i="17" s="1"/>
  <c r="G256" i="17"/>
  <c r="H256" i="17"/>
  <c r="I256" i="17"/>
  <c r="J256" i="17"/>
  <c r="K256" i="17" a="1"/>
  <c r="K256" i="17" s="1"/>
  <c r="A257" i="17"/>
  <c r="B257" i="16"/>
  <c r="C257" i="16"/>
  <c r="D257" i="16"/>
  <c r="E257" i="16"/>
  <c r="F257" i="16" s="1"/>
  <c r="G257" i="16"/>
  <c r="H257" i="16"/>
  <c r="I257" i="16"/>
  <c r="J257" i="16"/>
  <c r="K257" i="16" a="1"/>
  <c r="K257" i="16" s="1"/>
  <c r="A258" i="16"/>
  <c r="B257" i="1"/>
  <c r="C257" i="1"/>
  <c r="D257" i="1"/>
  <c r="E257" i="1"/>
  <c r="A258" i="1"/>
  <c r="B257" i="17" l="1"/>
  <c r="C257" i="17"/>
  <c r="D257" i="17"/>
  <c r="E257" i="17"/>
  <c r="F257" i="17" s="1"/>
  <c r="G257" i="17"/>
  <c r="H257" i="17"/>
  <c r="I257" i="17"/>
  <c r="J257" i="17"/>
  <c r="K257" i="17" a="1"/>
  <c r="K257" i="17" s="1"/>
  <c r="A258" i="17"/>
  <c r="B258" i="16"/>
  <c r="C258" i="16"/>
  <c r="D258" i="16"/>
  <c r="E258" i="16"/>
  <c r="F258" i="16" s="1"/>
  <c r="G258" i="16"/>
  <c r="H258" i="16"/>
  <c r="I258" i="16"/>
  <c r="J258" i="16"/>
  <c r="K258" i="16" a="1"/>
  <c r="K258" i="16" s="1"/>
  <c r="A259" i="16"/>
  <c r="B258" i="1"/>
  <c r="C258" i="1"/>
  <c r="D258" i="1"/>
  <c r="E258" i="1"/>
  <c r="A259" i="1"/>
  <c r="B258" i="17" l="1"/>
  <c r="C258" i="17"/>
  <c r="D258" i="17"/>
  <c r="E258" i="17"/>
  <c r="F258" i="17" s="1"/>
  <c r="G258" i="17"/>
  <c r="H258" i="17"/>
  <c r="I258" i="17"/>
  <c r="J258" i="17"/>
  <c r="K258" i="17" a="1"/>
  <c r="K258" i="17" s="1"/>
  <c r="A259" i="17"/>
  <c r="B259" i="16"/>
  <c r="C259" i="16"/>
  <c r="D259" i="16"/>
  <c r="E259" i="16"/>
  <c r="F259" i="16" s="1"/>
  <c r="G259" i="16"/>
  <c r="H259" i="16"/>
  <c r="I259" i="16"/>
  <c r="J259" i="16"/>
  <c r="K259" i="16" a="1"/>
  <c r="K259" i="16" s="1"/>
  <c r="A260" i="16"/>
  <c r="B259" i="1"/>
  <c r="C259" i="1"/>
  <c r="D259" i="1"/>
  <c r="E259" i="1"/>
  <c r="A260" i="1"/>
  <c r="B259" i="17" l="1"/>
  <c r="C259" i="17"/>
  <c r="D259" i="17"/>
  <c r="E259" i="17"/>
  <c r="F259" i="17" s="1"/>
  <c r="G259" i="17"/>
  <c r="H259" i="17"/>
  <c r="I259" i="17"/>
  <c r="J259" i="17"/>
  <c r="K259" i="17" a="1"/>
  <c r="K259" i="17" s="1"/>
  <c r="A260" i="17"/>
  <c r="B260" i="16"/>
  <c r="C260" i="16"/>
  <c r="D260" i="16"/>
  <c r="E260" i="16"/>
  <c r="F260" i="16" s="1"/>
  <c r="G260" i="16"/>
  <c r="H260" i="16"/>
  <c r="I260" i="16"/>
  <c r="J260" i="16"/>
  <c r="K260" i="16" a="1"/>
  <c r="K260" i="16" s="1"/>
  <c r="A261" i="16"/>
  <c r="B260" i="1"/>
  <c r="C260" i="1"/>
  <c r="D260" i="1"/>
  <c r="E260" i="1"/>
  <c r="A261" i="1"/>
  <c r="B260" i="17" l="1"/>
  <c r="C260" i="17"/>
  <c r="D260" i="17"/>
  <c r="E260" i="17"/>
  <c r="F260" i="17" s="1"/>
  <c r="G260" i="17"/>
  <c r="H260" i="17"/>
  <c r="I260" i="17"/>
  <c r="J260" i="17"/>
  <c r="K260" i="17" a="1"/>
  <c r="K260" i="17" s="1"/>
  <c r="A261" i="17"/>
  <c r="B261" i="16"/>
  <c r="C261" i="16"/>
  <c r="D261" i="16"/>
  <c r="E261" i="16"/>
  <c r="F261" i="16" s="1"/>
  <c r="G261" i="16"/>
  <c r="H261" i="16"/>
  <c r="I261" i="16"/>
  <c r="J261" i="16"/>
  <c r="K261" i="16" a="1"/>
  <c r="K261" i="16" s="1"/>
  <c r="A262" i="16"/>
  <c r="B261" i="1"/>
  <c r="C261" i="1"/>
  <c r="D261" i="1"/>
  <c r="E261" i="1"/>
  <c r="A262" i="1"/>
  <c r="B261" i="17" l="1"/>
  <c r="C261" i="17"/>
  <c r="D261" i="17"/>
  <c r="E261" i="17"/>
  <c r="F261" i="17" s="1"/>
  <c r="G261" i="17"/>
  <c r="H261" i="17"/>
  <c r="I261" i="17"/>
  <c r="J261" i="17"/>
  <c r="K261" i="17" a="1"/>
  <c r="K261" i="17" s="1"/>
  <c r="A262" i="17"/>
  <c r="B262" i="16"/>
  <c r="C262" i="16"/>
  <c r="D262" i="16"/>
  <c r="E262" i="16"/>
  <c r="F262" i="16" s="1"/>
  <c r="G262" i="16"/>
  <c r="H262" i="16"/>
  <c r="I262" i="16"/>
  <c r="J262" i="16"/>
  <c r="K262" i="16" a="1"/>
  <c r="K262" i="16" s="1"/>
  <c r="A263" i="16"/>
  <c r="B262" i="1"/>
  <c r="C262" i="1"/>
  <c r="D262" i="1"/>
  <c r="E262" i="1"/>
  <c r="A263" i="1"/>
  <c r="B262" i="17" l="1"/>
  <c r="C262" i="17"/>
  <c r="D262" i="17"/>
  <c r="E262" i="17"/>
  <c r="F262" i="17" s="1"/>
  <c r="G262" i="17"/>
  <c r="H262" i="17"/>
  <c r="I262" i="17"/>
  <c r="J262" i="17"/>
  <c r="K262" i="17" a="1"/>
  <c r="K262" i="17" s="1"/>
  <c r="A263" i="17"/>
  <c r="B263" i="16"/>
  <c r="C263" i="16"/>
  <c r="D263" i="16"/>
  <c r="E263" i="16"/>
  <c r="F263" i="16" s="1"/>
  <c r="G263" i="16"/>
  <c r="H263" i="16"/>
  <c r="I263" i="16"/>
  <c r="J263" i="16"/>
  <c r="K263" i="16" a="1"/>
  <c r="K263" i="16" s="1"/>
  <c r="A264" i="16"/>
  <c r="B263" i="1"/>
  <c r="C263" i="1"/>
  <c r="D263" i="1"/>
  <c r="E263" i="1"/>
  <c r="A264" i="1"/>
  <c r="B263" i="17" l="1"/>
  <c r="C263" i="17"/>
  <c r="D263" i="17"/>
  <c r="E263" i="17"/>
  <c r="F263" i="17" s="1"/>
  <c r="G263" i="17"/>
  <c r="H263" i="17"/>
  <c r="I263" i="17"/>
  <c r="J263" i="17"/>
  <c r="K263" i="17" a="1"/>
  <c r="K263" i="17" s="1"/>
  <c r="A264" i="17"/>
  <c r="B264" i="16"/>
  <c r="C264" i="16"/>
  <c r="D264" i="16"/>
  <c r="E264" i="16"/>
  <c r="F264" i="16" s="1"/>
  <c r="G264" i="16"/>
  <c r="H264" i="16"/>
  <c r="I264" i="16"/>
  <c r="J264" i="16"/>
  <c r="K264" i="16" a="1"/>
  <c r="K264" i="16" s="1"/>
  <c r="A265" i="16"/>
  <c r="B264" i="1"/>
  <c r="C264" i="1"/>
  <c r="D264" i="1"/>
  <c r="E264" i="1"/>
  <c r="A265" i="1"/>
  <c r="B264" i="17" l="1"/>
  <c r="C264" i="17"/>
  <c r="D264" i="17"/>
  <c r="E264" i="17"/>
  <c r="F264" i="17" s="1"/>
  <c r="G264" i="17"/>
  <c r="H264" i="17"/>
  <c r="I264" i="17"/>
  <c r="J264" i="17"/>
  <c r="K264" i="17" a="1"/>
  <c r="K264" i="17" s="1"/>
  <c r="A265" i="17"/>
  <c r="B265" i="16"/>
  <c r="C265" i="16"/>
  <c r="D265" i="16"/>
  <c r="E265" i="16"/>
  <c r="F265" i="16" s="1"/>
  <c r="G265" i="16"/>
  <c r="H265" i="16"/>
  <c r="I265" i="16"/>
  <c r="J265" i="16"/>
  <c r="K265" i="16" a="1"/>
  <c r="K265" i="16" s="1"/>
  <c r="A266" i="16"/>
  <c r="B265" i="1"/>
  <c r="C265" i="1"/>
  <c r="D265" i="1"/>
  <c r="E265" i="1"/>
  <c r="A266" i="1"/>
  <c r="B265" i="17" l="1"/>
  <c r="C265" i="17"/>
  <c r="D265" i="17"/>
  <c r="E265" i="17"/>
  <c r="F265" i="17" s="1"/>
  <c r="G265" i="17"/>
  <c r="H265" i="17"/>
  <c r="I265" i="17"/>
  <c r="J265" i="17"/>
  <c r="K265" i="17" a="1"/>
  <c r="K265" i="17" s="1"/>
  <c r="A266" i="17"/>
  <c r="B266" i="16"/>
  <c r="C266" i="16"/>
  <c r="D266" i="16"/>
  <c r="E266" i="16"/>
  <c r="F266" i="16" s="1"/>
  <c r="G266" i="16"/>
  <c r="H266" i="16"/>
  <c r="I266" i="16"/>
  <c r="J266" i="16"/>
  <c r="K266" i="16" a="1"/>
  <c r="K266" i="16" s="1"/>
  <c r="A267" i="16"/>
  <c r="B266" i="1"/>
  <c r="C266" i="1"/>
  <c r="D266" i="1"/>
  <c r="E266" i="1"/>
  <c r="A267" i="1"/>
  <c r="B266" i="17" l="1"/>
  <c r="C266" i="17"/>
  <c r="D266" i="17"/>
  <c r="E266" i="17"/>
  <c r="F266" i="17" s="1"/>
  <c r="G266" i="17"/>
  <c r="H266" i="17"/>
  <c r="I266" i="17"/>
  <c r="J266" i="17"/>
  <c r="K266" i="17" a="1"/>
  <c r="K266" i="17" s="1"/>
  <c r="A267" i="17"/>
  <c r="B267" i="16"/>
  <c r="C267" i="16"/>
  <c r="D267" i="16"/>
  <c r="E267" i="16"/>
  <c r="F267" i="16" s="1"/>
  <c r="G267" i="16"/>
  <c r="H267" i="16"/>
  <c r="I267" i="16"/>
  <c r="J267" i="16"/>
  <c r="K267" i="16" a="1"/>
  <c r="K267" i="16" s="1"/>
  <c r="A268" i="16"/>
  <c r="B267" i="1"/>
  <c r="C267" i="1"/>
  <c r="D267" i="1"/>
  <c r="E267" i="1"/>
  <c r="A268" i="1"/>
  <c r="B267" i="17" l="1"/>
  <c r="C267" i="17"/>
  <c r="D267" i="17"/>
  <c r="E267" i="17"/>
  <c r="F267" i="17" s="1"/>
  <c r="G267" i="17"/>
  <c r="H267" i="17"/>
  <c r="I267" i="17"/>
  <c r="J267" i="17"/>
  <c r="K267" i="17" a="1"/>
  <c r="K267" i="17" s="1"/>
  <c r="A268" i="17"/>
  <c r="B268" i="16"/>
  <c r="C268" i="16"/>
  <c r="D268" i="16"/>
  <c r="E268" i="16"/>
  <c r="F268" i="16" s="1"/>
  <c r="G268" i="16"/>
  <c r="H268" i="16"/>
  <c r="I268" i="16"/>
  <c r="J268" i="16"/>
  <c r="K268" i="16" a="1"/>
  <c r="K268" i="16" s="1"/>
  <c r="A269" i="16"/>
  <c r="B268" i="1"/>
  <c r="C268" i="1"/>
  <c r="D268" i="1"/>
  <c r="E268" i="1"/>
  <c r="A269" i="1"/>
  <c r="B268" i="17" l="1"/>
  <c r="C268" i="17"/>
  <c r="D268" i="17"/>
  <c r="E268" i="17"/>
  <c r="F268" i="17" s="1"/>
  <c r="G268" i="17"/>
  <c r="H268" i="17"/>
  <c r="I268" i="17"/>
  <c r="J268" i="17"/>
  <c r="K268" i="17" a="1"/>
  <c r="K268" i="17" s="1"/>
  <c r="A269" i="17"/>
  <c r="B269" i="16"/>
  <c r="C269" i="16"/>
  <c r="D269" i="16"/>
  <c r="E269" i="16"/>
  <c r="F269" i="16" s="1"/>
  <c r="G269" i="16"/>
  <c r="H269" i="16"/>
  <c r="I269" i="16"/>
  <c r="J269" i="16"/>
  <c r="K269" i="16" a="1"/>
  <c r="K269" i="16" s="1"/>
  <c r="A270" i="16"/>
  <c r="B269" i="1"/>
  <c r="C269" i="1"/>
  <c r="D269" i="1"/>
  <c r="E269" i="1"/>
  <c r="A270" i="1"/>
  <c r="B269" i="17" l="1"/>
  <c r="C269" i="17"/>
  <c r="D269" i="17"/>
  <c r="E269" i="17"/>
  <c r="F269" i="17" s="1"/>
  <c r="G269" i="17"/>
  <c r="H269" i="17"/>
  <c r="I269" i="17"/>
  <c r="J269" i="17"/>
  <c r="K269" i="17" a="1"/>
  <c r="K269" i="17" s="1"/>
  <c r="A270" i="17"/>
  <c r="B270" i="16"/>
  <c r="C270" i="16"/>
  <c r="D270" i="16"/>
  <c r="E270" i="16"/>
  <c r="F270" i="16" s="1"/>
  <c r="G270" i="16"/>
  <c r="H270" i="16"/>
  <c r="I270" i="16"/>
  <c r="J270" i="16"/>
  <c r="K270" i="16" a="1"/>
  <c r="K270" i="16" s="1"/>
  <c r="A271" i="16"/>
  <c r="B270" i="1"/>
  <c r="C270" i="1"/>
  <c r="D270" i="1"/>
  <c r="E270" i="1"/>
  <c r="A271" i="1"/>
  <c r="B270" i="17" l="1"/>
  <c r="C270" i="17"/>
  <c r="D270" i="17"/>
  <c r="E270" i="17"/>
  <c r="F270" i="17" s="1"/>
  <c r="G270" i="17"/>
  <c r="H270" i="17"/>
  <c r="I270" i="17"/>
  <c r="J270" i="17"/>
  <c r="K270" i="17" a="1"/>
  <c r="K270" i="17" s="1"/>
  <c r="A271" i="17"/>
  <c r="B271" i="16"/>
  <c r="C271" i="16"/>
  <c r="D271" i="16"/>
  <c r="E271" i="16"/>
  <c r="F271" i="16" s="1"/>
  <c r="G271" i="16"/>
  <c r="H271" i="16"/>
  <c r="I271" i="16"/>
  <c r="J271" i="16"/>
  <c r="K271" i="16" a="1"/>
  <c r="K271" i="16" s="1"/>
  <c r="A272" i="16"/>
  <c r="B271" i="1"/>
  <c r="C271" i="1"/>
  <c r="D271" i="1"/>
  <c r="E271" i="1"/>
  <c r="A272" i="1"/>
  <c r="B271" i="17" l="1"/>
  <c r="C271" i="17"/>
  <c r="D271" i="17"/>
  <c r="E271" i="17"/>
  <c r="F271" i="17" s="1"/>
  <c r="G271" i="17"/>
  <c r="H271" i="17"/>
  <c r="I271" i="17"/>
  <c r="J271" i="17"/>
  <c r="K271" i="17" a="1"/>
  <c r="K271" i="17" s="1"/>
  <c r="A272" i="17"/>
  <c r="B272" i="16"/>
  <c r="C272" i="16"/>
  <c r="D272" i="16"/>
  <c r="E272" i="16"/>
  <c r="F272" i="16" s="1"/>
  <c r="G272" i="16"/>
  <c r="H272" i="16"/>
  <c r="I272" i="16"/>
  <c r="J272" i="16"/>
  <c r="K272" i="16" a="1"/>
  <c r="K272" i="16" s="1"/>
  <c r="A273" i="16"/>
  <c r="B272" i="1"/>
  <c r="C272" i="1"/>
  <c r="D272" i="1"/>
  <c r="E272" i="1"/>
  <c r="A273" i="1"/>
  <c r="B272" i="17" l="1"/>
  <c r="C272" i="17"/>
  <c r="D272" i="17"/>
  <c r="E272" i="17"/>
  <c r="F272" i="17" s="1"/>
  <c r="G272" i="17"/>
  <c r="H272" i="17"/>
  <c r="I272" i="17"/>
  <c r="J272" i="17"/>
  <c r="K272" i="17" a="1"/>
  <c r="K272" i="17" s="1"/>
  <c r="A273" i="17"/>
  <c r="B273" i="16"/>
  <c r="C273" i="16"/>
  <c r="D273" i="16"/>
  <c r="E273" i="16"/>
  <c r="F273" i="16" s="1"/>
  <c r="G273" i="16"/>
  <c r="H273" i="16"/>
  <c r="I273" i="16"/>
  <c r="J273" i="16"/>
  <c r="K273" i="16" a="1"/>
  <c r="K273" i="16" s="1"/>
  <c r="A274" i="16"/>
  <c r="B273" i="1"/>
  <c r="C273" i="1"/>
  <c r="D273" i="1"/>
  <c r="E273" i="1"/>
  <c r="A274" i="1"/>
  <c r="B273" i="17" l="1"/>
  <c r="C273" i="17"/>
  <c r="D273" i="17"/>
  <c r="E273" i="17"/>
  <c r="F273" i="17" s="1"/>
  <c r="G273" i="17"/>
  <c r="H273" i="17"/>
  <c r="I273" i="17"/>
  <c r="J273" i="17"/>
  <c r="K273" i="17" a="1"/>
  <c r="K273" i="17" s="1"/>
  <c r="A274" i="17"/>
  <c r="B274" i="16"/>
  <c r="C274" i="16"/>
  <c r="D274" i="16"/>
  <c r="E274" i="16"/>
  <c r="F274" i="16" s="1"/>
  <c r="G274" i="16"/>
  <c r="H274" i="16"/>
  <c r="I274" i="16"/>
  <c r="J274" i="16"/>
  <c r="K274" i="16" a="1"/>
  <c r="K274" i="16" s="1"/>
  <c r="A275" i="16"/>
  <c r="B274" i="1"/>
  <c r="C274" i="1"/>
  <c r="D274" i="1"/>
  <c r="E274" i="1"/>
  <c r="A275" i="1"/>
  <c r="B274" i="17" l="1"/>
  <c r="C274" i="17"/>
  <c r="D274" i="17"/>
  <c r="E274" i="17"/>
  <c r="F274" i="17" s="1"/>
  <c r="G274" i="17"/>
  <c r="H274" i="17"/>
  <c r="I274" i="17"/>
  <c r="J274" i="17"/>
  <c r="K274" i="17" a="1"/>
  <c r="K274" i="17" s="1"/>
  <c r="A275" i="17"/>
  <c r="B275" i="16"/>
  <c r="C275" i="16"/>
  <c r="D275" i="16"/>
  <c r="E275" i="16"/>
  <c r="F275" i="16" s="1"/>
  <c r="G275" i="16"/>
  <c r="H275" i="16"/>
  <c r="I275" i="16"/>
  <c r="J275" i="16"/>
  <c r="K275" i="16" a="1"/>
  <c r="K275" i="16" s="1"/>
  <c r="A276" i="16"/>
  <c r="B275" i="1"/>
  <c r="C275" i="1"/>
  <c r="D275" i="1"/>
  <c r="E275" i="1"/>
  <c r="A276" i="1"/>
  <c r="B275" i="17" l="1"/>
  <c r="C275" i="17"/>
  <c r="D275" i="17"/>
  <c r="E275" i="17"/>
  <c r="F275" i="17" s="1"/>
  <c r="G275" i="17"/>
  <c r="H275" i="17"/>
  <c r="I275" i="17"/>
  <c r="J275" i="17"/>
  <c r="K275" i="17" a="1"/>
  <c r="K275" i="17" s="1"/>
  <c r="A276" i="17"/>
  <c r="B276" i="16"/>
  <c r="C276" i="16"/>
  <c r="D276" i="16"/>
  <c r="E276" i="16"/>
  <c r="F276" i="16" s="1"/>
  <c r="G276" i="16"/>
  <c r="H276" i="16"/>
  <c r="I276" i="16"/>
  <c r="J276" i="16"/>
  <c r="K276" i="16" a="1"/>
  <c r="K276" i="16" s="1"/>
  <c r="A277" i="16"/>
  <c r="B276" i="1"/>
  <c r="C276" i="1"/>
  <c r="D276" i="1"/>
  <c r="E276" i="1"/>
  <c r="A277" i="1"/>
  <c r="B276" i="17" l="1"/>
  <c r="C276" i="17"/>
  <c r="D276" i="17"/>
  <c r="E276" i="17"/>
  <c r="F276" i="17" s="1"/>
  <c r="G276" i="17"/>
  <c r="H276" i="17"/>
  <c r="I276" i="17"/>
  <c r="J276" i="17"/>
  <c r="K276" i="17" a="1"/>
  <c r="K276" i="17" s="1"/>
  <c r="A277" i="17"/>
  <c r="B277" i="16"/>
  <c r="C277" i="16"/>
  <c r="D277" i="16"/>
  <c r="E277" i="16"/>
  <c r="F277" i="16" s="1"/>
  <c r="G277" i="16"/>
  <c r="H277" i="16"/>
  <c r="I277" i="16"/>
  <c r="J277" i="16"/>
  <c r="K277" i="16" a="1"/>
  <c r="K277" i="16" s="1"/>
  <c r="A278" i="16"/>
  <c r="B277" i="1"/>
  <c r="C277" i="1"/>
  <c r="D277" i="1"/>
  <c r="E277" i="1"/>
  <c r="A278" i="1"/>
  <c r="B277" i="17" l="1"/>
  <c r="C277" i="17"/>
  <c r="D277" i="17"/>
  <c r="E277" i="17"/>
  <c r="F277" i="17" s="1"/>
  <c r="G277" i="17"/>
  <c r="H277" i="17"/>
  <c r="I277" i="17"/>
  <c r="J277" i="17"/>
  <c r="K277" i="17" a="1"/>
  <c r="K277" i="17" s="1"/>
  <c r="A278" i="17"/>
  <c r="B278" i="16"/>
  <c r="C278" i="16"/>
  <c r="D278" i="16"/>
  <c r="E278" i="16"/>
  <c r="F278" i="16" s="1"/>
  <c r="G278" i="16"/>
  <c r="H278" i="16"/>
  <c r="I278" i="16"/>
  <c r="J278" i="16"/>
  <c r="K278" i="16" a="1"/>
  <c r="K278" i="16" s="1"/>
  <c r="A279" i="16"/>
  <c r="B278" i="1"/>
  <c r="C278" i="1"/>
  <c r="D278" i="1"/>
  <c r="E278" i="1"/>
  <c r="A279" i="1"/>
  <c r="B278" i="17" l="1"/>
  <c r="C278" i="17"/>
  <c r="D278" i="17"/>
  <c r="E278" i="17"/>
  <c r="F278" i="17" s="1"/>
  <c r="G278" i="17"/>
  <c r="H278" i="17"/>
  <c r="I278" i="17"/>
  <c r="J278" i="17"/>
  <c r="K278" i="17" a="1"/>
  <c r="K278" i="17" s="1"/>
  <c r="A279" i="17"/>
  <c r="B279" i="16"/>
  <c r="C279" i="16"/>
  <c r="D279" i="16"/>
  <c r="E279" i="16"/>
  <c r="F279" i="16" s="1"/>
  <c r="G279" i="16"/>
  <c r="H279" i="16"/>
  <c r="I279" i="16"/>
  <c r="J279" i="16"/>
  <c r="K279" i="16" a="1"/>
  <c r="K279" i="16" s="1"/>
  <c r="A280" i="16"/>
  <c r="B279" i="1"/>
  <c r="C279" i="1"/>
  <c r="D279" i="1"/>
  <c r="E279" i="1"/>
  <c r="A280" i="1"/>
  <c r="B279" i="17" l="1"/>
  <c r="C279" i="17"/>
  <c r="D279" i="17"/>
  <c r="E279" i="17"/>
  <c r="F279" i="17" s="1"/>
  <c r="G279" i="17"/>
  <c r="H279" i="17"/>
  <c r="I279" i="17"/>
  <c r="J279" i="17"/>
  <c r="K279" i="17" a="1"/>
  <c r="K279" i="17" s="1"/>
  <c r="A280" i="17"/>
  <c r="B280" i="16"/>
  <c r="C280" i="16"/>
  <c r="D280" i="16"/>
  <c r="E280" i="16"/>
  <c r="F280" i="16" s="1"/>
  <c r="G280" i="16"/>
  <c r="H280" i="16"/>
  <c r="I280" i="16"/>
  <c r="J280" i="16"/>
  <c r="K280" i="16" a="1"/>
  <c r="K280" i="16" s="1"/>
  <c r="A281" i="16"/>
  <c r="B280" i="1"/>
  <c r="C280" i="1"/>
  <c r="D280" i="1"/>
  <c r="E280" i="1"/>
  <c r="A281" i="1"/>
  <c r="B280" i="17" l="1"/>
  <c r="C280" i="17"/>
  <c r="D280" i="17"/>
  <c r="E280" i="17"/>
  <c r="F280" i="17" s="1"/>
  <c r="G280" i="17"/>
  <c r="H280" i="17"/>
  <c r="I280" i="17"/>
  <c r="J280" i="17"/>
  <c r="K280" i="17" a="1"/>
  <c r="K280" i="17" s="1"/>
  <c r="A281" i="17"/>
  <c r="B281" i="16"/>
  <c r="C281" i="16"/>
  <c r="D281" i="16"/>
  <c r="E281" i="16"/>
  <c r="F281" i="16" s="1"/>
  <c r="G281" i="16"/>
  <c r="H281" i="16"/>
  <c r="I281" i="16"/>
  <c r="J281" i="16"/>
  <c r="K281" i="16" a="1"/>
  <c r="K281" i="16" s="1"/>
  <c r="A282" i="16"/>
  <c r="B281" i="1"/>
  <c r="C281" i="1"/>
  <c r="D281" i="1"/>
  <c r="E281" i="1"/>
  <c r="A282" i="1"/>
  <c r="B281" i="17" l="1"/>
  <c r="C281" i="17"/>
  <c r="D281" i="17"/>
  <c r="E281" i="17"/>
  <c r="F281" i="17" s="1"/>
  <c r="G281" i="17"/>
  <c r="H281" i="17"/>
  <c r="I281" i="17"/>
  <c r="J281" i="17"/>
  <c r="K281" i="17" a="1"/>
  <c r="K281" i="17" s="1"/>
  <c r="A282" i="17"/>
  <c r="B282" i="16"/>
  <c r="C282" i="16"/>
  <c r="D282" i="16"/>
  <c r="E282" i="16"/>
  <c r="F282" i="16" s="1"/>
  <c r="G282" i="16"/>
  <c r="H282" i="16"/>
  <c r="I282" i="16"/>
  <c r="J282" i="16"/>
  <c r="K282" i="16" a="1"/>
  <c r="K282" i="16" s="1"/>
  <c r="A283" i="16"/>
  <c r="B282" i="1"/>
  <c r="C282" i="1"/>
  <c r="D282" i="1"/>
  <c r="E282" i="1"/>
  <c r="A283" i="1"/>
  <c r="B282" i="17" l="1"/>
  <c r="C282" i="17"/>
  <c r="D282" i="17"/>
  <c r="E282" i="17"/>
  <c r="F282" i="17" s="1"/>
  <c r="G282" i="17"/>
  <c r="H282" i="17"/>
  <c r="I282" i="17"/>
  <c r="J282" i="17"/>
  <c r="K282" i="17" a="1"/>
  <c r="K282" i="17" s="1"/>
  <c r="A283" i="17"/>
  <c r="B283" i="16"/>
  <c r="C283" i="16"/>
  <c r="D283" i="16"/>
  <c r="E283" i="16"/>
  <c r="F283" i="16" s="1"/>
  <c r="G283" i="16"/>
  <c r="H283" i="16"/>
  <c r="I283" i="16"/>
  <c r="J283" i="16"/>
  <c r="K283" i="16" a="1"/>
  <c r="K283" i="16" s="1"/>
  <c r="A284" i="16"/>
  <c r="B283" i="1"/>
  <c r="C283" i="1"/>
  <c r="D283" i="1"/>
  <c r="E283" i="1"/>
  <c r="A284" i="1"/>
  <c r="B283" i="17" l="1"/>
  <c r="C283" i="17"/>
  <c r="D283" i="17"/>
  <c r="E283" i="17"/>
  <c r="F283" i="17" s="1"/>
  <c r="G283" i="17"/>
  <c r="H283" i="17"/>
  <c r="I283" i="17"/>
  <c r="J283" i="17"/>
  <c r="K283" i="17" a="1"/>
  <c r="K283" i="17" s="1"/>
  <c r="A284" i="17"/>
  <c r="B284" i="16"/>
  <c r="C284" i="16"/>
  <c r="D284" i="16"/>
  <c r="E284" i="16"/>
  <c r="F284" i="16" s="1"/>
  <c r="G284" i="16"/>
  <c r="H284" i="16"/>
  <c r="I284" i="16"/>
  <c r="J284" i="16"/>
  <c r="K284" i="16" a="1"/>
  <c r="K284" i="16" s="1"/>
  <c r="A285" i="16"/>
  <c r="B284" i="1"/>
  <c r="C284" i="1"/>
  <c r="D284" i="1"/>
  <c r="E284" i="1"/>
  <c r="A285" i="1"/>
  <c r="B284" i="17" l="1"/>
  <c r="C284" i="17"/>
  <c r="D284" i="17"/>
  <c r="E284" i="17"/>
  <c r="F284" i="17" s="1"/>
  <c r="G284" i="17"/>
  <c r="H284" i="17"/>
  <c r="I284" i="17"/>
  <c r="J284" i="17"/>
  <c r="K284" i="17" a="1"/>
  <c r="K284" i="17" s="1"/>
  <c r="A285" i="17"/>
  <c r="B285" i="16"/>
  <c r="C285" i="16"/>
  <c r="D285" i="16"/>
  <c r="E285" i="16"/>
  <c r="F285" i="16" s="1"/>
  <c r="G285" i="16"/>
  <c r="H285" i="16"/>
  <c r="I285" i="16"/>
  <c r="J285" i="16"/>
  <c r="K285" i="16" a="1"/>
  <c r="K285" i="16" s="1"/>
  <c r="A286" i="16"/>
  <c r="B285" i="1"/>
  <c r="C285" i="1"/>
  <c r="D285" i="1"/>
  <c r="E285" i="1"/>
  <c r="A286" i="1"/>
  <c r="B285" i="17" l="1"/>
  <c r="C285" i="17"/>
  <c r="D285" i="17"/>
  <c r="E285" i="17"/>
  <c r="F285" i="17" s="1"/>
  <c r="G285" i="17"/>
  <c r="H285" i="17"/>
  <c r="I285" i="17"/>
  <c r="J285" i="17"/>
  <c r="K285" i="17" a="1"/>
  <c r="K285" i="17" s="1"/>
  <c r="A286" i="17"/>
  <c r="B286" i="16"/>
  <c r="C286" i="16"/>
  <c r="D286" i="16"/>
  <c r="E286" i="16"/>
  <c r="F286" i="16" s="1"/>
  <c r="G286" i="16"/>
  <c r="H286" i="16"/>
  <c r="I286" i="16"/>
  <c r="J286" i="16"/>
  <c r="K286" i="16" a="1"/>
  <c r="K286" i="16" s="1"/>
  <c r="A287" i="16"/>
  <c r="B286" i="1"/>
  <c r="C286" i="1"/>
  <c r="D286" i="1"/>
  <c r="E286" i="1"/>
  <c r="A287" i="1"/>
  <c r="B286" i="17" l="1"/>
  <c r="C286" i="17"/>
  <c r="D286" i="17"/>
  <c r="E286" i="17"/>
  <c r="F286" i="17" s="1"/>
  <c r="G286" i="17"/>
  <c r="H286" i="17"/>
  <c r="I286" i="17"/>
  <c r="J286" i="17"/>
  <c r="K286" i="17" a="1"/>
  <c r="K286" i="17" s="1"/>
  <c r="A287" i="17"/>
  <c r="B287" i="16"/>
  <c r="C287" i="16"/>
  <c r="D287" i="16"/>
  <c r="E287" i="16"/>
  <c r="F287" i="16" s="1"/>
  <c r="G287" i="16"/>
  <c r="H287" i="16"/>
  <c r="I287" i="16"/>
  <c r="J287" i="16"/>
  <c r="K287" i="16" a="1"/>
  <c r="K287" i="16" s="1"/>
  <c r="A288" i="16"/>
  <c r="B287" i="1"/>
  <c r="C287" i="1"/>
  <c r="D287" i="1"/>
  <c r="E287" i="1"/>
  <c r="A288" i="1"/>
  <c r="B287" i="17" l="1"/>
  <c r="C287" i="17"/>
  <c r="D287" i="17"/>
  <c r="E287" i="17"/>
  <c r="F287" i="17" s="1"/>
  <c r="G287" i="17"/>
  <c r="H287" i="17"/>
  <c r="I287" i="17"/>
  <c r="J287" i="17"/>
  <c r="K287" i="17" a="1"/>
  <c r="K287" i="17" s="1"/>
  <c r="A288" i="17"/>
  <c r="B288" i="16"/>
  <c r="C288" i="16"/>
  <c r="D288" i="16"/>
  <c r="E288" i="16"/>
  <c r="F288" i="16" s="1"/>
  <c r="G288" i="16"/>
  <c r="H288" i="16"/>
  <c r="I288" i="16"/>
  <c r="J288" i="16"/>
  <c r="K288" i="16" a="1"/>
  <c r="K288" i="16" s="1"/>
  <c r="A289" i="16"/>
  <c r="B288" i="1"/>
  <c r="C288" i="1"/>
  <c r="D288" i="1"/>
  <c r="E288" i="1"/>
  <c r="A289" i="1"/>
  <c r="B288" i="17" l="1"/>
  <c r="C288" i="17"/>
  <c r="D288" i="17"/>
  <c r="E288" i="17"/>
  <c r="F288" i="17" s="1"/>
  <c r="G288" i="17"/>
  <c r="H288" i="17"/>
  <c r="I288" i="17"/>
  <c r="J288" i="17"/>
  <c r="K288" i="17" a="1"/>
  <c r="K288" i="17" s="1"/>
  <c r="A289" i="17"/>
  <c r="B289" i="16"/>
  <c r="C289" i="16"/>
  <c r="D289" i="16"/>
  <c r="E289" i="16"/>
  <c r="F289" i="16" s="1"/>
  <c r="G289" i="16"/>
  <c r="H289" i="16"/>
  <c r="I289" i="16"/>
  <c r="J289" i="16"/>
  <c r="K289" i="16" a="1"/>
  <c r="K289" i="16" s="1"/>
  <c r="A290" i="16"/>
  <c r="B289" i="1"/>
  <c r="D289" i="1"/>
  <c r="C289" i="1"/>
  <c r="E289" i="1"/>
  <c r="A290" i="1"/>
  <c r="B289" i="17" l="1"/>
  <c r="C289" i="17"/>
  <c r="D289" i="17"/>
  <c r="E289" i="17"/>
  <c r="F289" i="17" s="1"/>
  <c r="G289" i="17"/>
  <c r="H289" i="17"/>
  <c r="I289" i="17"/>
  <c r="J289" i="17"/>
  <c r="K289" i="17" a="1"/>
  <c r="K289" i="17" s="1"/>
  <c r="A290" i="17"/>
  <c r="B290" i="16"/>
  <c r="C290" i="16"/>
  <c r="D290" i="16"/>
  <c r="E290" i="16"/>
  <c r="F290" i="16" s="1"/>
  <c r="G290" i="16"/>
  <c r="H290" i="16"/>
  <c r="I290" i="16"/>
  <c r="J290" i="16"/>
  <c r="K290" i="16" a="1"/>
  <c r="K290" i="16" s="1"/>
  <c r="A291" i="16"/>
  <c r="B290" i="1"/>
  <c r="D290" i="1"/>
  <c r="C290" i="1"/>
  <c r="E290" i="1"/>
  <c r="A291" i="1"/>
  <c r="B290" i="17" l="1"/>
  <c r="C290" i="17"/>
  <c r="D290" i="17"/>
  <c r="E290" i="17"/>
  <c r="F290" i="17" s="1"/>
  <c r="G290" i="17"/>
  <c r="H290" i="17"/>
  <c r="I290" i="17"/>
  <c r="J290" i="17"/>
  <c r="K290" i="17" a="1"/>
  <c r="K290" i="17" s="1"/>
  <c r="A291" i="17"/>
  <c r="B291" i="16"/>
  <c r="C291" i="16"/>
  <c r="D291" i="16"/>
  <c r="E291" i="16"/>
  <c r="F291" i="16" s="1"/>
  <c r="G291" i="16"/>
  <c r="H291" i="16"/>
  <c r="I291" i="16"/>
  <c r="J291" i="16"/>
  <c r="K291" i="16" a="1"/>
  <c r="K291" i="16" s="1"/>
  <c r="A292" i="16"/>
  <c r="C291" i="1"/>
  <c r="B291" i="1"/>
  <c r="D291" i="1"/>
  <c r="E291" i="1"/>
  <c r="A292" i="1"/>
  <c r="B291" i="17" l="1"/>
  <c r="C291" i="17"/>
  <c r="D291" i="17"/>
  <c r="E291" i="17"/>
  <c r="F291" i="17" s="1"/>
  <c r="G291" i="17"/>
  <c r="H291" i="17"/>
  <c r="I291" i="17"/>
  <c r="J291" i="17"/>
  <c r="K291" i="17" a="1"/>
  <c r="K291" i="17" s="1"/>
  <c r="A292" i="17"/>
  <c r="B292" i="16"/>
  <c r="C292" i="16"/>
  <c r="D292" i="16"/>
  <c r="E292" i="16"/>
  <c r="F292" i="16" s="1"/>
  <c r="G292" i="16"/>
  <c r="H292" i="16"/>
  <c r="I292" i="16"/>
  <c r="J292" i="16"/>
  <c r="K292" i="16" a="1"/>
  <c r="K292" i="16" s="1"/>
  <c r="A293" i="16"/>
  <c r="C292" i="1"/>
  <c r="B292" i="1"/>
  <c r="D292" i="1"/>
  <c r="E292" i="1"/>
  <c r="A293" i="1"/>
  <c r="B292" i="17" l="1"/>
  <c r="C292" i="17"/>
  <c r="D292" i="17"/>
  <c r="E292" i="17"/>
  <c r="F292" i="17" s="1"/>
  <c r="G292" i="17"/>
  <c r="H292" i="17"/>
  <c r="I292" i="17"/>
  <c r="J292" i="17"/>
  <c r="K292" i="17" a="1"/>
  <c r="K292" i="17" s="1"/>
  <c r="A293" i="17"/>
  <c r="B293" i="16"/>
  <c r="C293" i="16"/>
  <c r="D293" i="16"/>
  <c r="E293" i="16"/>
  <c r="F293" i="16" s="1"/>
  <c r="G293" i="16"/>
  <c r="H293" i="16"/>
  <c r="I293" i="16"/>
  <c r="J293" i="16"/>
  <c r="K293" i="16" a="1"/>
  <c r="K293" i="16" s="1"/>
  <c r="A294" i="16"/>
  <c r="C293" i="1"/>
  <c r="E293" i="1"/>
  <c r="B293" i="1"/>
  <c r="D293" i="1"/>
  <c r="A294" i="1"/>
  <c r="B293" i="17" l="1"/>
  <c r="C293" i="17"/>
  <c r="D293" i="17"/>
  <c r="E293" i="17"/>
  <c r="F293" i="17" s="1"/>
  <c r="G293" i="17"/>
  <c r="H293" i="17"/>
  <c r="I293" i="17"/>
  <c r="J293" i="17"/>
  <c r="K293" i="17" a="1"/>
  <c r="K293" i="17" s="1"/>
  <c r="A294" i="17"/>
  <c r="B294" i="16"/>
  <c r="C294" i="16"/>
  <c r="D294" i="16"/>
  <c r="E294" i="16"/>
  <c r="F294" i="16" s="1"/>
  <c r="G294" i="16"/>
  <c r="H294" i="16"/>
  <c r="I294" i="16"/>
  <c r="J294" i="16"/>
  <c r="K294" i="16" a="1"/>
  <c r="K294" i="16" s="1"/>
  <c r="A295" i="16"/>
  <c r="B294" i="1"/>
  <c r="D294" i="1"/>
  <c r="C294" i="1"/>
  <c r="E294" i="1"/>
  <c r="A295" i="1"/>
  <c r="B294" i="17" l="1"/>
  <c r="C294" i="17"/>
  <c r="D294" i="17"/>
  <c r="E294" i="17"/>
  <c r="F294" i="17" s="1"/>
  <c r="G294" i="17"/>
  <c r="H294" i="17"/>
  <c r="I294" i="17"/>
  <c r="J294" i="17"/>
  <c r="K294" i="17" a="1"/>
  <c r="K294" i="17" s="1"/>
  <c r="A295" i="17"/>
  <c r="B295" i="16"/>
  <c r="C295" i="16"/>
  <c r="D295" i="16"/>
  <c r="E295" i="16"/>
  <c r="F295" i="16" s="1"/>
  <c r="G295" i="16"/>
  <c r="H295" i="16"/>
  <c r="I295" i="16"/>
  <c r="J295" i="16"/>
  <c r="K295" i="16" a="1"/>
  <c r="K295" i="16" s="1"/>
  <c r="A296" i="16"/>
  <c r="B295" i="1"/>
  <c r="D295" i="1"/>
  <c r="C295" i="1"/>
  <c r="E295" i="1"/>
  <c r="A296" i="1"/>
  <c r="B295" i="17" l="1"/>
  <c r="C295" i="17"/>
  <c r="D295" i="17"/>
  <c r="E295" i="17"/>
  <c r="F295" i="17" s="1"/>
  <c r="G295" i="17"/>
  <c r="H295" i="17"/>
  <c r="I295" i="17"/>
  <c r="J295" i="17"/>
  <c r="K295" i="17" a="1"/>
  <c r="K295" i="17" s="1"/>
  <c r="A296" i="17"/>
  <c r="B296" i="16"/>
  <c r="C296" i="16"/>
  <c r="D296" i="16"/>
  <c r="E296" i="16"/>
  <c r="F296" i="16" s="1"/>
  <c r="G296" i="16"/>
  <c r="H296" i="16"/>
  <c r="I296" i="16"/>
  <c r="J296" i="16"/>
  <c r="K296" i="16" a="1"/>
  <c r="K296" i="16" s="1"/>
  <c r="A297" i="16"/>
  <c r="B296" i="1"/>
  <c r="E296" i="1"/>
  <c r="C296" i="1"/>
  <c r="D296" i="1"/>
  <c r="A297" i="1"/>
  <c r="B296" i="17" l="1"/>
  <c r="C296" i="17"/>
  <c r="D296" i="17"/>
  <c r="E296" i="17"/>
  <c r="F296" i="17" s="1"/>
  <c r="G296" i="17"/>
  <c r="H296" i="17"/>
  <c r="I296" i="17"/>
  <c r="J296" i="17"/>
  <c r="K296" i="17" a="1"/>
  <c r="K296" i="17" s="1"/>
  <c r="A297" i="17"/>
  <c r="B297" i="16"/>
  <c r="C297" i="16"/>
  <c r="D297" i="16"/>
  <c r="E297" i="16"/>
  <c r="F297" i="16" s="1"/>
  <c r="G297" i="16"/>
  <c r="H297" i="16"/>
  <c r="I297" i="16"/>
  <c r="J297" i="16"/>
  <c r="K297" i="16" a="1"/>
  <c r="K297" i="16" s="1"/>
  <c r="A298" i="16"/>
  <c r="B297" i="1"/>
  <c r="E297" i="1"/>
  <c r="C297" i="1"/>
  <c r="D297" i="1"/>
  <c r="A298" i="1"/>
  <c r="B297" i="17" l="1"/>
  <c r="C297" i="17"/>
  <c r="D297" i="17"/>
  <c r="E297" i="17"/>
  <c r="F297" i="17" s="1"/>
  <c r="G297" i="17"/>
  <c r="H297" i="17"/>
  <c r="I297" i="17"/>
  <c r="J297" i="17"/>
  <c r="K297" i="17" a="1"/>
  <c r="K297" i="17" s="1"/>
  <c r="A298" i="17"/>
  <c r="B298" i="16"/>
  <c r="C298" i="16"/>
  <c r="D298" i="16"/>
  <c r="E298" i="16"/>
  <c r="F298" i="16" s="1"/>
  <c r="G298" i="16"/>
  <c r="H298" i="16"/>
  <c r="I298" i="16"/>
  <c r="J298" i="16"/>
  <c r="K298" i="16" a="1"/>
  <c r="K298" i="16" s="1"/>
  <c r="A299" i="16"/>
  <c r="D298" i="1"/>
  <c r="B298" i="1"/>
  <c r="C298" i="1"/>
  <c r="E298" i="1"/>
  <c r="A299" i="1"/>
  <c r="B298" i="17" l="1"/>
  <c r="C298" i="17"/>
  <c r="D298" i="17"/>
  <c r="E298" i="17"/>
  <c r="F298" i="17" s="1"/>
  <c r="G298" i="17"/>
  <c r="H298" i="17"/>
  <c r="I298" i="17"/>
  <c r="J298" i="17"/>
  <c r="K298" i="17" a="1"/>
  <c r="K298" i="17" s="1"/>
  <c r="A299" i="17"/>
  <c r="B299" i="16"/>
  <c r="C299" i="16"/>
  <c r="D299" i="16"/>
  <c r="E299" i="16"/>
  <c r="F299" i="16" s="1"/>
  <c r="G299" i="16"/>
  <c r="H299" i="16"/>
  <c r="I299" i="16"/>
  <c r="J299" i="16"/>
  <c r="K299" i="16" a="1"/>
  <c r="K299" i="16" s="1"/>
  <c r="A300" i="16"/>
  <c r="C299" i="1"/>
  <c r="E299" i="1"/>
  <c r="B299" i="1"/>
  <c r="D299" i="1"/>
  <c r="A300" i="1"/>
  <c r="B299" i="17" l="1"/>
  <c r="C299" i="17"/>
  <c r="D299" i="17"/>
  <c r="E299" i="17"/>
  <c r="F299" i="17" s="1"/>
  <c r="G299" i="17"/>
  <c r="H299" i="17"/>
  <c r="I299" i="17"/>
  <c r="J299" i="17"/>
  <c r="K299" i="17" a="1"/>
  <c r="K299" i="17" s="1"/>
  <c r="A300" i="17"/>
  <c r="B300" i="16"/>
  <c r="C300" i="16"/>
  <c r="D300" i="16"/>
  <c r="E300" i="16"/>
  <c r="F300" i="16" s="1"/>
  <c r="G300" i="16"/>
  <c r="H300" i="16"/>
  <c r="I300" i="16"/>
  <c r="J300" i="16"/>
  <c r="K300" i="16" a="1"/>
  <c r="K300" i="16" s="1"/>
  <c r="A301" i="16"/>
  <c r="B300" i="1"/>
  <c r="D300" i="1"/>
  <c r="C300" i="1"/>
  <c r="E300" i="1"/>
  <c r="A301" i="1"/>
  <c r="B300" i="17" l="1"/>
  <c r="C300" i="17"/>
  <c r="D300" i="17"/>
  <c r="E300" i="17"/>
  <c r="F300" i="17" s="1"/>
  <c r="G300" i="17"/>
  <c r="H300" i="17"/>
  <c r="I300" i="17"/>
  <c r="J300" i="17"/>
  <c r="K300" i="17" a="1"/>
  <c r="K300" i="17" s="1"/>
  <c r="A301" i="17"/>
  <c r="B301" i="16"/>
  <c r="C301" i="16"/>
  <c r="D301" i="16"/>
  <c r="E301" i="16"/>
  <c r="F301" i="16" s="1"/>
  <c r="G301" i="16"/>
  <c r="H301" i="16"/>
  <c r="I301" i="16"/>
  <c r="J301" i="16"/>
  <c r="K301" i="16" a="1"/>
  <c r="K301" i="16" s="1"/>
  <c r="A302" i="16"/>
  <c r="B301" i="1"/>
  <c r="D301" i="1"/>
  <c r="C301" i="1"/>
  <c r="E301" i="1"/>
  <c r="A302" i="1"/>
  <c r="B301" i="17" l="1"/>
  <c r="C301" i="17"/>
  <c r="D301" i="17"/>
  <c r="E301" i="17"/>
  <c r="F301" i="17" s="1"/>
  <c r="G301" i="17"/>
  <c r="H301" i="17"/>
  <c r="I301" i="17"/>
  <c r="J301" i="17"/>
  <c r="K301" i="17" a="1"/>
  <c r="K301" i="17" s="1"/>
  <c r="A302" i="17"/>
  <c r="B302" i="16"/>
  <c r="C302" i="16"/>
  <c r="D302" i="16"/>
  <c r="E302" i="16"/>
  <c r="F302" i="16" s="1"/>
  <c r="G302" i="16"/>
  <c r="H302" i="16"/>
  <c r="I302" i="16"/>
  <c r="J302" i="16"/>
  <c r="K302" i="16" a="1"/>
  <c r="K302" i="16" s="1"/>
  <c r="A303" i="16"/>
  <c r="C302" i="1"/>
  <c r="E302" i="1"/>
  <c r="B302" i="1"/>
  <c r="D302" i="1"/>
  <c r="A303" i="1"/>
  <c r="B302" i="17" l="1"/>
  <c r="C302" i="17"/>
  <c r="D302" i="17"/>
  <c r="E302" i="17"/>
  <c r="F302" i="17" s="1"/>
  <c r="G302" i="17"/>
  <c r="H302" i="17"/>
  <c r="I302" i="17"/>
  <c r="J302" i="17"/>
  <c r="K302" i="17" a="1"/>
  <c r="K302" i="17" s="1"/>
  <c r="A303" i="17"/>
  <c r="B303" i="16"/>
  <c r="C303" i="16"/>
  <c r="D303" i="16"/>
  <c r="E303" i="16"/>
  <c r="F303" i="16" s="1"/>
  <c r="G303" i="16"/>
  <c r="H303" i="16"/>
  <c r="I303" i="16"/>
  <c r="J303" i="16"/>
  <c r="K303" i="16" a="1"/>
  <c r="K303" i="16" s="1"/>
  <c r="A304" i="16"/>
  <c r="B303" i="1"/>
  <c r="E303" i="1"/>
  <c r="C303" i="1"/>
  <c r="D303" i="1"/>
  <c r="A304" i="1"/>
  <c r="B303" i="17" l="1"/>
  <c r="C303" i="17"/>
  <c r="D303" i="17"/>
  <c r="E303" i="17"/>
  <c r="F303" i="17" s="1"/>
  <c r="G303" i="17"/>
  <c r="H303" i="17"/>
  <c r="I303" i="17"/>
  <c r="J303" i="17"/>
  <c r="K303" i="17" a="1"/>
  <c r="K303" i="17" s="1"/>
  <c r="A304" i="17"/>
  <c r="B304" i="16"/>
  <c r="C304" i="16"/>
  <c r="D304" i="16"/>
  <c r="E304" i="16"/>
  <c r="F304" i="16" s="1"/>
  <c r="G304" i="16"/>
  <c r="H304" i="16"/>
  <c r="I304" i="16"/>
  <c r="J304" i="16"/>
  <c r="K304" i="16" a="1"/>
  <c r="K304" i="16" s="1"/>
  <c r="A305" i="16"/>
  <c r="C304" i="1"/>
  <c r="D304" i="1"/>
  <c r="B304" i="1"/>
  <c r="E304" i="1"/>
  <c r="A305" i="1"/>
  <c r="B304" i="17" l="1"/>
  <c r="C304" i="17"/>
  <c r="D304" i="17"/>
  <c r="E304" i="17"/>
  <c r="F304" i="17" s="1"/>
  <c r="G304" i="17"/>
  <c r="H304" i="17"/>
  <c r="I304" i="17"/>
  <c r="J304" i="17"/>
  <c r="K304" i="17" a="1"/>
  <c r="K304" i="17" s="1"/>
  <c r="A305" i="17"/>
  <c r="B305" i="16"/>
  <c r="C305" i="16"/>
  <c r="D305" i="16"/>
  <c r="E305" i="16"/>
  <c r="F305" i="16" s="1"/>
  <c r="G305" i="16"/>
  <c r="H305" i="16"/>
  <c r="I305" i="16"/>
  <c r="J305" i="16"/>
  <c r="K305" i="16" a="1"/>
  <c r="K305" i="16" s="1"/>
  <c r="A306" i="16"/>
  <c r="B305" i="1"/>
  <c r="D305" i="1"/>
  <c r="C305" i="1"/>
  <c r="E305" i="1"/>
  <c r="A306" i="1"/>
  <c r="B305" i="17" l="1"/>
  <c r="C305" i="17"/>
  <c r="D305" i="17"/>
  <c r="E305" i="17"/>
  <c r="F305" i="17" s="1"/>
  <c r="G305" i="17"/>
  <c r="H305" i="17"/>
  <c r="I305" i="17"/>
  <c r="J305" i="17"/>
  <c r="K305" i="17" a="1"/>
  <c r="K305" i="17" s="1"/>
  <c r="A306" i="17"/>
  <c r="B306" i="16"/>
  <c r="C306" i="16"/>
  <c r="D306" i="16"/>
  <c r="E306" i="16"/>
  <c r="F306" i="16" s="1"/>
  <c r="G306" i="16"/>
  <c r="H306" i="16"/>
  <c r="I306" i="16"/>
  <c r="J306" i="16"/>
  <c r="K306" i="16" a="1"/>
  <c r="K306" i="16" s="1"/>
  <c r="A307" i="16"/>
  <c r="D306" i="1"/>
  <c r="B306" i="1"/>
  <c r="C306" i="1"/>
  <c r="E306" i="1"/>
  <c r="A307" i="1"/>
  <c r="B306" i="17" l="1"/>
  <c r="C306" i="17"/>
  <c r="D306" i="17"/>
  <c r="E306" i="17"/>
  <c r="F306" i="17" s="1"/>
  <c r="G306" i="17"/>
  <c r="H306" i="17"/>
  <c r="I306" i="17"/>
  <c r="J306" i="17"/>
  <c r="K306" i="17" a="1"/>
  <c r="K306" i="17" s="1"/>
  <c r="A307" i="17"/>
  <c r="B307" i="16"/>
  <c r="C307" i="16"/>
  <c r="D307" i="16"/>
  <c r="E307" i="16"/>
  <c r="F307" i="16" s="1"/>
  <c r="G307" i="16"/>
  <c r="H307" i="16"/>
  <c r="I307" i="16"/>
  <c r="J307" i="16"/>
  <c r="K307" i="16" a="1"/>
  <c r="K307" i="16" s="1"/>
  <c r="A308" i="16"/>
  <c r="D307" i="1"/>
  <c r="B307" i="1"/>
  <c r="C307" i="1"/>
  <c r="E307" i="1"/>
  <c r="A308" i="1"/>
  <c r="B307" i="17" l="1"/>
  <c r="C307" i="17"/>
  <c r="D307" i="17"/>
  <c r="E307" i="17"/>
  <c r="F307" i="17" s="1"/>
  <c r="G307" i="17"/>
  <c r="H307" i="17"/>
  <c r="I307" i="17"/>
  <c r="J307" i="17"/>
  <c r="K307" i="17" a="1"/>
  <c r="K307" i="17" s="1"/>
  <c r="A308" i="17"/>
  <c r="B308" i="16"/>
  <c r="C308" i="16"/>
  <c r="D308" i="16"/>
  <c r="E308" i="16"/>
  <c r="F308" i="16" s="1"/>
  <c r="G308" i="16"/>
  <c r="H308" i="16"/>
  <c r="I308" i="16"/>
  <c r="J308" i="16"/>
  <c r="K308" i="16" a="1"/>
  <c r="K308" i="16" s="1"/>
  <c r="A309" i="16"/>
  <c r="D308" i="1"/>
  <c r="B308" i="1"/>
  <c r="C308" i="1"/>
  <c r="E308" i="1"/>
  <c r="A309" i="1"/>
  <c r="B308" i="17" l="1"/>
  <c r="C308" i="17"/>
  <c r="D308" i="17"/>
  <c r="E308" i="17"/>
  <c r="F308" i="17" s="1"/>
  <c r="G308" i="17"/>
  <c r="H308" i="17"/>
  <c r="I308" i="17"/>
  <c r="J308" i="17"/>
  <c r="K308" i="17" a="1"/>
  <c r="K308" i="17" s="1"/>
  <c r="A309" i="17"/>
  <c r="B309" i="16"/>
  <c r="C309" i="16"/>
  <c r="D309" i="16"/>
  <c r="E309" i="16"/>
  <c r="F309" i="16" s="1"/>
  <c r="G309" i="16"/>
  <c r="H309" i="16"/>
  <c r="I309" i="16"/>
  <c r="J309" i="16"/>
  <c r="K309" i="16" a="1"/>
  <c r="K309" i="16" s="1"/>
  <c r="A310" i="16"/>
  <c r="D309" i="1"/>
  <c r="B309" i="1"/>
  <c r="C309" i="1"/>
  <c r="E309" i="1"/>
  <c r="A310" i="1"/>
  <c r="B309" i="17" l="1"/>
  <c r="C309" i="17"/>
  <c r="D309" i="17"/>
  <c r="E309" i="17"/>
  <c r="F309" i="17" s="1"/>
  <c r="G309" i="17"/>
  <c r="H309" i="17"/>
  <c r="I309" i="17"/>
  <c r="J309" i="17"/>
  <c r="K309" i="17" a="1"/>
  <c r="K309" i="17" s="1"/>
  <c r="A310" i="17"/>
  <c r="B310" i="16"/>
  <c r="C310" i="16"/>
  <c r="D310" i="16"/>
  <c r="E310" i="16"/>
  <c r="F310" i="16" s="1"/>
  <c r="G310" i="16"/>
  <c r="H310" i="16"/>
  <c r="I310" i="16"/>
  <c r="J310" i="16"/>
  <c r="K310" i="16" a="1"/>
  <c r="K310" i="16" s="1"/>
  <c r="A311" i="16"/>
  <c r="B310" i="1"/>
  <c r="D310" i="1"/>
  <c r="C310" i="1"/>
  <c r="E310" i="1"/>
  <c r="A311" i="1"/>
  <c r="B310" i="17" l="1"/>
  <c r="C310" i="17"/>
  <c r="D310" i="17"/>
  <c r="E310" i="17"/>
  <c r="F310" i="17" s="1"/>
  <c r="G310" i="17"/>
  <c r="H310" i="17"/>
  <c r="I310" i="17"/>
  <c r="J310" i="17"/>
  <c r="K310" i="17" a="1"/>
  <c r="K310" i="17" s="1"/>
  <c r="A311" i="17"/>
  <c r="B311" i="16"/>
  <c r="C311" i="16"/>
  <c r="D311" i="16"/>
  <c r="E311" i="16"/>
  <c r="F311" i="16" s="1"/>
  <c r="G311" i="16"/>
  <c r="H311" i="16"/>
  <c r="I311" i="16"/>
  <c r="J311" i="16"/>
  <c r="K311" i="16" a="1"/>
  <c r="K311" i="16" s="1"/>
  <c r="A312" i="16"/>
  <c r="C311" i="1"/>
  <c r="E311" i="1"/>
  <c r="B311" i="1"/>
  <c r="D311" i="1"/>
  <c r="A312" i="1"/>
  <c r="B311" i="17" l="1"/>
  <c r="C311" i="17"/>
  <c r="D311" i="17"/>
  <c r="E311" i="17"/>
  <c r="F311" i="17" s="1"/>
  <c r="G311" i="17"/>
  <c r="H311" i="17"/>
  <c r="I311" i="17"/>
  <c r="J311" i="17"/>
  <c r="K311" i="17" a="1"/>
  <c r="K311" i="17" s="1"/>
  <c r="A312" i="17"/>
  <c r="B312" i="16"/>
  <c r="C312" i="16"/>
  <c r="D312" i="16"/>
  <c r="E312" i="16"/>
  <c r="F312" i="16" s="1"/>
  <c r="G312" i="16"/>
  <c r="H312" i="16"/>
  <c r="I312" i="16"/>
  <c r="J312" i="16"/>
  <c r="K312" i="16" a="1"/>
  <c r="K312" i="16" s="1"/>
  <c r="A313" i="16"/>
  <c r="C312" i="1"/>
  <c r="D312" i="1"/>
  <c r="E312" i="1"/>
  <c r="B312" i="1"/>
  <c r="A313" i="1"/>
  <c r="B312" i="17" l="1"/>
  <c r="C312" i="17"/>
  <c r="D312" i="17"/>
  <c r="E312" i="17"/>
  <c r="F312" i="17" s="1"/>
  <c r="G312" i="17"/>
  <c r="H312" i="17"/>
  <c r="I312" i="17"/>
  <c r="J312" i="17"/>
  <c r="K312" i="17" a="1"/>
  <c r="K312" i="17" s="1"/>
  <c r="A313" i="17"/>
  <c r="B313" i="16"/>
  <c r="C313" i="16"/>
  <c r="D313" i="16"/>
  <c r="E313" i="16"/>
  <c r="F313" i="16" s="1"/>
  <c r="G313" i="16"/>
  <c r="H313" i="16"/>
  <c r="I313" i="16"/>
  <c r="J313" i="16"/>
  <c r="K313" i="16" a="1"/>
  <c r="K313" i="16" s="1"/>
  <c r="A314" i="16"/>
  <c r="B313" i="1"/>
  <c r="C313" i="1"/>
  <c r="D313" i="1"/>
  <c r="E313" i="1"/>
  <c r="A314" i="1"/>
  <c r="B313" i="17" l="1"/>
  <c r="C313" i="17"/>
  <c r="D313" i="17"/>
  <c r="E313" i="17"/>
  <c r="F313" i="17" s="1"/>
  <c r="G313" i="17"/>
  <c r="H313" i="17"/>
  <c r="I313" i="17"/>
  <c r="J313" i="17"/>
  <c r="K313" i="17" a="1"/>
  <c r="K313" i="17" s="1"/>
  <c r="A314" i="17"/>
  <c r="B314" i="16"/>
  <c r="C314" i="16"/>
  <c r="D314" i="16"/>
  <c r="E314" i="16"/>
  <c r="F314" i="16" s="1"/>
  <c r="G314" i="16"/>
  <c r="H314" i="16"/>
  <c r="I314" i="16"/>
  <c r="J314" i="16"/>
  <c r="K314" i="16" a="1"/>
  <c r="K314" i="16" s="1"/>
  <c r="A315" i="16"/>
  <c r="B314" i="1"/>
  <c r="C314" i="1"/>
  <c r="D314" i="1"/>
  <c r="E314" i="1"/>
  <c r="A315" i="1"/>
  <c r="B314" i="17" l="1"/>
  <c r="C314" i="17"/>
  <c r="D314" i="17"/>
  <c r="E314" i="17"/>
  <c r="F314" i="17" s="1"/>
  <c r="G314" i="17"/>
  <c r="H314" i="17"/>
  <c r="I314" i="17"/>
  <c r="J314" i="17"/>
  <c r="K314" i="17" a="1"/>
  <c r="K314" i="17" s="1"/>
  <c r="A315" i="17"/>
  <c r="B315" i="16"/>
  <c r="C315" i="16"/>
  <c r="D315" i="16"/>
  <c r="E315" i="16"/>
  <c r="F315" i="16" s="1"/>
  <c r="G315" i="16"/>
  <c r="H315" i="16"/>
  <c r="I315" i="16"/>
  <c r="J315" i="16"/>
  <c r="K315" i="16" a="1"/>
  <c r="K315" i="16" s="1"/>
  <c r="A316" i="16"/>
  <c r="B315" i="1"/>
  <c r="C315" i="1"/>
  <c r="D315" i="1"/>
  <c r="E315" i="1"/>
  <c r="A316" i="1"/>
  <c r="B315" i="17" l="1"/>
  <c r="C315" i="17"/>
  <c r="D315" i="17"/>
  <c r="E315" i="17"/>
  <c r="F315" i="17" s="1"/>
  <c r="G315" i="17"/>
  <c r="H315" i="17"/>
  <c r="I315" i="17"/>
  <c r="J315" i="17"/>
  <c r="K315" i="17" a="1"/>
  <c r="K315" i="17" s="1"/>
  <c r="A316" i="17"/>
  <c r="B316" i="16"/>
  <c r="C316" i="16"/>
  <c r="D316" i="16"/>
  <c r="E316" i="16"/>
  <c r="F316" i="16" s="1"/>
  <c r="G316" i="16"/>
  <c r="H316" i="16"/>
  <c r="I316" i="16"/>
  <c r="J316" i="16"/>
  <c r="K316" i="16" a="1"/>
  <c r="K316" i="16" s="1"/>
  <c r="A317" i="16"/>
  <c r="B316" i="1"/>
  <c r="C316" i="1"/>
  <c r="D316" i="1"/>
  <c r="E316" i="1"/>
  <c r="A317" i="1"/>
  <c r="B316" i="17" l="1"/>
  <c r="C316" i="17"/>
  <c r="D316" i="17"/>
  <c r="E316" i="17"/>
  <c r="F316" i="17" s="1"/>
  <c r="G316" i="17"/>
  <c r="H316" i="17"/>
  <c r="I316" i="17"/>
  <c r="J316" i="17"/>
  <c r="K316" i="17" a="1"/>
  <c r="K316" i="17" s="1"/>
  <c r="A317" i="17"/>
  <c r="B317" i="16"/>
  <c r="C317" i="16"/>
  <c r="D317" i="16"/>
  <c r="E317" i="16"/>
  <c r="F317" i="16" s="1"/>
  <c r="G317" i="16"/>
  <c r="H317" i="16"/>
  <c r="I317" i="16"/>
  <c r="J317" i="16"/>
  <c r="K317" i="16" a="1"/>
  <c r="K317" i="16" s="1"/>
  <c r="A318" i="16"/>
  <c r="B317" i="1"/>
  <c r="C317" i="1"/>
  <c r="D317" i="1"/>
  <c r="E317" i="1"/>
  <c r="A318" i="1"/>
  <c r="B317" i="17" l="1"/>
  <c r="C317" i="17"/>
  <c r="D317" i="17"/>
  <c r="E317" i="17"/>
  <c r="F317" i="17" s="1"/>
  <c r="G317" i="17"/>
  <c r="H317" i="17"/>
  <c r="I317" i="17"/>
  <c r="J317" i="17"/>
  <c r="K317" i="17" a="1"/>
  <c r="K317" i="17" s="1"/>
  <c r="A318" i="17"/>
  <c r="B318" i="16"/>
  <c r="C318" i="16"/>
  <c r="D318" i="16"/>
  <c r="E318" i="16"/>
  <c r="F318" i="16" s="1"/>
  <c r="G318" i="16"/>
  <c r="H318" i="16"/>
  <c r="I318" i="16"/>
  <c r="J318" i="16"/>
  <c r="K318" i="16" a="1"/>
  <c r="K318" i="16" s="1"/>
  <c r="A319" i="16"/>
  <c r="B318" i="1"/>
  <c r="C318" i="1"/>
  <c r="D318" i="1"/>
  <c r="E318" i="1"/>
  <c r="A319" i="1"/>
  <c r="B318" i="17" l="1"/>
  <c r="C318" i="17"/>
  <c r="D318" i="17"/>
  <c r="E318" i="17"/>
  <c r="F318" i="17" s="1"/>
  <c r="G318" i="17"/>
  <c r="H318" i="17"/>
  <c r="I318" i="17"/>
  <c r="J318" i="17"/>
  <c r="K318" i="17" a="1"/>
  <c r="K318" i="17" s="1"/>
  <c r="A319" i="17"/>
  <c r="B319" i="16"/>
  <c r="C319" i="16"/>
  <c r="D319" i="16"/>
  <c r="E319" i="16"/>
  <c r="F319" i="16" s="1"/>
  <c r="G319" i="16"/>
  <c r="H319" i="16"/>
  <c r="I319" i="16"/>
  <c r="J319" i="16"/>
  <c r="K319" i="16" a="1"/>
  <c r="K319" i="16" s="1"/>
  <c r="A320" i="16"/>
  <c r="B319" i="1"/>
  <c r="C319" i="1"/>
  <c r="D319" i="1"/>
  <c r="E319" i="1"/>
  <c r="A320" i="1"/>
  <c r="B319" i="17" l="1"/>
  <c r="C319" i="17"/>
  <c r="D319" i="17"/>
  <c r="E319" i="17"/>
  <c r="F319" i="17" s="1"/>
  <c r="G319" i="17"/>
  <c r="H319" i="17"/>
  <c r="I319" i="17"/>
  <c r="J319" i="17"/>
  <c r="K319" i="17" a="1"/>
  <c r="K319" i="17" s="1"/>
  <c r="A320" i="17"/>
  <c r="B320" i="16"/>
  <c r="C320" i="16"/>
  <c r="D320" i="16"/>
  <c r="E320" i="16"/>
  <c r="F320" i="16" s="1"/>
  <c r="G320" i="16"/>
  <c r="H320" i="16"/>
  <c r="I320" i="16"/>
  <c r="J320" i="16"/>
  <c r="K320" i="16" a="1"/>
  <c r="K320" i="16" s="1"/>
  <c r="A321" i="16"/>
  <c r="B320" i="1"/>
  <c r="C320" i="1"/>
  <c r="D320" i="1"/>
  <c r="E320" i="1"/>
  <c r="A321" i="1"/>
  <c r="B320" i="17" l="1"/>
  <c r="C320" i="17"/>
  <c r="D320" i="17"/>
  <c r="E320" i="17"/>
  <c r="F320" i="17" s="1"/>
  <c r="G320" i="17"/>
  <c r="H320" i="17"/>
  <c r="I320" i="17"/>
  <c r="J320" i="17"/>
  <c r="K320" i="17" a="1"/>
  <c r="K320" i="17" s="1"/>
  <c r="A321" i="17"/>
  <c r="B321" i="16"/>
  <c r="C321" i="16"/>
  <c r="D321" i="16"/>
  <c r="E321" i="16"/>
  <c r="F321" i="16" s="1"/>
  <c r="G321" i="16"/>
  <c r="H321" i="16"/>
  <c r="I321" i="16"/>
  <c r="J321" i="16"/>
  <c r="K321" i="16" a="1"/>
  <c r="K321" i="16" s="1"/>
  <c r="A322" i="16"/>
  <c r="B321" i="1"/>
  <c r="C321" i="1"/>
  <c r="D321" i="1"/>
  <c r="E321" i="1"/>
  <c r="A322" i="1"/>
  <c r="B321" i="17" l="1"/>
  <c r="C321" i="17"/>
  <c r="D321" i="17"/>
  <c r="E321" i="17"/>
  <c r="F321" i="17" s="1"/>
  <c r="G321" i="17"/>
  <c r="H321" i="17"/>
  <c r="I321" i="17"/>
  <c r="J321" i="17"/>
  <c r="K321" i="17" a="1"/>
  <c r="K321" i="17" s="1"/>
  <c r="A322" i="17"/>
  <c r="B322" i="16"/>
  <c r="C322" i="16"/>
  <c r="D322" i="16"/>
  <c r="E322" i="16"/>
  <c r="F322" i="16" s="1"/>
  <c r="G322" i="16"/>
  <c r="H322" i="16"/>
  <c r="I322" i="16"/>
  <c r="J322" i="16"/>
  <c r="K322" i="16" a="1"/>
  <c r="K322" i="16" s="1"/>
  <c r="A323" i="16"/>
  <c r="B322" i="1"/>
  <c r="C322" i="1"/>
  <c r="D322" i="1"/>
  <c r="E322" i="1"/>
  <c r="A323" i="1"/>
  <c r="B322" i="17" l="1"/>
  <c r="C322" i="17"/>
  <c r="D322" i="17"/>
  <c r="E322" i="17"/>
  <c r="F322" i="17" s="1"/>
  <c r="G322" i="17"/>
  <c r="H322" i="17"/>
  <c r="I322" i="17"/>
  <c r="J322" i="17"/>
  <c r="K322" i="17" a="1"/>
  <c r="K322" i="17" s="1"/>
  <c r="A323" i="17"/>
  <c r="B323" i="16"/>
  <c r="C323" i="16"/>
  <c r="D323" i="16"/>
  <c r="E323" i="16"/>
  <c r="F323" i="16" s="1"/>
  <c r="G323" i="16"/>
  <c r="H323" i="16"/>
  <c r="I323" i="16"/>
  <c r="J323" i="16"/>
  <c r="K323" i="16" a="1"/>
  <c r="K323" i="16" s="1"/>
  <c r="A324" i="16"/>
  <c r="C323" i="1"/>
  <c r="D323" i="1"/>
  <c r="B323" i="1"/>
  <c r="E323" i="1"/>
  <c r="A324" i="1"/>
  <c r="B323" i="17" l="1"/>
  <c r="C323" i="17"/>
  <c r="D323" i="17"/>
  <c r="E323" i="17"/>
  <c r="F323" i="17" s="1"/>
  <c r="G323" i="17"/>
  <c r="H323" i="17"/>
  <c r="I323" i="17"/>
  <c r="J323" i="17"/>
  <c r="K323" i="17" a="1"/>
  <c r="K323" i="17" s="1"/>
  <c r="A324" i="17"/>
  <c r="B324" i="16"/>
  <c r="C324" i="16"/>
  <c r="D324" i="16"/>
  <c r="E324" i="16"/>
  <c r="F324" i="16" s="1"/>
  <c r="G324" i="16"/>
  <c r="H324" i="16"/>
  <c r="I324" i="16"/>
  <c r="J324" i="16"/>
  <c r="K324" i="16" a="1"/>
  <c r="K324" i="16" s="1"/>
  <c r="A325" i="16"/>
  <c r="B324" i="1"/>
  <c r="E324" i="1"/>
  <c r="C324" i="1"/>
  <c r="D324" i="1"/>
  <c r="A325" i="1"/>
  <c r="B324" i="17" l="1"/>
  <c r="C324" i="17"/>
  <c r="D324" i="17"/>
  <c r="E324" i="17"/>
  <c r="F324" i="17" s="1"/>
  <c r="G324" i="17"/>
  <c r="H324" i="17"/>
  <c r="I324" i="17"/>
  <c r="J324" i="17"/>
  <c r="K324" i="17" a="1"/>
  <c r="K324" i="17" s="1"/>
  <c r="A325" i="17"/>
  <c r="B325" i="16"/>
  <c r="C325" i="16"/>
  <c r="D325" i="16"/>
  <c r="E325" i="16"/>
  <c r="F325" i="16" s="1"/>
  <c r="G325" i="16"/>
  <c r="H325" i="16"/>
  <c r="I325" i="16"/>
  <c r="J325" i="16"/>
  <c r="K325" i="16" a="1"/>
  <c r="K325" i="16" s="1"/>
  <c r="A326" i="16"/>
  <c r="B325" i="1"/>
  <c r="D325" i="1"/>
  <c r="C325" i="1"/>
  <c r="E325" i="1"/>
  <c r="A326" i="1"/>
  <c r="B325" i="17" l="1"/>
  <c r="C325" i="17"/>
  <c r="D325" i="17"/>
  <c r="E325" i="17"/>
  <c r="F325" i="17" s="1"/>
  <c r="G325" i="17"/>
  <c r="H325" i="17"/>
  <c r="I325" i="17"/>
  <c r="J325" i="17"/>
  <c r="K325" i="17" a="1"/>
  <c r="K325" i="17" s="1"/>
  <c r="A326" i="17"/>
  <c r="B326" i="16"/>
  <c r="C326" i="16"/>
  <c r="D326" i="16"/>
  <c r="E326" i="16"/>
  <c r="F326" i="16" s="1"/>
  <c r="G326" i="16"/>
  <c r="H326" i="16"/>
  <c r="I326" i="16"/>
  <c r="J326" i="16"/>
  <c r="K326" i="16" a="1"/>
  <c r="K326" i="16" s="1"/>
  <c r="A327" i="16"/>
  <c r="B326" i="1"/>
  <c r="D326" i="1"/>
  <c r="C326" i="1"/>
  <c r="E326" i="1"/>
  <c r="A327" i="1"/>
  <c r="B326" i="17" l="1"/>
  <c r="C326" i="17"/>
  <c r="D326" i="17"/>
  <c r="E326" i="17"/>
  <c r="F326" i="17" s="1"/>
  <c r="G326" i="17"/>
  <c r="H326" i="17"/>
  <c r="I326" i="17"/>
  <c r="J326" i="17"/>
  <c r="K326" i="17" a="1"/>
  <c r="K326" i="17" s="1"/>
  <c r="A327" i="17"/>
  <c r="B327" i="16"/>
  <c r="C327" i="16"/>
  <c r="D327" i="16"/>
  <c r="E327" i="16"/>
  <c r="F327" i="16" s="1"/>
  <c r="G327" i="16"/>
  <c r="H327" i="16"/>
  <c r="I327" i="16"/>
  <c r="J327" i="16"/>
  <c r="K327" i="16" a="1"/>
  <c r="K327" i="16" s="1"/>
  <c r="A328" i="16"/>
  <c r="C327" i="1"/>
  <c r="B327" i="1"/>
  <c r="D327" i="1"/>
  <c r="E327" i="1"/>
  <c r="A328" i="1"/>
  <c r="B327" i="17" l="1"/>
  <c r="C327" i="17"/>
  <c r="D327" i="17"/>
  <c r="E327" i="17"/>
  <c r="F327" i="17" s="1"/>
  <c r="G327" i="17"/>
  <c r="H327" i="17"/>
  <c r="I327" i="17"/>
  <c r="J327" i="17"/>
  <c r="K327" i="17" a="1"/>
  <c r="K327" i="17" s="1"/>
  <c r="A328" i="17"/>
  <c r="B328" i="16"/>
  <c r="C328" i="16"/>
  <c r="D328" i="16"/>
  <c r="E328" i="16"/>
  <c r="F328" i="16" s="1"/>
  <c r="G328" i="16"/>
  <c r="H328" i="16"/>
  <c r="I328" i="16"/>
  <c r="J328" i="16"/>
  <c r="K328" i="16" a="1"/>
  <c r="K328" i="16" s="1"/>
  <c r="A329" i="16"/>
  <c r="D328" i="1"/>
  <c r="B328" i="1"/>
  <c r="C328" i="1"/>
  <c r="E328" i="1"/>
  <c r="A329" i="1"/>
  <c r="B328" i="17" l="1"/>
  <c r="C328" i="17"/>
  <c r="D328" i="17"/>
  <c r="E328" i="17"/>
  <c r="F328" i="17" s="1"/>
  <c r="G328" i="17"/>
  <c r="H328" i="17"/>
  <c r="I328" i="17"/>
  <c r="J328" i="17"/>
  <c r="K328" i="17" a="1"/>
  <c r="K328" i="17" s="1"/>
  <c r="A329" i="17"/>
  <c r="B329" i="16"/>
  <c r="C329" i="16"/>
  <c r="D329" i="16"/>
  <c r="E329" i="16"/>
  <c r="F329" i="16" s="1"/>
  <c r="G329" i="16"/>
  <c r="H329" i="16"/>
  <c r="I329" i="16"/>
  <c r="J329" i="16"/>
  <c r="K329" i="16" a="1"/>
  <c r="K329" i="16" s="1"/>
  <c r="A330" i="16"/>
  <c r="B329" i="1"/>
  <c r="D329" i="1"/>
  <c r="C329" i="1"/>
  <c r="E329" i="1"/>
  <c r="A330" i="1"/>
  <c r="B329" i="17" l="1"/>
  <c r="C329" i="17"/>
  <c r="D329" i="17"/>
  <c r="E329" i="17"/>
  <c r="F329" i="17" s="1"/>
  <c r="G329" i="17"/>
  <c r="H329" i="17"/>
  <c r="I329" i="17"/>
  <c r="J329" i="17"/>
  <c r="K329" i="17" a="1"/>
  <c r="K329" i="17" s="1"/>
  <c r="A330" i="17"/>
  <c r="B330" i="16"/>
  <c r="C330" i="16"/>
  <c r="D330" i="16"/>
  <c r="E330" i="16"/>
  <c r="F330" i="16" s="1"/>
  <c r="G330" i="16"/>
  <c r="H330" i="16"/>
  <c r="I330" i="16"/>
  <c r="J330" i="16"/>
  <c r="K330" i="16" a="1"/>
  <c r="K330" i="16" s="1"/>
  <c r="A331" i="16"/>
  <c r="B330" i="1"/>
  <c r="D330" i="1"/>
  <c r="C330" i="1"/>
  <c r="E330" i="1"/>
  <c r="A331" i="1"/>
  <c r="B330" i="17" l="1"/>
  <c r="C330" i="17"/>
  <c r="D330" i="17"/>
  <c r="E330" i="17"/>
  <c r="F330" i="17" s="1"/>
  <c r="G330" i="17"/>
  <c r="H330" i="17"/>
  <c r="I330" i="17"/>
  <c r="J330" i="17"/>
  <c r="K330" i="17" a="1"/>
  <c r="K330" i="17" s="1"/>
  <c r="A331" i="17"/>
  <c r="B331" i="16"/>
  <c r="C331" i="16"/>
  <c r="D331" i="16"/>
  <c r="E331" i="16"/>
  <c r="F331" i="16" s="1"/>
  <c r="G331" i="16"/>
  <c r="H331" i="16"/>
  <c r="I331" i="16"/>
  <c r="J331" i="16"/>
  <c r="K331" i="16" a="1"/>
  <c r="K331" i="16" s="1"/>
  <c r="A332" i="16"/>
  <c r="C331" i="1"/>
  <c r="E331" i="1"/>
  <c r="B331" i="1"/>
  <c r="D331" i="1"/>
  <c r="A332" i="1"/>
  <c r="B331" i="17" l="1"/>
  <c r="C331" i="17"/>
  <c r="D331" i="17"/>
  <c r="E331" i="17"/>
  <c r="F331" i="17" s="1"/>
  <c r="G331" i="17"/>
  <c r="H331" i="17"/>
  <c r="I331" i="17"/>
  <c r="J331" i="17"/>
  <c r="K331" i="17" a="1"/>
  <c r="K331" i="17" s="1"/>
  <c r="A332" i="17"/>
  <c r="B332" i="16"/>
  <c r="C332" i="16"/>
  <c r="D332" i="16"/>
  <c r="E332" i="16"/>
  <c r="F332" i="16" s="1"/>
  <c r="G332" i="16"/>
  <c r="H332" i="16"/>
  <c r="I332" i="16"/>
  <c r="J332" i="16"/>
  <c r="K332" i="16" a="1"/>
  <c r="K332" i="16" s="1"/>
  <c r="A333" i="16"/>
  <c r="B332" i="1"/>
  <c r="D332" i="1"/>
  <c r="C332" i="1"/>
  <c r="E332" i="1"/>
  <c r="A333" i="1"/>
  <c r="B332" i="17" l="1"/>
  <c r="C332" i="17"/>
  <c r="D332" i="17"/>
  <c r="E332" i="17"/>
  <c r="F332" i="17" s="1"/>
  <c r="G332" i="17"/>
  <c r="H332" i="17"/>
  <c r="I332" i="17"/>
  <c r="J332" i="17"/>
  <c r="K332" i="17" a="1"/>
  <c r="K332" i="17" s="1"/>
  <c r="A333" i="17"/>
  <c r="B333" i="16"/>
  <c r="C333" i="16"/>
  <c r="D333" i="16"/>
  <c r="E333" i="16"/>
  <c r="F333" i="16" s="1"/>
  <c r="G333" i="16"/>
  <c r="H333" i="16"/>
  <c r="I333" i="16"/>
  <c r="J333" i="16"/>
  <c r="K333" i="16" a="1"/>
  <c r="K333" i="16" s="1"/>
  <c r="A334" i="16"/>
  <c r="E333" i="1"/>
  <c r="B333" i="1"/>
  <c r="C333" i="1"/>
  <c r="D333" i="1"/>
  <c r="A334" i="1"/>
  <c r="B333" i="17" l="1"/>
  <c r="C333" i="17"/>
  <c r="D333" i="17"/>
  <c r="E333" i="17"/>
  <c r="F333" i="17" s="1"/>
  <c r="G333" i="17"/>
  <c r="H333" i="17"/>
  <c r="I333" i="17"/>
  <c r="J333" i="17"/>
  <c r="K333" i="17" a="1"/>
  <c r="K333" i="17" s="1"/>
  <c r="A334" i="17"/>
  <c r="B334" i="16"/>
  <c r="C334" i="16"/>
  <c r="D334" i="16"/>
  <c r="E334" i="16"/>
  <c r="F334" i="16" s="1"/>
  <c r="G334" i="16"/>
  <c r="H334" i="16"/>
  <c r="I334" i="16"/>
  <c r="J334" i="16"/>
  <c r="K334" i="16" a="1"/>
  <c r="K334" i="16" s="1"/>
  <c r="A335" i="16"/>
  <c r="B334" i="1"/>
  <c r="D334" i="1"/>
  <c r="C334" i="1"/>
  <c r="E334" i="1"/>
  <c r="A335" i="1"/>
  <c r="B334" i="17" l="1"/>
  <c r="C334" i="17"/>
  <c r="D334" i="17"/>
  <c r="E334" i="17"/>
  <c r="F334" i="17" s="1"/>
  <c r="G334" i="17"/>
  <c r="H334" i="17"/>
  <c r="I334" i="17"/>
  <c r="J334" i="17"/>
  <c r="K334" i="17" a="1"/>
  <c r="K334" i="17" s="1"/>
  <c r="A335" i="17"/>
  <c r="B335" i="16"/>
  <c r="C335" i="16"/>
  <c r="D335" i="16"/>
  <c r="E335" i="16"/>
  <c r="F335" i="16" s="1"/>
  <c r="G335" i="16"/>
  <c r="H335" i="16"/>
  <c r="I335" i="16"/>
  <c r="J335" i="16"/>
  <c r="K335" i="16" a="1"/>
  <c r="K335" i="16" s="1"/>
  <c r="A336" i="16"/>
  <c r="C335" i="1"/>
  <c r="E335" i="1"/>
  <c r="B335" i="1"/>
  <c r="D335" i="1"/>
  <c r="A336" i="1"/>
  <c r="B335" i="17" l="1"/>
  <c r="C335" i="17"/>
  <c r="D335" i="17"/>
  <c r="E335" i="17"/>
  <c r="F335" i="17" s="1"/>
  <c r="G335" i="17"/>
  <c r="H335" i="17"/>
  <c r="I335" i="17"/>
  <c r="J335" i="17"/>
  <c r="K335" i="17" a="1"/>
  <c r="K335" i="17" s="1"/>
  <c r="A336" i="17"/>
  <c r="B336" i="16"/>
  <c r="C336" i="16"/>
  <c r="D336" i="16"/>
  <c r="E336" i="16"/>
  <c r="F336" i="16" s="1"/>
  <c r="G336" i="16"/>
  <c r="H336" i="16"/>
  <c r="I336" i="16"/>
  <c r="J336" i="16"/>
  <c r="K336" i="16" a="1"/>
  <c r="K336" i="16" s="1"/>
  <c r="A337" i="16"/>
  <c r="B336" i="1"/>
  <c r="D336" i="1"/>
  <c r="C336" i="1"/>
  <c r="E336" i="1"/>
  <c r="A337" i="1"/>
  <c r="B336" i="17" l="1"/>
  <c r="C336" i="17"/>
  <c r="D336" i="17"/>
  <c r="E336" i="17"/>
  <c r="F336" i="17" s="1"/>
  <c r="G336" i="17"/>
  <c r="H336" i="17"/>
  <c r="I336" i="17"/>
  <c r="J336" i="17"/>
  <c r="K336" i="17" a="1"/>
  <c r="K336" i="17" s="1"/>
  <c r="A337" i="17"/>
  <c r="B337" i="16"/>
  <c r="C337" i="16"/>
  <c r="D337" i="16"/>
  <c r="E337" i="16"/>
  <c r="F337" i="16" s="1"/>
  <c r="G337" i="16"/>
  <c r="H337" i="16"/>
  <c r="I337" i="16"/>
  <c r="J337" i="16"/>
  <c r="K337" i="16" a="1"/>
  <c r="K337" i="16" s="1"/>
  <c r="A338" i="16"/>
  <c r="C337" i="1"/>
  <c r="E337" i="1"/>
  <c r="B337" i="1"/>
  <c r="D337" i="1"/>
  <c r="A338" i="1"/>
  <c r="B337" i="17" l="1"/>
  <c r="C337" i="17"/>
  <c r="D337" i="17"/>
  <c r="E337" i="17"/>
  <c r="F337" i="17" s="1"/>
  <c r="G337" i="17"/>
  <c r="H337" i="17"/>
  <c r="I337" i="17"/>
  <c r="J337" i="17"/>
  <c r="K337" i="17" a="1"/>
  <c r="K337" i="17" s="1"/>
  <c r="A338" i="17"/>
  <c r="B338" i="16"/>
  <c r="C338" i="16"/>
  <c r="D338" i="16"/>
  <c r="E338" i="16"/>
  <c r="F338" i="16" s="1"/>
  <c r="G338" i="16"/>
  <c r="H338" i="16"/>
  <c r="I338" i="16"/>
  <c r="J338" i="16"/>
  <c r="K338" i="16" a="1"/>
  <c r="K338" i="16" s="1"/>
  <c r="A339" i="16"/>
  <c r="D338" i="1"/>
  <c r="B338" i="1"/>
  <c r="C338" i="1"/>
  <c r="E338" i="1"/>
  <c r="A339" i="1"/>
  <c r="B338" i="17" l="1"/>
  <c r="C338" i="17"/>
  <c r="D338" i="17"/>
  <c r="E338" i="17"/>
  <c r="F338" i="17" s="1"/>
  <c r="G338" i="17"/>
  <c r="H338" i="17"/>
  <c r="I338" i="17"/>
  <c r="J338" i="17"/>
  <c r="K338" i="17" a="1"/>
  <c r="K338" i="17" s="1"/>
  <c r="A339" i="17"/>
  <c r="B339" i="16"/>
  <c r="C339" i="16"/>
  <c r="D339" i="16"/>
  <c r="E339" i="16"/>
  <c r="F339" i="16" s="1"/>
  <c r="G339" i="16"/>
  <c r="H339" i="16"/>
  <c r="I339" i="16"/>
  <c r="J339" i="16"/>
  <c r="K339" i="16" a="1"/>
  <c r="K339" i="16" s="1"/>
  <c r="A340" i="16"/>
  <c r="B339" i="1"/>
  <c r="D339" i="1"/>
  <c r="C339" i="1"/>
  <c r="E339" i="1"/>
  <c r="A340" i="1"/>
  <c r="B339" i="17" l="1"/>
  <c r="C339" i="17"/>
  <c r="D339" i="17"/>
  <c r="E339" i="17"/>
  <c r="F339" i="17" s="1"/>
  <c r="G339" i="17"/>
  <c r="H339" i="17"/>
  <c r="I339" i="17"/>
  <c r="J339" i="17"/>
  <c r="K339" i="17" a="1"/>
  <c r="K339" i="17" s="1"/>
  <c r="A340" i="17"/>
  <c r="B340" i="16"/>
  <c r="C340" i="16"/>
  <c r="D340" i="16"/>
  <c r="E340" i="16"/>
  <c r="F340" i="16" s="1"/>
  <c r="G340" i="16"/>
  <c r="H340" i="16"/>
  <c r="I340" i="16"/>
  <c r="J340" i="16"/>
  <c r="K340" i="16" a="1"/>
  <c r="K340" i="16" s="1"/>
  <c r="A341" i="16"/>
  <c r="B340" i="1"/>
  <c r="D340" i="1"/>
  <c r="C340" i="1"/>
  <c r="E340" i="1"/>
  <c r="A341" i="1"/>
  <c r="B340" i="17" l="1"/>
  <c r="C340" i="17"/>
  <c r="D340" i="17"/>
  <c r="E340" i="17"/>
  <c r="F340" i="17" s="1"/>
  <c r="G340" i="17"/>
  <c r="H340" i="17"/>
  <c r="I340" i="17"/>
  <c r="J340" i="17"/>
  <c r="K340" i="17" a="1"/>
  <c r="K340" i="17" s="1"/>
  <c r="A341" i="17"/>
  <c r="B341" i="16"/>
  <c r="C341" i="16"/>
  <c r="D341" i="16"/>
  <c r="E341" i="16"/>
  <c r="F341" i="16" s="1"/>
  <c r="G341" i="16"/>
  <c r="H341" i="16"/>
  <c r="I341" i="16"/>
  <c r="J341" i="16"/>
  <c r="K341" i="16" a="1"/>
  <c r="K341" i="16" s="1"/>
  <c r="A342" i="16"/>
  <c r="D341" i="1"/>
  <c r="B341" i="1"/>
  <c r="C341" i="1"/>
  <c r="E341" i="1"/>
  <c r="A342" i="1"/>
  <c r="B341" i="17" l="1"/>
  <c r="C341" i="17"/>
  <c r="D341" i="17"/>
  <c r="E341" i="17"/>
  <c r="F341" i="17" s="1"/>
  <c r="G341" i="17"/>
  <c r="H341" i="17"/>
  <c r="I341" i="17"/>
  <c r="J341" i="17"/>
  <c r="K341" i="17" a="1"/>
  <c r="K341" i="17" s="1"/>
  <c r="A342" i="17"/>
  <c r="B342" i="16"/>
  <c r="C342" i="16"/>
  <c r="D342" i="16"/>
  <c r="E342" i="16"/>
  <c r="F342" i="16" s="1"/>
  <c r="G342" i="16"/>
  <c r="H342" i="16"/>
  <c r="I342" i="16"/>
  <c r="J342" i="16"/>
  <c r="K342" i="16" a="1"/>
  <c r="K342" i="16" s="1"/>
  <c r="A343" i="16"/>
  <c r="B342" i="1"/>
  <c r="E342" i="1"/>
  <c r="C342" i="1"/>
  <c r="D342" i="1"/>
  <c r="A343" i="1"/>
  <c r="B342" i="17" l="1"/>
  <c r="C342" i="17"/>
  <c r="D342" i="17"/>
  <c r="E342" i="17"/>
  <c r="F342" i="17" s="1"/>
  <c r="G342" i="17"/>
  <c r="H342" i="17"/>
  <c r="I342" i="17"/>
  <c r="J342" i="17"/>
  <c r="K342" i="17" a="1"/>
  <c r="K342" i="17" s="1"/>
  <c r="A343" i="17"/>
  <c r="B343" i="16"/>
  <c r="C343" i="16"/>
  <c r="D343" i="16"/>
  <c r="E343" i="16"/>
  <c r="F343" i="16" s="1"/>
  <c r="G343" i="16"/>
  <c r="H343" i="16"/>
  <c r="I343" i="16"/>
  <c r="J343" i="16"/>
  <c r="K343" i="16" a="1"/>
  <c r="K343" i="16" s="1"/>
  <c r="A344" i="16"/>
  <c r="B343" i="1"/>
  <c r="D343" i="1"/>
  <c r="C343" i="1"/>
  <c r="E343" i="1"/>
  <c r="A344" i="1"/>
  <c r="B343" i="17" l="1"/>
  <c r="C343" i="17"/>
  <c r="D343" i="17"/>
  <c r="E343" i="17"/>
  <c r="F343" i="17" s="1"/>
  <c r="G343" i="17"/>
  <c r="H343" i="17"/>
  <c r="I343" i="17"/>
  <c r="J343" i="17"/>
  <c r="K343" i="17" a="1"/>
  <c r="K343" i="17" s="1"/>
  <c r="A344" i="17"/>
  <c r="B344" i="16"/>
  <c r="C344" i="16"/>
  <c r="D344" i="16"/>
  <c r="E344" i="16"/>
  <c r="F344" i="16" s="1"/>
  <c r="G344" i="16"/>
  <c r="H344" i="16"/>
  <c r="I344" i="16"/>
  <c r="J344" i="16"/>
  <c r="K344" i="16" a="1"/>
  <c r="K344" i="16" s="1"/>
  <c r="A345" i="16"/>
  <c r="B344" i="1"/>
  <c r="D344" i="1"/>
  <c r="C344" i="1"/>
  <c r="E344" i="1"/>
  <c r="A345" i="1"/>
  <c r="B344" i="17" l="1"/>
  <c r="C344" i="17"/>
  <c r="D344" i="17"/>
  <c r="E344" i="17"/>
  <c r="F344" i="17" s="1"/>
  <c r="G344" i="17"/>
  <c r="H344" i="17"/>
  <c r="I344" i="17"/>
  <c r="J344" i="17"/>
  <c r="K344" i="17" a="1"/>
  <c r="K344" i="17" s="1"/>
  <c r="A345" i="17"/>
  <c r="B345" i="16"/>
  <c r="C345" i="16"/>
  <c r="D345" i="16"/>
  <c r="E345" i="16"/>
  <c r="F345" i="16" s="1"/>
  <c r="G345" i="16"/>
  <c r="H345" i="16"/>
  <c r="I345" i="16"/>
  <c r="J345" i="16"/>
  <c r="K345" i="16" a="1"/>
  <c r="K345" i="16" s="1"/>
  <c r="A346" i="16"/>
  <c r="C345" i="1"/>
  <c r="E345" i="1"/>
  <c r="B345" i="1"/>
  <c r="D345" i="1"/>
  <c r="A346" i="1"/>
  <c r="B345" i="17" l="1"/>
  <c r="C345" i="17"/>
  <c r="D345" i="17"/>
  <c r="E345" i="17"/>
  <c r="F345" i="17" s="1"/>
  <c r="G345" i="17"/>
  <c r="H345" i="17"/>
  <c r="I345" i="17"/>
  <c r="J345" i="17"/>
  <c r="K345" i="17" a="1"/>
  <c r="K345" i="17" s="1"/>
  <c r="A346" i="17"/>
  <c r="B346" i="16"/>
  <c r="C346" i="16"/>
  <c r="D346" i="16"/>
  <c r="E346" i="16"/>
  <c r="F346" i="16" s="1"/>
  <c r="G346" i="16"/>
  <c r="H346" i="16"/>
  <c r="I346" i="16"/>
  <c r="J346" i="16"/>
  <c r="K346" i="16" a="1"/>
  <c r="K346" i="16" s="1"/>
  <c r="A347" i="16"/>
  <c r="B346" i="1"/>
  <c r="D346" i="1"/>
  <c r="C346" i="1"/>
  <c r="E346" i="1"/>
  <c r="A347" i="1"/>
  <c r="B346" i="17" l="1"/>
  <c r="C346" i="17"/>
  <c r="D346" i="17"/>
  <c r="E346" i="17"/>
  <c r="F346" i="17" s="1"/>
  <c r="G346" i="17"/>
  <c r="H346" i="17"/>
  <c r="I346" i="17"/>
  <c r="J346" i="17"/>
  <c r="K346" i="17" a="1"/>
  <c r="K346" i="17" s="1"/>
  <c r="A347" i="17"/>
  <c r="B347" i="16"/>
  <c r="C347" i="16"/>
  <c r="D347" i="16"/>
  <c r="E347" i="16"/>
  <c r="F347" i="16" s="1"/>
  <c r="G347" i="16"/>
  <c r="H347" i="16"/>
  <c r="I347" i="16"/>
  <c r="J347" i="16"/>
  <c r="K347" i="16" a="1"/>
  <c r="K347" i="16" s="1"/>
  <c r="A348" i="16"/>
  <c r="D347" i="1"/>
  <c r="B347" i="1"/>
  <c r="C347" i="1"/>
  <c r="E347" i="1"/>
  <c r="A348" i="1"/>
  <c r="B347" i="17" l="1"/>
  <c r="C347" i="17"/>
  <c r="D347" i="17"/>
  <c r="E347" i="17"/>
  <c r="F347" i="17" s="1"/>
  <c r="G347" i="17"/>
  <c r="H347" i="17"/>
  <c r="I347" i="17"/>
  <c r="J347" i="17"/>
  <c r="K347" i="17" a="1"/>
  <c r="K347" i="17" s="1"/>
  <c r="A348" i="17"/>
  <c r="B348" i="16"/>
  <c r="C348" i="16"/>
  <c r="D348" i="16"/>
  <c r="E348" i="16"/>
  <c r="F348" i="16" s="1"/>
  <c r="G348" i="16"/>
  <c r="H348" i="16"/>
  <c r="I348" i="16"/>
  <c r="J348" i="16"/>
  <c r="K348" i="16" a="1"/>
  <c r="K348" i="16" s="1"/>
  <c r="A349" i="16"/>
  <c r="B348" i="1"/>
  <c r="D348" i="1"/>
  <c r="C348" i="1"/>
  <c r="E348" i="1"/>
  <c r="A349" i="1"/>
  <c r="B348" i="17" l="1"/>
  <c r="C348" i="17"/>
  <c r="D348" i="17"/>
  <c r="E348" i="17"/>
  <c r="F348" i="17" s="1"/>
  <c r="G348" i="17"/>
  <c r="H348" i="17"/>
  <c r="I348" i="17"/>
  <c r="J348" i="17"/>
  <c r="K348" i="17" a="1"/>
  <c r="K348" i="17" s="1"/>
  <c r="A349" i="17"/>
  <c r="B349" i="16"/>
  <c r="C349" i="16"/>
  <c r="D349" i="16"/>
  <c r="E349" i="16"/>
  <c r="F349" i="16" s="1"/>
  <c r="G349" i="16"/>
  <c r="H349" i="16"/>
  <c r="I349" i="16"/>
  <c r="J349" i="16"/>
  <c r="K349" i="16" a="1"/>
  <c r="K349" i="16" s="1"/>
  <c r="A350" i="16"/>
  <c r="D349" i="1"/>
  <c r="B349" i="1"/>
  <c r="C349" i="1"/>
  <c r="E349" i="1"/>
  <c r="A350" i="1"/>
  <c r="B349" i="17" l="1"/>
  <c r="C349" i="17"/>
  <c r="D349" i="17"/>
  <c r="E349" i="17"/>
  <c r="F349" i="17" s="1"/>
  <c r="G349" i="17"/>
  <c r="H349" i="17"/>
  <c r="I349" i="17"/>
  <c r="J349" i="17"/>
  <c r="K349" i="17" a="1"/>
  <c r="K349" i="17" s="1"/>
  <c r="A350" i="17"/>
  <c r="B350" i="16"/>
  <c r="C350" i="16"/>
  <c r="D350" i="16"/>
  <c r="E350" i="16"/>
  <c r="F350" i="16" s="1"/>
  <c r="G350" i="16"/>
  <c r="H350" i="16"/>
  <c r="I350" i="16"/>
  <c r="J350" i="16"/>
  <c r="K350" i="16" a="1"/>
  <c r="K350" i="16" s="1"/>
  <c r="A351" i="16"/>
  <c r="B350" i="1"/>
  <c r="D350" i="1"/>
  <c r="C350" i="1"/>
  <c r="E350" i="1"/>
  <c r="A351" i="1"/>
  <c r="B350" i="17" l="1"/>
  <c r="C350" i="17"/>
  <c r="D350" i="17"/>
  <c r="E350" i="17"/>
  <c r="F350" i="17" s="1"/>
  <c r="G350" i="17"/>
  <c r="H350" i="17"/>
  <c r="I350" i="17"/>
  <c r="J350" i="17"/>
  <c r="K350" i="17" a="1"/>
  <c r="K350" i="17" s="1"/>
  <c r="A351" i="17"/>
  <c r="B351" i="16"/>
  <c r="C351" i="16"/>
  <c r="D351" i="16"/>
  <c r="E351" i="16"/>
  <c r="F351" i="16" s="1"/>
  <c r="G351" i="16"/>
  <c r="H351" i="16"/>
  <c r="I351" i="16"/>
  <c r="J351" i="16"/>
  <c r="K351" i="16" a="1"/>
  <c r="K351" i="16" s="1"/>
  <c r="A352" i="16"/>
  <c r="B351" i="1"/>
  <c r="D351" i="1"/>
  <c r="C351" i="1"/>
  <c r="E351" i="1"/>
  <c r="A352" i="1"/>
  <c r="B351" i="17" l="1"/>
  <c r="C351" i="17"/>
  <c r="D351" i="17"/>
  <c r="E351" i="17"/>
  <c r="F351" i="17" s="1"/>
  <c r="G351" i="17"/>
  <c r="H351" i="17"/>
  <c r="I351" i="17"/>
  <c r="J351" i="17"/>
  <c r="K351" i="17" a="1"/>
  <c r="K351" i="17" s="1"/>
  <c r="A352" i="17"/>
  <c r="B352" i="16"/>
  <c r="C352" i="16"/>
  <c r="D352" i="16"/>
  <c r="E352" i="16"/>
  <c r="F352" i="16" s="1"/>
  <c r="G352" i="16"/>
  <c r="H352" i="16"/>
  <c r="I352" i="16"/>
  <c r="J352" i="16"/>
  <c r="K352" i="16" a="1"/>
  <c r="K352" i="16" s="1"/>
  <c r="A353" i="16"/>
  <c r="D352" i="1"/>
  <c r="B352" i="1"/>
  <c r="C352" i="1"/>
  <c r="E352" i="1"/>
  <c r="A353" i="1"/>
  <c r="B352" i="17" l="1"/>
  <c r="C352" i="17"/>
  <c r="D352" i="17"/>
  <c r="E352" i="17"/>
  <c r="F352" i="17" s="1"/>
  <c r="G352" i="17"/>
  <c r="H352" i="17"/>
  <c r="I352" i="17"/>
  <c r="J352" i="17"/>
  <c r="K352" i="17" a="1"/>
  <c r="K352" i="17" s="1"/>
  <c r="A353" i="17"/>
  <c r="B353" i="16"/>
  <c r="C353" i="16"/>
  <c r="D353" i="16"/>
  <c r="E353" i="16"/>
  <c r="F353" i="16" s="1"/>
  <c r="G353" i="16"/>
  <c r="H353" i="16"/>
  <c r="I353" i="16"/>
  <c r="J353" i="16"/>
  <c r="K353" i="16" a="1"/>
  <c r="K353" i="16" s="1"/>
  <c r="A354" i="16"/>
  <c r="B353" i="1"/>
  <c r="D353" i="1"/>
  <c r="C353" i="1"/>
  <c r="E353" i="1"/>
  <c r="A354" i="1"/>
  <c r="B353" i="17" l="1"/>
  <c r="C353" i="17"/>
  <c r="D353" i="17"/>
  <c r="E353" i="17"/>
  <c r="F353" i="17" s="1"/>
  <c r="G353" i="17"/>
  <c r="H353" i="17"/>
  <c r="I353" i="17"/>
  <c r="J353" i="17"/>
  <c r="K353" i="17" a="1"/>
  <c r="K353" i="17" s="1"/>
  <c r="A354" i="17"/>
  <c r="B354" i="16"/>
  <c r="C354" i="16"/>
  <c r="D354" i="16"/>
  <c r="E354" i="16"/>
  <c r="F354" i="16" s="1"/>
  <c r="G354" i="16"/>
  <c r="H354" i="16"/>
  <c r="I354" i="16"/>
  <c r="J354" i="16"/>
  <c r="K354" i="16" a="1"/>
  <c r="K354" i="16" s="1"/>
  <c r="A355" i="16"/>
  <c r="C354" i="1"/>
  <c r="B354" i="1"/>
  <c r="D354" i="1"/>
  <c r="E354" i="1"/>
  <c r="A355" i="1"/>
  <c r="B354" i="17" l="1"/>
  <c r="C354" i="17"/>
  <c r="D354" i="17"/>
  <c r="E354" i="17"/>
  <c r="F354" i="17" s="1"/>
  <c r="G354" i="17"/>
  <c r="H354" i="17"/>
  <c r="I354" i="17"/>
  <c r="J354" i="17"/>
  <c r="K354" i="17" a="1"/>
  <c r="K354" i="17" s="1"/>
  <c r="A355" i="17"/>
  <c r="B355" i="16"/>
  <c r="C355" i="16"/>
  <c r="D355" i="16"/>
  <c r="E355" i="16"/>
  <c r="F355" i="16" s="1"/>
  <c r="G355" i="16"/>
  <c r="H355" i="16"/>
  <c r="I355" i="16"/>
  <c r="J355" i="16"/>
  <c r="K355" i="16" a="1"/>
  <c r="K355" i="16" s="1"/>
  <c r="A356" i="16"/>
  <c r="C355" i="1"/>
  <c r="E355" i="1"/>
  <c r="B355" i="1"/>
  <c r="D355" i="1"/>
  <c r="A356" i="1"/>
  <c r="B355" i="17" l="1"/>
  <c r="C355" i="17"/>
  <c r="D355" i="17"/>
  <c r="E355" i="17"/>
  <c r="F355" i="17" s="1"/>
  <c r="G355" i="17"/>
  <c r="H355" i="17"/>
  <c r="I355" i="17"/>
  <c r="J355" i="17"/>
  <c r="K355" i="17" a="1"/>
  <c r="K355" i="17" s="1"/>
  <c r="A356" i="17"/>
  <c r="B356" i="16"/>
  <c r="C356" i="16"/>
  <c r="D356" i="16"/>
  <c r="E356" i="16"/>
  <c r="F356" i="16" s="1"/>
  <c r="G356" i="16"/>
  <c r="H356" i="16"/>
  <c r="I356" i="16"/>
  <c r="J356" i="16"/>
  <c r="K356" i="16" a="1"/>
  <c r="K356" i="16" s="1"/>
  <c r="A357" i="16"/>
  <c r="B356" i="1"/>
  <c r="D356" i="1"/>
  <c r="C356" i="1"/>
  <c r="E356" i="1"/>
  <c r="A357" i="1"/>
  <c r="B356" i="17" l="1"/>
  <c r="C356" i="17"/>
  <c r="D356" i="17"/>
  <c r="E356" i="17"/>
  <c r="F356" i="17" s="1"/>
  <c r="G356" i="17"/>
  <c r="H356" i="17"/>
  <c r="I356" i="17"/>
  <c r="J356" i="17"/>
  <c r="K356" i="17" a="1"/>
  <c r="K356" i="17" s="1"/>
  <c r="A357" i="17"/>
  <c r="B357" i="16"/>
  <c r="C357" i="16"/>
  <c r="D357" i="16"/>
  <c r="E357" i="16"/>
  <c r="F357" i="16" s="1"/>
  <c r="G357" i="16"/>
  <c r="H357" i="16"/>
  <c r="I357" i="16"/>
  <c r="J357" i="16"/>
  <c r="K357" i="16" a="1"/>
  <c r="K357" i="16" s="1"/>
  <c r="A358" i="16"/>
  <c r="D357" i="1"/>
  <c r="B357" i="1"/>
  <c r="C357" i="1"/>
  <c r="E357" i="1"/>
  <c r="A358" i="1"/>
  <c r="B357" i="17" l="1"/>
  <c r="C357" i="17"/>
  <c r="D357" i="17"/>
  <c r="E357" i="17"/>
  <c r="F357" i="17" s="1"/>
  <c r="G357" i="17"/>
  <c r="H357" i="17"/>
  <c r="I357" i="17"/>
  <c r="J357" i="17"/>
  <c r="K357" i="17" a="1"/>
  <c r="K357" i="17" s="1"/>
  <c r="A358" i="17"/>
  <c r="B358" i="16"/>
  <c r="C358" i="16"/>
  <c r="D358" i="16"/>
  <c r="E358" i="16"/>
  <c r="F358" i="16" s="1"/>
  <c r="G358" i="16"/>
  <c r="H358" i="16"/>
  <c r="I358" i="16"/>
  <c r="J358" i="16"/>
  <c r="K358" i="16" a="1"/>
  <c r="K358" i="16" s="1"/>
  <c r="A359" i="16"/>
  <c r="B358" i="1"/>
  <c r="D358" i="1"/>
  <c r="C358" i="1"/>
  <c r="E358" i="1"/>
  <c r="A359" i="1"/>
  <c r="B358" i="17" l="1"/>
  <c r="C358" i="17"/>
  <c r="D358" i="17"/>
  <c r="E358" i="17"/>
  <c r="F358" i="17" s="1"/>
  <c r="G358" i="17"/>
  <c r="H358" i="17"/>
  <c r="I358" i="17"/>
  <c r="J358" i="17"/>
  <c r="K358" i="17" a="1"/>
  <c r="K358" i="17" s="1"/>
  <c r="A359" i="17"/>
  <c r="B359" i="16"/>
  <c r="C359" i="16"/>
  <c r="D359" i="16"/>
  <c r="E359" i="16"/>
  <c r="F359" i="16" s="1"/>
  <c r="G359" i="16"/>
  <c r="H359" i="16"/>
  <c r="I359" i="16"/>
  <c r="J359" i="16"/>
  <c r="K359" i="16" a="1"/>
  <c r="K359" i="16" s="1"/>
  <c r="A360" i="16"/>
  <c r="D359" i="1"/>
  <c r="B359" i="1"/>
  <c r="C359" i="1"/>
  <c r="E359" i="1"/>
  <c r="A360" i="1"/>
  <c r="B359" i="17" l="1"/>
  <c r="C359" i="17"/>
  <c r="D359" i="17"/>
  <c r="E359" i="17"/>
  <c r="F359" i="17" s="1"/>
  <c r="G359" i="17"/>
  <c r="H359" i="17"/>
  <c r="I359" i="17"/>
  <c r="J359" i="17"/>
  <c r="K359" i="17" a="1"/>
  <c r="K359" i="17" s="1"/>
  <c r="A360" i="17"/>
  <c r="B360" i="16"/>
  <c r="C360" i="16"/>
  <c r="D360" i="16"/>
  <c r="E360" i="16"/>
  <c r="F360" i="16" s="1"/>
  <c r="G360" i="16"/>
  <c r="H360" i="16"/>
  <c r="I360" i="16"/>
  <c r="J360" i="16"/>
  <c r="K360" i="16" a="1"/>
  <c r="K360" i="16" s="1"/>
  <c r="A361" i="16"/>
  <c r="B360" i="1"/>
  <c r="D360" i="1"/>
  <c r="C360" i="1"/>
  <c r="E360" i="1"/>
  <c r="A361" i="1"/>
  <c r="B360" i="17" l="1"/>
  <c r="C360" i="17"/>
  <c r="D360" i="17"/>
  <c r="E360" i="17"/>
  <c r="F360" i="17" s="1"/>
  <c r="G360" i="17"/>
  <c r="H360" i="17"/>
  <c r="I360" i="17"/>
  <c r="J360" i="17"/>
  <c r="K360" i="17" a="1"/>
  <c r="K360" i="17" s="1"/>
  <c r="A361" i="17"/>
  <c r="B361" i="16"/>
  <c r="C361" i="16"/>
  <c r="D361" i="16"/>
  <c r="E361" i="16"/>
  <c r="F361" i="16" s="1"/>
  <c r="G361" i="16"/>
  <c r="H361" i="16"/>
  <c r="I361" i="16"/>
  <c r="J361" i="16"/>
  <c r="K361" i="16" a="1"/>
  <c r="K361" i="16" s="1"/>
  <c r="A362" i="16"/>
  <c r="C361" i="1"/>
  <c r="E361" i="1"/>
  <c r="B361" i="1"/>
  <c r="D361" i="1"/>
  <c r="A362" i="1"/>
  <c r="B361" i="17" l="1"/>
  <c r="C361" i="17"/>
  <c r="D361" i="17"/>
  <c r="E361" i="17"/>
  <c r="F361" i="17" s="1"/>
  <c r="G361" i="17"/>
  <c r="H361" i="17"/>
  <c r="I361" i="17"/>
  <c r="J361" i="17"/>
  <c r="K361" i="17" a="1"/>
  <c r="K361" i="17" s="1"/>
  <c r="A362" i="17"/>
  <c r="B362" i="16"/>
  <c r="C362" i="16"/>
  <c r="D362" i="16"/>
  <c r="E362" i="16"/>
  <c r="F362" i="16" s="1"/>
  <c r="G362" i="16"/>
  <c r="H362" i="16"/>
  <c r="I362" i="16"/>
  <c r="J362" i="16"/>
  <c r="K362" i="16" a="1"/>
  <c r="K362" i="16" s="1"/>
  <c r="A363" i="16"/>
  <c r="B362" i="1"/>
  <c r="D362" i="1"/>
  <c r="C362" i="1"/>
  <c r="E362" i="1"/>
  <c r="A363" i="1"/>
  <c r="B362" i="17" l="1"/>
  <c r="C362" i="17"/>
  <c r="D362" i="17"/>
  <c r="E362" i="17"/>
  <c r="F362" i="17" s="1"/>
  <c r="G362" i="17"/>
  <c r="H362" i="17"/>
  <c r="I362" i="17"/>
  <c r="J362" i="17"/>
  <c r="K362" i="17" a="1"/>
  <c r="K362" i="17" s="1"/>
  <c r="A363" i="17"/>
  <c r="B363" i="16"/>
  <c r="C363" i="16"/>
  <c r="D363" i="16"/>
  <c r="E363" i="16"/>
  <c r="F363" i="16" s="1"/>
  <c r="G363" i="16"/>
  <c r="H363" i="16"/>
  <c r="I363" i="16"/>
  <c r="J363" i="16"/>
  <c r="K363" i="16" a="1"/>
  <c r="K363" i="16" s="1"/>
  <c r="A364" i="16"/>
  <c r="C363" i="1"/>
  <c r="B363" i="1"/>
  <c r="D363" i="1"/>
  <c r="E363" i="1"/>
  <c r="A364" i="1"/>
  <c r="B363" i="17" l="1"/>
  <c r="C363" i="17"/>
  <c r="D363" i="17"/>
  <c r="E363" i="17"/>
  <c r="F363" i="17" s="1"/>
  <c r="G363" i="17"/>
  <c r="H363" i="17"/>
  <c r="I363" i="17"/>
  <c r="J363" i="17"/>
  <c r="K363" i="17" a="1"/>
  <c r="K363" i="17" s="1"/>
  <c r="A364" i="17"/>
  <c r="B364" i="16"/>
  <c r="C364" i="16"/>
  <c r="D364" i="16"/>
  <c r="E364" i="16"/>
  <c r="F364" i="16" s="1"/>
  <c r="G364" i="16"/>
  <c r="H364" i="16"/>
  <c r="I364" i="16"/>
  <c r="J364" i="16"/>
  <c r="K364" i="16" a="1"/>
  <c r="K364" i="16" s="1"/>
  <c r="A365" i="16"/>
  <c r="C364" i="1"/>
  <c r="B364" i="1"/>
  <c r="D364" i="1"/>
  <c r="E364" i="1"/>
  <c r="A365" i="1"/>
  <c r="B364" i="17" l="1"/>
  <c r="C364" i="17"/>
  <c r="D364" i="17"/>
  <c r="E364" i="17"/>
  <c r="F364" i="17" s="1"/>
  <c r="G364" i="17"/>
  <c r="H364" i="17"/>
  <c r="I364" i="17"/>
  <c r="J364" i="17"/>
  <c r="K364" i="17" a="1"/>
  <c r="K364" i="17" s="1"/>
  <c r="A365" i="17"/>
  <c r="B365" i="16"/>
  <c r="C365" i="16"/>
  <c r="D365" i="16"/>
  <c r="E365" i="16"/>
  <c r="F365" i="16" s="1"/>
  <c r="G365" i="16"/>
  <c r="H365" i="16"/>
  <c r="I365" i="16"/>
  <c r="J365" i="16"/>
  <c r="K365" i="16" a="1"/>
  <c r="K365" i="16" s="1"/>
  <c r="A366" i="16"/>
  <c r="C365" i="1"/>
  <c r="E365" i="1"/>
  <c r="B365" i="1"/>
  <c r="D365" i="1"/>
  <c r="A366" i="1"/>
  <c r="B365" i="17" l="1"/>
  <c r="C365" i="17"/>
  <c r="D365" i="17"/>
  <c r="E365" i="17"/>
  <c r="F365" i="17" s="1"/>
  <c r="G365" i="17"/>
  <c r="H365" i="17"/>
  <c r="I365" i="17"/>
  <c r="J365" i="17"/>
  <c r="K365" i="17" a="1"/>
  <c r="K365" i="17" s="1"/>
  <c r="A366" i="17"/>
  <c r="B366" i="16"/>
  <c r="C366" i="16"/>
  <c r="D366" i="16"/>
  <c r="E366" i="16"/>
  <c r="F366" i="16" s="1"/>
  <c r="G366" i="16"/>
  <c r="H366" i="16"/>
  <c r="I366" i="16"/>
  <c r="J366" i="16"/>
  <c r="K366" i="16" a="1"/>
  <c r="K366" i="16" s="1"/>
  <c r="B366" i="1"/>
  <c r="D366" i="1"/>
  <c r="C366" i="1"/>
  <c r="E366" i="1"/>
  <c r="B366" i="17" l="1"/>
  <c r="C366" i="17"/>
  <c r="D366" i="17"/>
  <c r="E366" i="17"/>
  <c r="F366" i="17" s="1"/>
  <c r="G366" i="17"/>
  <c r="H366" i="17"/>
  <c r="I366" i="17"/>
  <c r="J366" i="17"/>
  <c r="K366" i="17" a="1"/>
  <c r="K366" i="1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2FC754-848A-4567-B166-7BABDCD84D10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<sst xmlns="http://schemas.openxmlformats.org/spreadsheetml/2006/main" count="270" uniqueCount="85">
  <si>
    <t>--W/S Public_Holidays--</t>
  </si>
  <si>
    <t>--List of all Public Holidays dates &amp; names for the period 2018-2020--</t>
  </si>
  <si>
    <t>--Formatted as a Table - PublicHols--</t>
  </si>
  <si>
    <t>--Locked for Demo-- --can add details in unlock cells provided below--</t>
  </si>
  <si>
    <t>-W/S Events_All--</t>
  </si>
  <si>
    <t>--List of all Events not Public Holidays, does include Back to School, dates &amp; names for the period 2018-2020--</t>
  </si>
  <si>
    <t>--Formatted as a Table - EventsAll--</t>
  </si>
  <si>
    <t>W/S School_Holidays--</t>
  </si>
  <si>
    <t>--List of all School Holidays Start &amp; End for the period 2018-2020--</t>
  </si>
  <si>
    <t>--Formatted as a Table - SchoolHols--</t>
  </si>
  <si>
    <t>--W/S Year--</t>
  </si>
  <si>
    <t>--To extract details from Date--</t>
  </si>
  <si>
    <t>=TEXT($A2, "dd")</t>
  </si>
  <si>
    <t>=TEXT($A2, "mm")</t>
  </si>
  <si>
    <t>=TEXT($A2, "yyyy")</t>
  </si>
  <si>
    <t>=TEXT($A2, "dddd")</t>
  </si>
  <si>
    <t>--To check if Date is a Sunday--</t>
  </si>
  <si>
    <t>=IF($E2="Sunday", "Y", "N")</t>
  </si>
  <si>
    <t>--To check if Date is a Public Holiday &amp; details of Public Holiday--</t>
  </si>
  <si>
    <t>=IF(COUNTIF(PublicHols[Date], A2)&gt;0, "Y", "N")</t>
  </si>
  <si>
    <t>=IFERROR(XLOOKUP(A2, PublicHols[Date], PublicHols[PH_Name]),"")</t>
  </si>
  <si>
    <t>--To check if Date is an Event &amp; details of the Event--</t>
  </si>
  <si>
    <t>=IF(COUNTIF(EventsAll[Date], A2)&gt;0, "Y", "N")</t>
  </si>
  <si>
    <t>=IFERROR(XLOOKUP(A2, EventsAll[Date], EventsAll[Event]),"")</t>
  </si>
  <si>
    <t>--To check if Date is a School Holiday--</t>
  </si>
  <si>
    <t>=IF(SUMPRODUCT((A2&gt;=SchoolHols[Start])*(A2&lt;=SchoolHols[End]))&gt;0,"Y","N")</t>
  </si>
  <si>
    <t>--Conditional Formatting--</t>
  </si>
  <si>
    <t>--School Holiday--</t>
  </si>
  <si>
    <t>=$K3="Y" --Format - Fill Light Green-- --Select Stop if True--</t>
  </si>
  <si>
    <t>--Sunday--</t>
  </si>
  <si>
    <t>=$F3="Y" --Format - Fill Light Blue--</t>
  </si>
  <si>
    <t>--Public Holiday--</t>
  </si>
  <si>
    <t>=$G3="Y" --Format - Fill Light Orange--</t>
  </si>
  <si>
    <t>--Event--</t>
  </si>
  <si>
    <t>=$I3="Y" --Format - Fill Light Red(Pink)--</t>
  </si>
  <si>
    <t>--Range--</t>
  </si>
  <si>
    <t>=$A$2:$K$366</t>
  </si>
  <si>
    <t>--To create a new Year W/S--</t>
  </si>
  <si>
    <t>--Copy Previous Year--</t>
  </si>
  <si>
    <t>--Change Name--</t>
  </si>
  <si>
    <t>--Sheet is protected - $A$2 open, update to previous Year, leave formula as is--</t>
  </si>
  <si>
    <t>='2018'!A366+1</t>
  </si>
  <si>
    <t>Date</t>
  </si>
  <si>
    <t>PH_Name</t>
  </si>
  <si>
    <t>New Year's Day</t>
  </si>
  <si>
    <t>Human Rights Day</t>
  </si>
  <si>
    <t>Good Friday</t>
  </si>
  <si>
    <t>Family Day</t>
  </si>
  <si>
    <t>Freedom Day</t>
  </si>
  <si>
    <t>Workers' Day</t>
  </si>
  <si>
    <t>Youth Day</t>
  </si>
  <si>
    <t>National Women's Day</t>
  </si>
  <si>
    <t>Heritage Day</t>
  </si>
  <si>
    <t>Day of Reconciliation</t>
  </si>
  <si>
    <t>Public Holiday (Observed)</t>
  </si>
  <si>
    <t>Christmas Day</t>
  </si>
  <si>
    <t>Day of Goodwill</t>
  </si>
  <si>
    <t>Event</t>
  </si>
  <si>
    <t xml:space="preserve"> Back to School (Term 1)</t>
  </si>
  <si>
    <t xml:space="preserve"> Valentine's Day</t>
  </si>
  <si>
    <t xml:space="preserve"> Good Friday</t>
  </si>
  <si>
    <t xml:space="preserve"> Family Day</t>
  </si>
  <si>
    <t xml:space="preserve"> Mother's Day</t>
  </si>
  <si>
    <t xml:space="preserve"> Father's Day</t>
  </si>
  <si>
    <t xml:space="preserve"> Back to School (Term 3)</t>
  </si>
  <si>
    <t xml:space="preserve"> Spring Day</t>
  </si>
  <si>
    <t xml:space="preserve"> Back to School (Term 4)</t>
  </si>
  <si>
    <t xml:space="preserve"> Halloween</t>
  </si>
  <si>
    <t xml:space="preserve"> Black Friday</t>
  </si>
  <si>
    <t xml:space="preserve"> Cyber Monday</t>
  </si>
  <si>
    <t xml:space="preserve"> Start of Festive Trading</t>
  </si>
  <si>
    <t xml:space="preserve"> Peak Festive Trading</t>
  </si>
  <si>
    <t>New Years Eve</t>
  </si>
  <si>
    <t>Start</t>
  </si>
  <si>
    <t>End</t>
  </si>
  <si>
    <t>Day</t>
  </si>
  <si>
    <t>Month</t>
  </si>
  <si>
    <t>Year</t>
  </si>
  <si>
    <t>Weekday Name</t>
  </si>
  <si>
    <t>Is Sunday (Y/N)</t>
  </si>
  <si>
    <t>Is Public Holiday (Y/N)</t>
  </si>
  <si>
    <t>Holiday Name</t>
  </si>
  <si>
    <t>Is Observed Event (Y/N)</t>
  </si>
  <si>
    <t>Observed Events</t>
  </si>
  <si>
    <t>Is School Holiday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</si>
</sst>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;@"/>
  </numFmts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/>
    <xf numFmtId="49" fontId="0" fillId="0" borderId="0" xfId="0" applyNumberFormat="1"/>
    <xf numFmtId="0" fontId="0" fillId="0" borderId="0" xfId="0" applyAlignment="1">
      <alignment horizontal="left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horizontal="left"/>
    </xf>
    <xf numFmtId="49" fontId="4" fillId="0" borderId="0" xfId="0" applyNumberFormat="1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Protection="1">
      <protection locked="0"/>
    </xf>
    <xf numFmtId="14" fontId="4" fillId="0" borderId="0" xfId="0" applyNumberFormat="1" applyFont="1" applyProtection="1">
      <protection locked="0"/>
    </xf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164" fontId="0" fillId="0" borderId="1" xfId="0" applyNumberFormat="1" applyBorder="1" applyProtection="1">
      <protection locked="0"/>
    </xf>
    <xf numFmtId="14" fontId="3" fillId="3" borderId="0" xfId="0" applyNumberFormat="1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49" fontId="3" fillId="3" borderId="0" xfId="0" applyNumberFormat="1" applyFont="1" applyFill="1" applyAlignment="1">
      <alignment horizontal="left"/>
    </xf>
    <xf numFmtId="0" fontId="4" fillId="0" borderId="0" xfId="0" applyFont="1"/>
    <xf numFmtId="14" fontId="4" fillId="0" borderId="0" xfId="0" applyNumberFormat="1" applyFont="1"/>
    <xf numFmtId="0" fontId="5" fillId="0" borderId="0" xfId="0" applyFont="1"/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28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yyyy/mm/dd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yyyy/mm/dd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yyyy/mm/dd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numFmt numFmtId="165" formatCode="yyyy/mm/dd"/>
      <fill>
        <patternFill patternType="solid">
          <fgColor indexed="64"/>
          <bgColor theme="4" tint="-0.249977111117893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font>
        <b/>
        <i val="0"/>
      </font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  <strike val="0"/>
        <color theme="0"/>
      </font>
      <fill>
        <patternFill>
          <bgColor theme="4" tint="-0.24994659260841701"/>
        </patternFill>
      </fill>
    </dxf>
  </dxfs>
  <tableStyles count="1" defaultTableStyle="TableStyleMedium9" defaultPivotStyle="PivotStyleLight16">
    <tableStyle name="Table Style 1" pivot="0" count="1" xr9:uid="{8D7E3A67-92D3-47D1-8260-E4B1E2FA29AE}">
      <tableStyleElement type="headerRow" dxfId="27"/>
    </tableStyle>
  </tableStyles>
  <colors>
    <mruColors>
      <color rgb="FFFAA0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43B2B-10A0-4ECB-B7F7-AAD7DAC79612}" name="PublicHols" displayName="PublicHols" ref="A1:B500" totalsRowShown="0" headerRowDxfId="23" dataDxfId="22">
  <autoFilter ref="A1:B500" xr:uid="{2CD43B2B-10A0-4ECB-B7F7-AAD7DAC79612}"/>
  <tableColumns count="2">
    <tableColumn id="1" xr3:uid="{120DD2DD-E3A9-4C8D-889D-78572DBC414B}" name="Date" dataDxfId="21"/>
    <tableColumn id="2" xr3:uid="{5B471C54-60FE-4807-9950-9071A5087471}" name="PH_Name" dataDxfId="20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800001-8768-43A8-A9DA-759557595A31}" name="EventsAll" displayName="EventsAll" ref="A1:B200" totalsRowShown="0" headerRowDxfId="19" dataDxfId="18">
  <autoFilter ref="A1:B200" xr:uid="{3B800001-8768-43A8-A9DA-759557595A31}"/>
  <tableColumns count="2">
    <tableColumn id="1" xr3:uid="{9B3783F0-5F4B-420A-A6DC-5803FBF5B90E}" name="Date" dataDxfId="17"/>
    <tableColumn id="2" xr3:uid="{817C36CA-37BE-45F9-BB5D-11D16F31B42B}" name="Event" dataDxfId="16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0FA965-0A22-49AB-B922-BEDB49239404}" name="SchoolHols" displayName="SchoolHols" ref="A1:B200" totalsRowShown="0" headerRowDxfId="15" dataDxfId="14">
  <autoFilter ref="A1:B200" xr:uid="{CF0FA965-0A22-49AB-B922-BEDB49239404}"/>
  <tableColumns count="2">
    <tableColumn id="1" xr3:uid="{28F997C3-B05C-4103-A8E6-E1EF5DCD9ED3}" name="Start" dataDxfId="13"/>
    <tableColumn id="2" xr3:uid="{62BEBB37-94D0-4271-9BD7-8C9BA8531487}" name="End" dataDxfId="12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74AB-7F45-42FC-974C-729B516C1557}">
  <sheetPr>
    <tabColor rgb="FFFF0000"/>
  </sheetPr>
  <dimension ref="A1:A58"/>
  <sheetViews>
    <sheetView workbookViewId="0">
      <selection activeCell="A5" sqref="A5"/>
    </sheetView>
  </sheetViews>
  <sheetFormatPr defaultColWidth="8.7109375" defaultRowHeight="14.45"/>
  <cols>
    <col min="1" max="1" width="250.5703125" style="7" bestFit="1" customWidth="1"/>
    <col min="2" max="2" width="8.42578125" style="7" customWidth="1"/>
    <col min="3" max="16384" width="8.7109375" style="7"/>
  </cols>
  <sheetData>
    <row r="1" spans="1:1">
      <c r="A1" s="7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6" spans="1:1">
      <c r="A6" s="7" t="s">
        <v>4</v>
      </c>
    </row>
    <row r="7" spans="1:1">
      <c r="A7" s="7" t="s">
        <v>5</v>
      </c>
    </row>
    <row r="8" spans="1:1">
      <c r="A8" s="7" t="s">
        <v>6</v>
      </c>
    </row>
    <row r="9" spans="1:1">
      <c r="A9" s="7" t="s">
        <v>3</v>
      </c>
    </row>
    <row r="11" spans="1:1">
      <c r="A11" s="7" t="s">
        <v>7</v>
      </c>
    </row>
    <row r="12" spans="1:1">
      <c r="A12" s="7" t="s">
        <v>8</v>
      </c>
    </row>
    <row r="13" spans="1:1">
      <c r="A13" s="7" t="s">
        <v>9</v>
      </c>
    </row>
    <row r="14" spans="1:1">
      <c r="A14" s="7" t="s">
        <v>3</v>
      </c>
    </row>
    <row r="16" spans="1:1">
      <c r="A16" s="7" t="s">
        <v>10</v>
      </c>
    </row>
    <row r="17" spans="1:1">
      <c r="A17" s="7" t="s">
        <v>11</v>
      </c>
    </row>
    <row r="18" spans="1:1">
      <c r="A18" s="7" t="s">
        <v>12</v>
      </c>
    </row>
    <row r="19" spans="1:1">
      <c r="A19" s="7" t="s">
        <v>13</v>
      </c>
    </row>
    <row r="20" spans="1:1">
      <c r="A20" s="7" t="s">
        <v>14</v>
      </c>
    </row>
    <row r="21" spans="1:1">
      <c r="A21" s="7" t="s">
        <v>15</v>
      </c>
    </row>
    <row r="23" spans="1:1">
      <c r="A23" s="7" t="s">
        <v>16</v>
      </c>
    </row>
    <row r="24" spans="1:1">
      <c r="A24" s="7" t="s">
        <v>17</v>
      </c>
    </row>
    <row r="26" spans="1:1">
      <c r="A26" s="7" t="s">
        <v>18</v>
      </c>
    </row>
    <row r="27" spans="1:1">
      <c r="A27" s="7" t="s">
        <v>19</v>
      </c>
    </row>
    <row r="28" spans="1:1">
      <c r="A28" s="7" t="s">
        <v>20</v>
      </c>
    </row>
    <row r="30" spans="1:1">
      <c r="A30" s="7" t="s">
        <v>21</v>
      </c>
    </row>
    <row r="31" spans="1:1">
      <c r="A31" s="7" t="s">
        <v>22</v>
      </c>
    </row>
    <row r="32" spans="1:1">
      <c r="A32" s="7" t="s">
        <v>23</v>
      </c>
    </row>
    <row r="34" spans="1:1">
      <c r="A34" s="7" t="s">
        <v>24</v>
      </c>
    </row>
    <row r="35" spans="1:1">
      <c r="A35" s="7" t="s">
        <v>25</v>
      </c>
    </row>
    <row r="38" spans="1:1">
      <c r="A38" s="7" t="s">
        <v>26</v>
      </c>
    </row>
    <row r="39" spans="1:1">
      <c r="A39" s="7" t="s">
        <v>27</v>
      </c>
    </row>
    <row r="40" spans="1:1">
      <c r="A40" s="7" t="s">
        <v>28</v>
      </c>
    </row>
    <row r="42" spans="1:1">
      <c r="A42" s="7" t="s">
        <v>29</v>
      </c>
    </row>
    <row r="43" spans="1:1">
      <c r="A43" s="7" t="s">
        <v>30</v>
      </c>
    </row>
    <row r="45" spans="1:1">
      <c r="A45" s="7" t="s">
        <v>31</v>
      </c>
    </row>
    <row r="46" spans="1:1">
      <c r="A46" s="7" t="s">
        <v>32</v>
      </c>
    </row>
    <row r="48" spans="1:1">
      <c r="A48" s="7" t="s">
        <v>33</v>
      </c>
    </row>
    <row r="49" spans="1:1">
      <c r="A49" s="7" t="s">
        <v>34</v>
      </c>
    </row>
    <row r="51" spans="1:1">
      <c r="A51" s="7" t="s">
        <v>35</v>
      </c>
    </row>
    <row r="52" spans="1:1">
      <c r="A52" s="7" t="s">
        <v>36</v>
      </c>
    </row>
    <row r="54" spans="1:1">
      <c r="A54" s="7" t="s">
        <v>37</v>
      </c>
    </row>
    <row r="55" spans="1:1">
      <c r="A55" s="7" t="s">
        <v>38</v>
      </c>
    </row>
    <row r="56" spans="1:1">
      <c r="A56" s="7" t="s">
        <v>39</v>
      </c>
    </row>
    <row r="57" spans="1:1">
      <c r="A57" s="7" t="s">
        <v>40</v>
      </c>
    </row>
    <row r="58" spans="1:1">
      <c r="A58" s="7" t="s">
        <v>41</v>
      </c>
    </row>
  </sheetData>
  <sheetProtection selectLockedCells="1" selectUnlockedCells="1"/>
  <conditionalFormatting sqref="A1:A200">
    <cfRule type="containsText" dxfId="26" priority="1" operator="containsText" text="W/S">
      <formula>NOT(ISERROR(SEARCH("W/S",A1)))</formula>
    </cfRule>
    <cfRule type="expression" dxfId="25" priority="3" stopIfTrue="1">
      <formula>LEFT($A1, 2)="--"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FE2E-02B1-49DE-950C-4BAE38EEFF84}">
  <sheetPr>
    <tabColor rgb="FFFFC000"/>
  </sheetPr>
  <dimension ref="A1:B500"/>
  <sheetViews>
    <sheetView workbookViewId="0">
      <pane ySplit="1" topLeftCell="A2" activePane="bottomLeft" state="frozen"/>
      <selection pane="bottomLeft" activeCell="A143" sqref="A143"/>
    </sheetView>
  </sheetViews>
  <sheetFormatPr defaultColWidth="8.7109375" defaultRowHeight="14.45"/>
  <cols>
    <col min="1" max="1" width="11.85546875" style="29" bestFit="1" customWidth="1"/>
    <col min="2" max="2" width="32.28515625" style="31" customWidth="1"/>
    <col min="3" max="16384" width="8.7109375" style="29"/>
  </cols>
  <sheetData>
    <row r="1" spans="1:2" s="30" customFormat="1">
      <c r="A1" s="22" t="s">
        <v>42</v>
      </c>
      <c r="B1" s="24" t="s">
        <v>43</v>
      </c>
    </row>
    <row r="2" spans="1:2">
      <c r="A2" s="28">
        <v>43101</v>
      </c>
      <c r="B2" s="31" t="s">
        <v>44</v>
      </c>
    </row>
    <row r="3" spans="1:2">
      <c r="A3" s="32">
        <v>43180</v>
      </c>
      <c r="B3" s="33" t="s">
        <v>45</v>
      </c>
    </row>
    <row r="4" spans="1:2">
      <c r="A4" s="32">
        <v>43189</v>
      </c>
      <c r="B4" s="33" t="s">
        <v>46</v>
      </c>
    </row>
    <row r="5" spans="1:2">
      <c r="A5" s="32">
        <v>43192</v>
      </c>
      <c r="B5" s="33" t="s">
        <v>47</v>
      </c>
    </row>
    <row r="6" spans="1:2">
      <c r="A6" s="32">
        <v>43217</v>
      </c>
      <c r="B6" s="33" t="s">
        <v>48</v>
      </c>
    </row>
    <row r="7" spans="1:2">
      <c r="A7" s="32">
        <v>43221</v>
      </c>
      <c r="B7" s="33" t="s">
        <v>49</v>
      </c>
    </row>
    <row r="8" spans="1:2">
      <c r="A8" s="32">
        <v>43267</v>
      </c>
      <c r="B8" s="33" t="s">
        <v>50</v>
      </c>
    </row>
    <row r="9" spans="1:2">
      <c r="A9" s="32">
        <v>43321</v>
      </c>
      <c r="B9" s="33" t="s">
        <v>51</v>
      </c>
    </row>
    <row r="10" spans="1:2">
      <c r="A10" s="32">
        <v>43367</v>
      </c>
      <c r="B10" s="33" t="s">
        <v>52</v>
      </c>
    </row>
    <row r="11" spans="1:2">
      <c r="A11" s="32">
        <v>43450</v>
      </c>
      <c r="B11" s="33" t="s">
        <v>53</v>
      </c>
    </row>
    <row r="12" spans="1:2">
      <c r="A12" s="32">
        <v>43451</v>
      </c>
      <c r="B12" s="33" t="s">
        <v>54</v>
      </c>
    </row>
    <row r="13" spans="1:2">
      <c r="A13" s="32">
        <v>43459</v>
      </c>
      <c r="B13" s="33" t="s">
        <v>55</v>
      </c>
    </row>
    <row r="14" spans="1:2">
      <c r="A14" s="32">
        <v>43460</v>
      </c>
      <c r="B14" s="33" t="s">
        <v>56</v>
      </c>
    </row>
    <row r="15" spans="1:2">
      <c r="A15" s="32">
        <v>43466</v>
      </c>
      <c r="B15" s="33" t="s">
        <v>44</v>
      </c>
    </row>
    <row r="16" spans="1:2">
      <c r="A16" s="32">
        <v>43545</v>
      </c>
      <c r="B16" s="33" t="s">
        <v>45</v>
      </c>
    </row>
    <row r="17" spans="1:2">
      <c r="A17" s="28">
        <v>43574</v>
      </c>
      <c r="B17" s="31" t="s">
        <v>46</v>
      </c>
    </row>
    <row r="18" spans="1:2">
      <c r="A18" s="28">
        <v>43577</v>
      </c>
      <c r="B18" s="31" t="s">
        <v>47</v>
      </c>
    </row>
    <row r="19" spans="1:2">
      <c r="A19" s="28">
        <v>43582</v>
      </c>
      <c r="B19" s="31" t="s">
        <v>48</v>
      </c>
    </row>
    <row r="20" spans="1:2">
      <c r="A20" s="32">
        <v>43586</v>
      </c>
      <c r="B20" s="33" t="s">
        <v>49</v>
      </c>
    </row>
    <row r="21" spans="1:2">
      <c r="A21" s="32">
        <v>43632</v>
      </c>
      <c r="B21" s="33" t="s">
        <v>50</v>
      </c>
    </row>
    <row r="22" spans="1:2">
      <c r="A22" s="32">
        <v>43633</v>
      </c>
      <c r="B22" s="33" t="s">
        <v>54</v>
      </c>
    </row>
    <row r="23" spans="1:2">
      <c r="A23" s="32">
        <v>43686</v>
      </c>
      <c r="B23" s="33" t="s">
        <v>51</v>
      </c>
    </row>
    <row r="24" spans="1:2">
      <c r="A24" s="32">
        <v>43732</v>
      </c>
      <c r="B24" s="33" t="s">
        <v>52</v>
      </c>
    </row>
    <row r="25" spans="1:2">
      <c r="A25" s="32">
        <v>43815</v>
      </c>
      <c r="B25" s="33" t="s">
        <v>53</v>
      </c>
    </row>
    <row r="26" spans="1:2">
      <c r="A26" s="32">
        <v>43824</v>
      </c>
      <c r="B26" s="33" t="s">
        <v>55</v>
      </c>
    </row>
    <row r="27" spans="1:2">
      <c r="A27" s="32">
        <v>43825</v>
      </c>
      <c r="B27" s="33" t="s">
        <v>56</v>
      </c>
    </row>
    <row r="28" spans="1:2">
      <c r="A28" s="32">
        <v>43831</v>
      </c>
      <c r="B28" s="33" t="s">
        <v>44</v>
      </c>
    </row>
    <row r="29" spans="1:2">
      <c r="A29" s="32">
        <v>43911</v>
      </c>
      <c r="B29" s="33" t="s">
        <v>45</v>
      </c>
    </row>
    <row r="30" spans="1:2">
      <c r="A30" s="32">
        <v>43931</v>
      </c>
      <c r="B30" s="33" t="s">
        <v>46</v>
      </c>
    </row>
    <row r="31" spans="1:2">
      <c r="A31" s="32">
        <v>43934</v>
      </c>
      <c r="B31" s="33" t="s">
        <v>47</v>
      </c>
    </row>
    <row r="32" spans="1:2">
      <c r="A32" s="32">
        <v>43948</v>
      </c>
      <c r="B32" s="33" t="s">
        <v>48</v>
      </c>
    </row>
    <row r="33" spans="1:2">
      <c r="A33" s="32">
        <v>43952</v>
      </c>
      <c r="B33" s="33" t="s">
        <v>49</v>
      </c>
    </row>
    <row r="34" spans="1:2">
      <c r="A34" s="28">
        <v>43998</v>
      </c>
      <c r="B34" s="31" t="s">
        <v>50</v>
      </c>
    </row>
    <row r="35" spans="1:2">
      <c r="A35" s="28">
        <v>44052</v>
      </c>
      <c r="B35" s="31" t="s">
        <v>51</v>
      </c>
    </row>
    <row r="36" spans="1:2">
      <c r="A36" s="28">
        <v>44053</v>
      </c>
      <c r="B36" s="31" t="s">
        <v>54</v>
      </c>
    </row>
    <row r="37" spans="1:2">
      <c r="A37" s="32">
        <v>44098</v>
      </c>
      <c r="B37" s="33" t="s">
        <v>52</v>
      </c>
    </row>
    <row r="38" spans="1:2">
      <c r="A38" s="32">
        <v>44181</v>
      </c>
      <c r="B38" s="33" t="s">
        <v>53</v>
      </c>
    </row>
    <row r="39" spans="1:2">
      <c r="A39" s="32">
        <v>44190</v>
      </c>
      <c r="B39" s="33" t="s">
        <v>55</v>
      </c>
    </row>
    <row r="40" spans="1:2">
      <c r="A40" s="32">
        <v>44191</v>
      </c>
      <c r="B40" s="33" t="s">
        <v>56</v>
      </c>
    </row>
    <row r="41" spans="1:2">
      <c r="A41" s="32">
        <v>44197</v>
      </c>
      <c r="B41" s="33" t="s">
        <v>44</v>
      </c>
    </row>
    <row r="42" spans="1:2">
      <c r="A42" s="32">
        <v>44276</v>
      </c>
      <c r="B42" s="33" t="s">
        <v>45</v>
      </c>
    </row>
    <row r="43" spans="1:2">
      <c r="A43" s="32">
        <v>44277</v>
      </c>
      <c r="B43" s="33" t="s">
        <v>54</v>
      </c>
    </row>
    <row r="44" spans="1:2">
      <c r="A44" s="32">
        <v>44288</v>
      </c>
      <c r="B44" s="33" t="s">
        <v>46</v>
      </c>
    </row>
    <row r="45" spans="1:2">
      <c r="A45" s="32">
        <v>44291</v>
      </c>
      <c r="B45" s="33" t="s">
        <v>47</v>
      </c>
    </row>
    <row r="46" spans="1:2">
      <c r="A46" s="32">
        <v>44313</v>
      </c>
      <c r="B46" s="33" t="s">
        <v>48</v>
      </c>
    </row>
    <row r="47" spans="1:2">
      <c r="A47" s="32">
        <v>44317</v>
      </c>
      <c r="B47" s="33" t="s">
        <v>49</v>
      </c>
    </row>
    <row r="48" spans="1:2">
      <c r="A48" s="32">
        <v>44363</v>
      </c>
      <c r="B48" s="33" t="s">
        <v>50</v>
      </c>
    </row>
    <row r="49" spans="1:2">
      <c r="A49" s="32">
        <v>44417</v>
      </c>
      <c r="B49" s="33" t="s">
        <v>51</v>
      </c>
    </row>
    <row r="50" spans="1:2">
      <c r="A50" s="32">
        <v>44463</v>
      </c>
      <c r="B50" s="33" t="s">
        <v>52</v>
      </c>
    </row>
    <row r="51" spans="1:2">
      <c r="A51" s="28">
        <v>44546</v>
      </c>
      <c r="B51" s="31" t="s">
        <v>53</v>
      </c>
    </row>
    <row r="52" spans="1:2">
      <c r="A52" s="28">
        <v>44555</v>
      </c>
      <c r="B52" s="31" t="s">
        <v>55</v>
      </c>
    </row>
    <row r="53" spans="1:2">
      <c r="A53" s="28">
        <v>44556</v>
      </c>
      <c r="B53" s="31" t="s">
        <v>56</v>
      </c>
    </row>
    <row r="54" spans="1:2">
      <c r="A54" s="32">
        <v>44562</v>
      </c>
      <c r="B54" s="33" t="s">
        <v>44</v>
      </c>
    </row>
    <row r="55" spans="1:2">
      <c r="A55" s="32">
        <v>44641</v>
      </c>
      <c r="B55" s="33" t="s">
        <v>45</v>
      </c>
    </row>
    <row r="56" spans="1:2">
      <c r="A56" s="32">
        <v>44666</v>
      </c>
      <c r="B56" s="33" t="s">
        <v>46</v>
      </c>
    </row>
    <row r="57" spans="1:2">
      <c r="A57" s="32">
        <v>44669</v>
      </c>
      <c r="B57" s="33" t="s">
        <v>47</v>
      </c>
    </row>
    <row r="58" spans="1:2">
      <c r="A58" s="32">
        <v>44678</v>
      </c>
      <c r="B58" s="33" t="s">
        <v>48</v>
      </c>
    </row>
    <row r="59" spans="1:2">
      <c r="A59" s="32">
        <v>44682</v>
      </c>
      <c r="B59" s="33" t="s">
        <v>49</v>
      </c>
    </row>
    <row r="60" spans="1:2">
      <c r="A60" s="32">
        <v>44683</v>
      </c>
      <c r="B60" s="33" t="s">
        <v>54</v>
      </c>
    </row>
    <row r="61" spans="1:2">
      <c r="A61" s="32">
        <v>44728</v>
      </c>
      <c r="B61" s="33" t="s">
        <v>50</v>
      </c>
    </row>
    <row r="62" spans="1:2">
      <c r="A62" s="32">
        <v>44782</v>
      </c>
      <c r="B62" s="33" t="s">
        <v>51</v>
      </c>
    </row>
    <row r="63" spans="1:2">
      <c r="A63" s="32">
        <v>44828</v>
      </c>
      <c r="B63" s="33" t="s">
        <v>52</v>
      </c>
    </row>
    <row r="64" spans="1:2">
      <c r="A64" s="32">
        <v>44911</v>
      </c>
      <c r="B64" s="33" t="s">
        <v>53</v>
      </c>
    </row>
    <row r="65" spans="1:2">
      <c r="A65" s="32">
        <v>44920</v>
      </c>
      <c r="B65" s="33" t="s">
        <v>55</v>
      </c>
    </row>
    <row r="66" spans="1:2">
      <c r="A66" s="32">
        <v>44921</v>
      </c>
      <c r="B66" s="33" t="s">
        <v>56</v>
      </c>
    </row>
    <row r="67" spans="1:2">
      <c r="A67" s="32">
        <v>44927</v>
      </c>
      <c r="B67" s="33" t="s">
        <v>44</v>
      </c>
    </row>
    <row r="68" spans="1:2">
      <c r="A68" s="28">
        <v>44928</v>
      </c>
      <c r="B68" s="31" t="s">
        <v>54</v>
      </c>
    </row>
    <row r="69" spans="1:2">
      <c r="A69" s="28">
        <v>45006</v>
      </c>
      <c r="B69" s="31" t="s">
        <v>45</v>
      </c>
    </row>
    <row r="70" spans="1:2">
      <c r="A70" s="28">
        <v>45023</v>
      </c>
      <c r="B70" s="31" t="s">
        <v>46</v>
      </c>
    </row>
    <row r="71" spans="1:2">
      <c r="A71" s="32">
        <v>45026</v>
      </c>
      <c r="B71" s="33" t="s">
        <v>47</v>
      </c>
    </row>
    <row r="72" spans="1:2">
      <c r="A72" s="32">
        <v>45043</v>
      </c>
      <c r="B72" s="33" t="s">
        <v>48</v>
      </c>
    </row>
    <row r="73" spans="1:2">
      <c r="A73" s="32">
        <v>45047</v>
      </c>
      <c r="B73" s="33" t="s">
        <v>49</v>
      </c>
    </row>
    <row r="74" spans="1:2">
      <c r="A74" s="32">
        <v>45093</v>
      </c>
      <c r="B74" s="33" t="s">
        <v>50</v>
      </c>
    </row>
    <row r="75" spans="1:2">
      <c r="A75" s="32">
        <v>45147</v>
      </c>
      <c r="B75" s="33" t="s">
        <v>51</v>
      </c>
    </row>
    <row r="76" spans="1:2">
      <c r="A76" s="32">
        <v>45193</v>
      </c>
      <c r="B76" s="33" t="s">
        <v>52</v>
      </c>
    </row>
    <row r="77" spans="1:2">
      <c r="A77" s="32">
        <v>45194</v>
      </c>
      <c r="B77" s="33" t="s">
        <v>54</v>
      </c>
    </row>
    <row r="78" spans="1:2">
      <c r="A78" s="32">
        <v>45276</v>
      </c>
      <c r="B78" s="33" t="s">
        <v>53</v>
      </c>
    </row>
    <row r="79" spans="1:2">
      <c r="A79" s="32">
        <v>45285</v>
      </c>
      <c r="B79" s="33" t="s">
        <v>55</v>
      </c>
    </row>
    <row r="80" spans="1:2">
      <c r="A80" s="32">
        <v>45286</v>
      </c>
      <c r="B80" s="33" t="s">
        <v>56</v>
      </c>
    </row>
    <row r="81" spans="1:2">
      <c r="A81" s="32">
        <v>45292</v>
      </c>
      <c r="B81" s="33" t="s">
        <v>44</v>
      </c>
    </row>
    <row r="82" spans="1:2">
      <c r="A82" s="32">
        <v>45372</v>
      </c>
      <c r="B82" s="33" t="s">
        <v>45</v>
      </c>
    </row>
    <row r="83" spans="1:2">
      <c r="A83" s="32">
        <v>45380</v>
      </c>
      <c r="B83" s="33" t="s">
        <v>46</v>
      </c>
    </row>
    <row r="84" spans="1:2">
      <c r="A84" s="32">
        <v>45383</v>
      </c>
      <c r="B84" s="33" t="s">
        <v>47</v>
      </c>
    </row>
    <row r="85" spans="1:2">
      <c r="A85" s="28">
        <v>45409</v>
      </c>
      <c r="B85" s="31" t="s">
        <v>48</v>
      </c>
    </row>
    <row r="86" spans="1:2">
      <c r="A86" s="28">
        <v>45413</v>
      </c>
      <c r="B86" s="31" t="s">
        <v>49</v>
      </c>
    </row>
    <row r="87" spans="1:2">
      <c r="A87" s="28">
        <v>45459</v>
      </c>
      <c r="B87" s="31" t="s">
        <v>50</v>
      </c>
    </row>
    <row r="88" spans="1:2">
      <c r="A88" s="32">
        <v>45460</v>
      </c>
      <c r="B88" s="33" t="s">
        <v>54</v>
      </c>
    </row>
    <row r="89" spans="1:2">
      <c r="A89" s="32">
        <v>45513</v>
      </c>
      <c r="B89" s="33" t="s">
        <v>51</v>
      </c>
    </row>
    <row r="90" spans="1:2">
      <c r="A90" s="32">
        <v>45559</v>
      </c>
      <c r="B90" s="33" t="s">
        <v>52</v>
      </c>
    </row>
    <row r="91" spans="1:2">
      <c r="A91" s="32">
        <v>45642</v>
      </c>
      <c r="B91" s="33" t="s">
        <v>53</v>
      </c>
    </row>
    <row r="92" spans="1:2">
      <c r="A92" s="32">
        <v>45651</v>
      </c>
      <c r="B92" s="33" t="s">
        <v>55</v>
      </c>
    </row>
    <row r="93" spans="1:2">
      <c r="A93" s="32">
        <v>45652</v>
      </c>
      <c r="B93" s="33" t="s">
        <v>56</v>
      </c>
    </row>
    <row r="94" spans="1:2">
      <c r="A94" s="32">
        <v>45658</v>
      </c>
      <c r="B94" s="33" t="s">
        <v>44</v>
      </c>
    </row>
    <row r="95" spans="1:2">
      <c r="A95" s="32">
        <v>45737</v>
      </c>
      <c r="B95" s="33" t="s">
        <v>45</v>
      </c>
    </row>
    <row r="96" spans="1:2">
      <c r="A96" s="32">
        <v>45765</v>
      </c>
      <c r="B96" s="33" t="s">
        <v>46</v>
      </c>
    </row>
    <row r="97" spans="1:2">
      <c r="A97" s="32">
        <v>45768</v>
      </c>
      <c r="B97" s="33" t="s">
        <v>47</v>
      </c>
    </row>
    <row r="98" spans="1:2">
      <c r="A98" s="32">
        <v>45774</v>
      </c>
      <c r="B98" s="33" t="s">
        <v>48</v>
      </c>
    </row>
    <row r="99" spans="1:2">
      <c r="A99" s="32">
        <v>45775</v>
      </c>
      <c r="B99" s="33" t="s">
        <v>54</v>
      </c>
    </row>
    <row r="100" spans="1:2">
      <c r="A100" s="32">
        <v>45778</v>
      </c>
      <c r="B100" s="33" t="s">
        <v>49</v>
      </c>
    </row>
    <row r="101" spans="1:2">
      <c r="A101" s="32">
        <v>45824</v>
      </c>
      <c r="B101" s="33" t="s">
        <v>50</v>
      </c>
    </row>
    <row r="102" spans="1:2">
      <c r="A102" s="32">
        <v>45878</v>
      </c>
      <c r="B102" s="33" t="s">
        <v>51</v>
      </c>
    </row>
    <row r="103" spans="1:2">
      <c r="A103" s="28">
        <v>45924</v>
      </c>
      <c r="B103" s="31" t="s">
        <v>52</v>
      </c>
    </row>
    <row r="104" spans="1:2">
      <c r="A104" s="28">
        <v>46007</v>
      </c>
      <c r="B104" s="31" t="s">
        <v>53</v>
      </c>
    </row>
    <row r="105" spans="1:2">
      <c r="A105" s="28">
        <v>46016</v>
      </c>
      <c r="B105" s="31" t="s">
        <v>55</v>
      </c>
    </row>
    <row r="106" spans="1:2">
      <c r="A106" s="32">
        <v>46017</v>
      </c>
      <c r="B106" s="33" t="s">
        <v>56</v>
      </c>
    </row>
    <row r="107" spans="1:2">
      <c r="A107" s="32">
        <v>46023</v>
      </c>
      <c r="B107" s="33" t="s">
        <v>44</v>
      </c>
    </row>
    <row r="108" spans="1:2">
      <c r="A108" s="32">
        <v>46102</v>
      </c>
      <c r="B108" s="33" t="s">
        <v>45</v>
      </c>
    </row>
    <row r="109" spans="1:2">
      <c r="A109" s="32">
        <v>46115</v>
      </c>
      <c r="B109" s="33" t="s">
        <v>46</v>
      </c>
    </row>
    <row r="110" spans="1:2">
      <c r="A110" s="32">
        <v>46118</v>
      </c>
      <c r="B110" s="33" t="s">
        <v>47</v>
      </c>
    </row>
    <row r="111" spans="1:2">
      <c r="A111" s="32">
        <v>46139</v>
      </c>
      <c r="B111" s="33" t="s">
        <v>48</v>
      </c>
    </row>
    <row r="112" spans="1:2">
      <c r="A112" s="32">
        <v>46143</v>
      </c>
      <c r="B112" s="33" t="s">
        <v>49</v>
      </c>
    </row>
    <row r="113" spans="1:2">
      <c r="A113" s="32">
        <v>46189</v>
      </c>
      <c r="B113" s="33" t="s">
        <v>50</v>
      </c>
    </row>
    <row r="114" spans="1:2">
      <c r="A114" s="32">
        <v>46243</v>
      </c>
      <c r="B114" s="33" t="s">
        <v>51</v>
      </c>
    </row>
    <row r="115" spans="1:2">
      <c r="A115" s="32">
        <v>46289</v>
      </c>
      <c r="B115" s="33" t="s">
        <v>52</v>
      </c>
    </row>
    <row r="116" spans="1:2">
      <c r="A116" s="32">
        <v>46372</v>
      </c>
      <c r="B116" s="33" t="s">
        <v>53</v>
      </c>
    </row>
    <row r="117" spans="1:2">
      <c r="A117" s="32">
        <v>46381</v>
      </c>
      <c r="B117" s="33" t="s">
        <v>55</v>
      </c>
    </row>
    <row r="118" spans="1:2">
      <c r="A118" s="32">
        <v>46382</v>
      </c>
      <c r="B118" s="33" t="s">
        <v>56</v>
      </c>
    </row>
    <row r="119" spans="1:2">
      <c r="A119" s="32">
        <v>46388</v>
      </c>
      <c r="B119" s="33" t="s">
        <v>44</v>
      </c>
    </row>
    <row r="120" spans="1:2">
      <c r="A120" s="28">
        <v>46467</v>
      </c>
      <c r="B120" s="31" t="s">
        <v>45</v>
      </c>
    </row>
    <row r="121" spans="1:2">
      <c r="A121" s="28">
        <v>46472</v>
      </c>
      <c r="B121" s="31" t="s">
        <v>46</v>
      </c>
    </row>
    <row r="122" spans="1:2">
      <c r="A122" s="28">
        <v>46475</v>
      </c>
      <c r="B122" s="31" t="s">
        <v>47</v>
      </c>
    </row>
    <row r="123" spans="1:2">
      <c r="A123" s="32">
        <v>46504</v>
      </c>
      <c r="B123" s="33" t="s">
        <v>48</v>
      </c>
    </row>
    <row r="124" spans="1:2">
      <c r="A124" s="32">
        <v>46508</v>
      </c>
      <c r="B124" s="33" t="s">
        <v>49</v>
      </c>
    </row>
    <row r="125" spans="1:2">
      <c r="A125" s="32">
        <v>46554</v>
      </c>
      <c r="B125" s="33" t="s">
        <v>50</v>
      </c>
    </row>
    <row r="126" spans="1:2">
      <c r="A126" s="32">
        <v>46608</v>
      </c>
      <c r="B126" s="33" t="s">
        <v>51</v>
      </c>
    </row>
    <row r="127" spans="1:2">
      <c r="A127" s="32">
        <v>46654</v>
      </c>
      <c r="B127" s="33" t="s">
        <v>52</v>
      </c>
    </row>
    <row r="128" spans="1:2">
      <c r="A128" s="32">
        <v>46737</v>
      </c>
      <c r="B128" s="33" t="s">
        <v>53</v>
      </c>
    </row>
    <row r="129" spans="1:2">
      <c r="A129" s="32">
        <v>46746</v>
      </c>
      <c r="B129" s="33" t="s">
        <v>55</v>
      </c>
    </row>
    <row r="130" spans="1:2">
      <c r="A130" s="32">
        <v>46747</v>
      </c>
      <c r="B130" s="33" t="s">
        <v>56</v>
      </c>
    </row>
    <row r="131" spans="1:2">
      <c r="A131" s="32">
        <v>46753</v>
      </c>
      <c r="B131" s="33" t="s">
        <v>44</v>
      </c>
    </row>
    <row r="132" spans="1:2">
      <c r="A132" s="32">
        <v>46833</v>
      </c>
      <c r="B132" s="33" t="s">
        <v>45</v>
      </c>
    </row>
    <row r="133" spans="1:2">
      <c r="A133" s="32">
        <v>46857</v>
      </c>
      <c r="B133" s="33" t="s">
        <v>46</v>
      </c>
    </row>
    <row r="134" spans="1:2">
      <c r="A134" s="32">
        <v>46860</v>
      </c>
      <c r="B134" s="33" t="s">
        <v>47</v>
      </c>
    </row>
    <row r="135" spans="1:2">
      <c r="A135" s="32">
        <v>46870</v>
      </c>
      <c r="B135" s="33" t="s">
        <v>48</v>
      </c>
    </row>
    <row r="136" spans="1:2">
      <c r="A136" s="32">
        <v>46874</v>
      </c>
      <c r="B136" s="33" t="s">
        <v>49</v>
      </c>
    </row>
    <row r="137" spans="1:2">
      <c r="A137" s="28">
        <v>46920</v>
      </c>
      <c r="B137" s="31" t="s">
        <v>50</v>
      </c>
    </row>
    <row r="138" spans="1:2">
      <c r="A138" s="28">
        <v>46974</v>
      </c>
      <c r="B138" s="31" t="s">
        <v>51</v>
      </c>
    </row>
    <row r="139" spans="1:2">
      <c r="A139" s="28">
        <v>47020</v>
      </c>
      <c r="B139" s="31" t="s">
        <v>52</v>
      </c>
    </row>
    <row r="140" spans="1:2">
      <c r="A140" s="32">
        <v>47103</v>
      </c>
      <c r="B140" s="33" t="s">
        <v>53</v>
      </c>
    </row>
    <row r="141" spans="1:2">
      <c r="A141" s="32">
        <v>47112</v>
      </c>
      <c r="B141" s="33" t="s">
        <v>55</v>
      </c>
    </row>
    <row r="142" spans="1:2">
      <c r="A142" s="32">
        <v>47113</v>
      </c>
      <c r="B142" s="33" t="s">
        <v>56</v>
      </c>
    </row>
    <row r="143" spans="1:2">
      <c r="A143" s="15"/>
      <c r="B143" s="14"/>
    </row>
    <row r="144" spans="1:2">
      <c r="A144" s="15"/>
      <c r="B144" s="14"/>
    </row>
    <row r="145" spans="1:2">
      <c r="A145" s="15"/>
      <c r="B145" s="14"/>
    </row>
    <row r="146" spans="1:2">
      <c r="A146" s="15"/>
      <c r="B146" s="14"/>
    </row>
    <row r="147" spans="1:2">
      <c r="A147" s="15"/>
      <c r="B147" s="14"/>
    </row>
    <row r="148" spans="1:2">
      <c r="A148" s="15"/>
      <c r="B148" s="14"/>
    </row>
    <row r="149" spans="1:2">
      <c r="A149" s="15"/>
      <c r="B149" s="14"/>
    </row>
    <row r="150" spans="1:2">
      <c r="A150" s="15"/>
      <c r="B150" s="14"/>
    </row>
    <row r="151" spans="1:2">
      <c r="A151" s="15"/>
      <c r="B151" s="14"/>
    </row>
    <row r="152" spans="1:2">
      <c r="A152" s="15"/>
      <c r="B152" s="14"/>
    </row>
    <row r="153" spans="1:2">
      <c r="A153" s="13"/>
      <c r="B153" s="12"/>
    </row>
    <row r="154" spans="1:2">
      <c r="A154" s="13"/>
      <c r="B154" s="12"/>
    </row>
    <row r="155" spans="1:2">
      <c r="A155" s="13"/>
      <c r="B155" s="12"/>
    </row>
    <row r="156" spans="1:2">
      <c r="A156" s="15"/>
      <c r="B156" s="14"/>
    </row>
    <row r="157" spans="1:2">
      <c r="A157" s="15"/>
      <c r="B157" s="14"/>
    </row>
    <row r="158" spans="1:2">
      <c r="A158" s="15"/>
      <c r="B158" s="14"/>
    </row>
    <row r="159" spans="1:2">
      <c r="A159" s="15"/>
      <c r="B159" s="14"/>
    </row>
    <row r="160" spans="1:2">
      <c r="A160" s="15"/>
      <c r="B160" s="14"/>
    </row>
    <row r="161" spans="1:2">
      <c r="A161" s="15"/>
      <c r="B161" s="14"/>
    </row>
    <row r="162" spans="1:2">
      <c r="A162" s="15"/>
      <c r="B162" s="14"/>
    </row>
    <row r="163" spans="1:2">
      <c r="A163" s="15"/>
      <c r="B163" s="14"/>
    </row>
    <row r="164" spans="1:2">
      <c r="A164" s="15"/>
      <c r="B164" s="14"/>
    </row>
    <row r="165" spans="1:2">
      <c r="A165" s="15"/>
      <c r="B165" s="14"/>
    </row>
    <row r="166" spans="1:2">
      <c r="A166" s="15"/>
      <c r="B166" s="14"/>
    </row>
    <row r="167" spans="1:2">
      <c r="A167" s="15"/>
      <c r="B167" s="14"/>
    </row>
    <row r="168" spans="1:2">
      <c r="A168" s="15"/>
      <c r="B168" s="14"/>
    </row>
    <row r="169" spans="1:2">
      <c r="A169" s="13"/>
      <c r="B169" s="12"/>
    </row>
    <row r="170" spans="1:2">
      <c r="A170" s="13"/>
      <c r="B170" s="12"/>
    </row>
    <row r="171" spans="1:2">
      <c r="A171" s="13"/>
      <c r="B171" s="12"/>
    </row>
    <row r="172" spans="1:2">
      <c r="A172" s="15"/>
      <c r="B172" s="14"/>
    </row>
    <row r="173" spans="1:2">
      <c r="A173" s="15"/>
      <c r="B173" s="14"/>
    </row>
    <row r="174" spans="1:2">
      <c r="A174" s="15"/>
      <c r="B174" s="14"/>
    </row>
    <row r="175" spans="1:2">
      <c r="A175" s="15"/>
      <c r="B175" s="14"/>
    </row>
    <row r="176" spans="1:2">
      <c r="A176" s="15"/>
      <c r="B176" s="14"/>
    </row>
    <row r="177" spans="1:2">
      <c r="A177" s="15"/>
      <c r="B177" s="14"/>
    </row>
    <row r="178" spans="1:2">
      <c r="A178" s="15"/>
      <c r="B178" s="14"/>
    </row>
    <row r="179" spans="1:2">
      <c r="A179" s="15"/>
      <c r="B179" s="14"/>
    </row>
    <row r="180" spans="1:2">
      <c r="A180" s="15"/>
      <c r="B180" s="14"/>
    </row>
    <row r="181" spans="1:2">
      <c r="A181" s="15"/>
      <c r="B181" s="14"/>
    </row>
    <row r="182" spans="1:2">
      <c r="A182" s="15"/>
      <c r="B182" s="14"/>
    </row>
    <row r="183" spans="1:2">
      <c r="A183" s="15"/>
      <c r="B183" s="14"/>
    </row>
    <row r="184" spans="1:2">
      <c r="A184" s="15"/>
      <c r="B184" s="14"/>
    </row>
    <row r="185" spans="1:2">
      <c r="A185" s="34"/>
      <c r="B185" s="33"/>
    </row>
    <row r="186" spans="1:2">
      <c r="A186" s="34"/>
      <c r="B186" s="33"/>
    </row>
    <row r="187" spans="1:2">
      <c r="A187" s="34"/>
      <c r="B187" s="33"/>
    </row>
    <row r="188" spans="1:2">
      <c r="A188" s="34"/>
      <c r="B188" s="33"/>
    </row>
    <row r="189" spans="1:2">
      <c r="A189" s="34"/>
      <c r="B189" s="33"/>
    </row>
    <row r="190" spans="1:2">
      <c r="A190" s="34"/>
      <c r="B190" s="33"/>
    </row>
    <row r="191" spans="1:2">
      <c r="A191" s="34"/>
      <c r="B191" s="33"/>
    </row>
    <row r="192" spans="1:2">
      <c r="A192" s="34"/>
      <c r="B192" s="33"/>
    </row>
    <row r="193" spans="1:2">
      <c r="A193" s="34"/>
      <c r="B193" s="33"/>
    </row>
    <row r="194" spans="1:2">
      <c r="A194" s="34"/>
      <c r="B194" s="33"/>
    </row>
    <row r="195" spans="1:2">
      <c r="A195" s="34"/>
      <c r="B195" s="33"/>
    </row>
    <row r="196" spans="1:2">
      <c r="A196" s="34"/>
      <c r="B196" s="33"/>
    </row>
    <row r="197" spans="1:2">
      <c r="A197" s="34"/>
      <c r="B197" s="33"/>
    </row>
    <row r="198" spans="1:2">
      <c r="A198" s="34"/>
      <c r="B198" s="33"/>
    </row>
    <row r="199" spans="1:2">
      <c r="A199" s="34"/>
      <c r="B199" s="33"/>
    </row>
    <row r="200" spans="1:2">
      <c r="A200" s="34"/>
      <c r="B200" s="33"/>
    </row>
    <row r="201" spans="1:2">
      <c r="A201" s="34"/>
      <c r="B201" s="33"/>
    </row>
    <row r="202" spans="1:2">
      <c r="A202" s="34"/>
      <c r="B202" s="33"/>
    </row>
    <row r="203" spans="1:2">
      <c r="A203" s="34"/>
      <c r="B203" s="33"/>
    </row>
    <row r="204" spans="1:2">
      <c r="A204" s="34"/>
      <c r="B204" s="33"/>
    </row>
    <row r="205" spans="1:2">
      <c r="A205" s="34"/>
      <c r="B205" s="33"/>
    </row>
    <row r="206" spans="1:2">
      <c r="A206" s="34"/>
      <c r="B206" s="33"/>
    </row>
    <row r="207" spans="1:2">
      <c r="A207" s="34"/>
      <c r="B207" s="33"/>
    </row>
    <row r="208" spans="1:2">
      <c r="A208" s="34"/>
      <c r="B208" s="33"/>
    </row>
    <row r="209" spans="1:2">
      <c r="A209" s="34"/>
      <c r="B209" s="33"/>
    </row>
    <row r="210" spans="1:2">
      <c r="A210" s="34"/>
      <c r="B210" s="33"/>
    </row>
    <row r="211" spans="1:2">
      <c r="A211" s="34"/>
      <c r="B211" s="33"/>
    </row>
    <row r="212" spans="1:2">
      <c r="A212" s="34"/>
      <c r="B212" s="33"/>
    </row>
    <row r="213" spans="1:2">
      <c r="A213" s="34"/>
      <c r="B213" s="33"/>
    </row>
    <row r="214" spans="1:2">
      <c r="A214" s="34"/>
      <c r="B214" s="33"/>
    </row>
    <row r="215" spans="1:2">
      <c r="A215" s="34"/>
      <c r="B215" s="33"/>
    </row>
    <row r="216" spans="1:2">
      <c r="A216" s="34"/>
      <c r="B216" s="33"/>
    </row>
    <row r="217" spans="1:2">
      <c r="A217" s="34"/>
      <c r="B217" s="33"/>
    </row>
    <row r="218" spans="1:2">
      <c r="A218" s="34"/>
      <c r="B218" s="33"/>
    </row>
    <row r="219" spans="1:2">
      <c r="A219" s="34"/>
      <c r="B219" s="33"/>
    </row>
    <row r="220" spans="1:2">
      <c r="A220" s="34"/>
      <c r="B220" s="33"/>
    </row>
    <row r="221" spans="1:2">
      <c r="A221" s="34"/>
      <c r="B221" s="33"/>
    </row>
    <row r="222" spans="1:2">
      <c r="A222" s="34"/>
      <c r="B222" s="33"/>
    </row>
    <row r="223" spans="1:2">
      <c r="A223" s="34"/>
      <c r="B223" s="33"/>
    </row>
    <row r="224" spans="1:2">
      <c r="A224" s="34"/>
      <c r="B224" s="33"/>
    </row>
    <row r="225" spans="1:2">
      <c r="A225" s="34"/>
      <c r="B225" s="33"/>
    </row>
    <row r="226" spans="1:2">
      <c r="A226" s="34"/>
      <c r="B226" s="33"/>
    </row>
    <row r="227" spans="1:2">
      <c r="A227" s="34"/>
      <c r="B227" s="33"/>
    </row>
    <row r="228" spans="1:2">
      <c r="A228" s="34"/>
      <c r="B228" s="33"/>
    </row>
    <row r="229" spans="1:2">
      <c r="A229" s="34"/>
      <c r="B229" s="33"/>
    </row>
    <row r="230" spans="1:2">
      <c r="A230" s="34"/>
      <c r="B230" s="33"/>
    </row>
    <row r="231" spans="1:2">
      <c r="A231" s="34"/>
      <c r="B231" s="33"/>
    </row>
    <row r="232" spans="1:2">
      <c r="A232" s="34"/>
      <c r="B232" s="33"/>
    </row>
    <row r="233" spans="1:2">
      <c r="A233" s="34"/>
      <c r="B233" s="33"/>
    </row>
    <row r="234" spans="1:2">
      <c r="A234" s="34"/>
      <c r="B234" s="33"/>
    </row>
    <row r="235" spans="1:2">
      <c r="A235" s="34"/>
      <c r="B235" s="33"/>
    </row>
    <row r="236" spans="1:2">
      <c r="A236" s="34"/>
      <c r="B236" s="33"/>
    </row>
    <row r="237" spans="1:2">
      <c r="A237" s="34"/>
      <c r="B237" s="33"/>
    </row>
    <row r="238" spans="1:2">
      <c r="A238" s="34"/>
      <c r="B238" s="33"/>
    </row>
    <row r="239" spans="1:2">
      <c r="A239" s="34"/>
      <c r="B239" s="33"/>
    </row>
    <row r="240" spans="1:2">
      <c r="A240" s="34"/>
      <c r="B240" s="33"/>
    </row>
    <row r="241" spans="1:2">
      <c r="A241" s="34"/>
      <c r="B241" s="33"/>
    </row>
    <row r="242" spans="1:2">
      <c r="A242" s="34"/>
      <c r="B242" s="33"/>
    </row>
    <row r="243" spans="1:2">
      <c r="A243" s="34"/>
      <c r="B243" s="33"/>
    </row>
    <row r="244" spans="1:2">
      <c r="A244" s="34"/>
      <c r="B244" s="33"/>
    </row>
    <row r="245" spans="1:2">
      <c r="A245" s="34"/>
      <c r="B245" s="33"/>
    </row>
    <row r="246" spans="1:2">
      <c r="A246" s="34"/>
      <c r="B246" s="33"/>
    </row>
    <row r="247" spans="1:2">
      <c r="A247" s="34"/>
      <c r="B247" s="33"/>
    </row>
    <row r="248" spans="1:2">
      <c r="A248" s="34"/>
      <c r="B248" s="33"/>
    </row>
    <row r="249" spans="1:2">
      <c r="A249" s="34"/>
      <c r="B249" s="33"/>
    </row>
    <row r="250" spans="1:2">
      <c r="A250" s="34"/>
      <c r="B250" s="33"/>
    </row>
    <row r="251" spans="1:2">
      <c r="A251" s="34"/>
      <c r="B251" s="33"/>
    </row>
    <row r="252" spans="1:2">
      <c r="A252" s="34"/>
      <c r="B252" s="33"/>
    </row>
    <row r="253" spans="1:2">
      <c r="A253" s="34"/>
      <c r="B253" s="33"/>
    </row>
    <row r="254" spans="1:2">
      <c r="A254" s="34"/>
      <c r="B254" s="33"/>
    </row>
    <row r="255" spans="1:2">
      <c r="A255" s="34"/>
      <c r="B255" s="33"/>
    </row>
    <row r="256" spans="1:2">
      <c r="A256" s="34"/>
      <c r="B256" s="33"/>
    </row>
    <row r="257" spans="1:2">
      <c r="A257" s="34"/>
      <c r="B257" s="33"/>
    </row>
    <row r="258" spans="1:2">
      <c r="A258" s="34"/>
      <c r="B258" s="33"/>
    </row>
    <row r="259" spans="1:2">
      <c r="A259" s="34"/>
      <c r="B259" s="33"/>
    </row>
    <row r="260" spans="1:2">
      <c r="A260" s="34"/>
      <c r="B260" s="33"/>
    </row>
    <row r="261" spans="1:2">
      <c r="A261" s="34"/>
      <c r="B261" s="33"/>
    </row>
    <row r="262" spans="1:2">
      <c r="A262" s="34"/>
      <c r="B262" s="33"/>
    </row>
    <row r="263" spans="1:2">
      <c r="A263" s="34"/>
      <c r="B263" s="33"/>
    </row>
    <row r="264" spans="1:2">
      <c r="A264" s="34"/>
      <c r="B264" s="33"/>
    </row>
    <row r="265" spans="1:2">
      <c r="A265" s="34"/>
      <c r="B265" s="33"/>
    </row>
    <row r="266" spans="1:2">
      <c r="A266" s="34"/>
      <c r="B266" s="33"/>
    </row>
    <row r="267" spans="1:2">
      <c r="A267" s="34"/>
      <c r="B267" s="33"/>
    </row>
    <row r="268" spans="1:2">
      <c r="A268" s="34"/>
      <c r="B268" s="33"/>
    </row>
    <row r="269" spans="1:2">
      <c r="A269" s="34"/>
      <c r="B269" s="33"/>
    </row>
    <row r="270" spans="1:2">
      <c r="A270" s="34"/>
      <c r="B270" s="33"/>
    </row>
    <row r="271" spans="1:2">
      <c r="A271" s="34"/>
      <c r="B271" s="33"/>
    </row>
    <row r="272" spans="1:2">
      <c r="A272" s="34"/>
      <c r="B272" s="33"/>
    </row>
    <row r="273" spans="1:2">
      <c r="A273" s="34"/>
      <c r="B273" s="33"/>
    </row>
    <row r="274" spans="1:2">
      <c r="A274" s="34"/>
      <c r="B274" s="33"/>
    </row>
    <row r="275" spans="1:2">
      <c r="A275" s="34"/>
      <c r="B275" s="33"/>
    </row>
    <row r="276" spans="1:2">
      <c r="A276" s="34"/>
      <c r="B276" s="33"/>
    </row>
    <row r="277" spans="1:2">
      <c r="A277" s="34"/>
      <c r="B277" s="33"/>
    </row>
    <row r="278" spans="1:2">
      <c r="A278" s="34"/>
      <c r="B278" s="33"/>
    </row>
    <row r="279" spans="1:2">
      <c r="A279" s="34"/>
      <c r="B279" s="33"/>
    </row>
    <row r="280" spans="1:2">
      <c r="A280" s="34"/>
      <c r="B280" s="33"/>
    </row>
    <row r="281" spans="1:2">
      <c r="A281" s="34"/>
      <c r="B281" s="33"/>
    </row>
    <row r="282" spans="1:2">
      <c r="A282" s="34"/>
      <c r="B282" s="33"/>
    </row>
    <row r="283" spans="1:2">
      <c r="A283" s="34"/>
      <c r="B283" s="33"/>
    </row>
    <row r="284" spans="1:2">
      <c r="A284" s="34"/>
      <c r="B284" s="33"/>
    </row>
    <row r="285" spans="1:2">
      <c r="A285" s="34"/>
      <c r="B285" s="33"/>
    </row>
    <row r="286" spans="1:2">
      <c r="A286" s="34"/>
      <c r="B286" s="33"/>
    </row>
    <row r="287" spans="1:2">
      <c r="A287" s="34"/>
      <c r="B287" s="33"/>
    </row>
    <row r="288" spans="1:2">
      <c r="A288" s="34"/>
      <c r="B288" s="33"/>
    </row>
    <row r="289" spans="1:2">
      <c r="A289" s="34"/>
      <c r="B289" s="33"/>
    </row>
    <row r="290" spans="1:2">
      <c r="A290" s="34"/>
      <c r="B290" s="33"/>
    </row>
    <row r="291" spans="1:2">
      <c r="A291" s="34"/>
      <c r="B291" s="33"/>
    </row>
    <row r="292" spans="1:2">
      <c r="A292" s="34"/>
      <c r="B292" s="33"/>
    </row>
    <row r="293" spans="1:2">
      <c r="A293" s="34"/>
      <c r="B293" s="33"/>
    </row>
    <row r="294" spans="1:2">
      <c r="A294" s="34"/>
      <c r="B294" s="33"/>
    </row>
    <row r="295" spans="1:2">
      <c r="A295" s="34"/>
      <c r="B295" s="33"/>
    </row>
    <row r="296" spans="1:2">
      <c r="A296" s="34"/>
      <c r="B296" s="33"/>
    </row>
    <row r="297" spans="1:2">
      <c r="A297" s="34"/>
      <c r="B297" s="33"/>
    </row>
    <row r="298" spans="1:2">
      <c r="A298" s="34"/>
      <c r="B298" s="33"/>
    </row>
    <row r="299" spans="1:2">
      <c r="A299" s="34"/>
      <c r="B299" s="33"/>
    </row>
    <row r="300" spans="1:2">
      <c r="A300" s="34"/>
      <c r="B300" s="33"/>
    </row>
    <row r="301" spans="1:2">
      <c r="A301" s="34"/>
      <c r="B301" s="33"/>
    </row>
    <row r="302" spans="1:2">
      <c r="A302" s="34"/>
      <c r="B302" s="33"/>
    </row>
    <row r="303" spans="1:2">
      <c r="A303" s="34"/>
      <c r="B303" s="33"/>
    </row>
    <row r="304" spans="1:2">
      <c r="A304" s="34"/>
      <c r="B304" s="33"/>
    </row>
    <row r="305" spans="1:2">
      <c r="A305" s="34"/>
      <c r="B305" s="33"/>
    </row>
    <row r="306" spans="1:2">
      <c r="A306" s="34"/>
      <c r="B306" s="33"/>
    </row>
    <row r="307" spans="1:2">
      <c r="A307" s="34"/>
      <c r="B307" s="33"/>
    </row>
    <row r="308" spans="1:2">
      <c r="A308" s="34"/>
      <c r="B308" s="33"/>
    </row>
    <row r="309" spans="1:2">
      <c r="A309" s="34"/>
      <c r="B309" s="33"/>
    </row>
    <row r="310" spans="1:2">
      <c r="A310" s="34"/>
      <c r="B310" s="33"/>
    </row>
    <row r="311" spans="1:2">
      <c r="A311" s="34"/>
      <c r="B311" s="33"/>
    </row>
    <row r="312" spans="1:2">
      <c r="A312" s="34"/>
      <c r="B312" s="33"/>
    </row>
    <row r="313" spans="1:2">
      <c r="A313" s="34"/>
      <c r="B313" s="33"/>
    </row>
    <row r="314" spans="1:2">
      <c r="A314" s="34"/>
      <c r="B314" s="33"/>
    </row>
    <row r="315" spans="1:2">
      <c r="A315" s="34"/>
      <c r="B315" s="33"/>
    </row>
    <row r="316" spans="1:2">
      <c r="A316" s="34"/>
      <c r="B316" s="33"/>
    </row>
    <row r="317" spans="1:2">
      <c r="A317" s="34"/>
      <c r="B317" s="33"/>
    </row>
    <row r="318" spans="1:2">
      <c r="A318" s="34"/>
      <c r="B318" s="33"/>
    </row>
    <row r="319" spans="1:2">
      <c r="A319" s="34"/>
      <c r="B319" s="33"/>
    </row>
    <row r="320" spans="1:2">
      <c r="A320" s="34"/>
      <c r="B320" s="33"/>
    </row>
    <row r="321" spans="1:2">
      <c r="A321" s="34"/>
      <c r="B321" s="33"/>
    </row>
    <row r="322" spans="1:2">
      <c r="A322" s="34"/>
      <c r="B322" s="33"/>
    </row>
    <row r="323" spans="1:2">
      <c r="A323" s="34"/>
      <c r="B323" s="33"/>
    </row>
    <row r="324" spans="1:2">
      <c r="A324" s="34"/>
      <c r="B324" s="33"/>
    </row>
    <row r="325" spans="1:2">
      <c r="A325" s="34"/>
      <c r="B325" s="33"/>
    </row>
    <row r="326" spans="1:2">
      <c r="A326" s="34"/>
      <c r="B326" s="33"/>
    </row>
    <row r="327" spans="1:2">
      <c r="A327" s="34"/>
      <c r="B327" s="33"/>
    </row>
    <row r="328" spans="1:2">
      <c r="A328" s="34"/>
      <c r="B328" s="33"/>
    </row>
    <row r="329" spans="1:2">
      <c r="A329" s="34"/>
      <c r="B329" s="33"/>
    </row>
    <row r="330" spans="1:2">
      <c r="A330" s="34"/>
      <c r="B330" s="33"/>
    </row>
    <row r="331" spans="1:2">
      <c r="A331" s="34"/>
      <c r="B331" s="33"/>
    </row>
    <row r="332" spans="1:2">
      <c r="A332" s="34"/>
      <c r="B332" s="33"/>
    </row>
    <row r="333" spans="1:2">
      <c r="A333" s="34"/>
      <c r="B333" s="33"/>
    </row>
    <row r="334" spans="1:2">
      <c r="A334" s="34"/>
      <c r="B334" s="33"/>
    </row>
    <row r="335" spans="1:2">
      <c r="A335" s="34"/>
      <c r="B335" s="33"/>
    </row>
    <row r="336" spans="1:2">
      <c r="A336" s="34"/>
      <c r="B336" s="33"/>
    </row>
    <row r="337" spans="1:2">
      <c r="A337" s="34"/>
      <c r="B337" s="33"/>
    </row>
    <row r="338" spans="1:2">
      <c r="A338" s="34"/>
      <c r="B338" s="33"/>
    </row>
    <row r="339" spans="1:2">
      <c r="A339" s="34"/>
      <c r="B339" s="33"/>
    </row>
    <row r="340" spans="1:2">
      <c r="A340" s="34"/>
      <c r="B340" s="33"/>
    </row>
    <row r="341" spans="1:2">
      <c r="A341" s="34"/>
      <c r="B341" s="33"/>
    </row>
    <row r="342" spans="1:2">
      <c r="A342" s="34"/>
      <c r="B342" s="33"/>
    </row>
    <row r="343" spans="1:2">
      <c r="A343" s="34"/>
      <c r="B343" s="33"/>
    </row>
    <row r="344" spans="1:2">
      <c r="A344" s="34"/>
      <c r="B344" s="33"/>
    </row>
    <row r="345" spans="1:2">
      <c r="A345" s="34"/>
      <c r="B345" s="33"/>
    </row>
    <row r="346" spans="1:2">
      <c r="A346" s="34"/>
      <c r="B346" s="33"/>
    </row>
    <row r="347" spans="1:2">
      <c r="A347" s="34"/>
      <c r="B347" s="33"/>
    </row>
    <row r="348" spans="1:2">
      <c r="A348" s="34"/>
      <c r="B348" s="33"/>
    </row>
    <row r="349" spans="1:2">
      <c r="A349" s="34"/>
      <c r="B349" s="33"/>
    </row>
    <row r="350" spans="1:2">
      <c r="A350" s="34"/>
      <c r="B350" s="33"/>
    </row>
    <row r="351" spans="1:2">
      <c r="A351" s="34"/>
      <c r="B351" s="33"/>
    </row>
    <row r="352" spans="1:2">
      <c r="A352" s="34"/>
      <c r="B352" s="33"/>
    </row>
    <row r="353" spans="1:2">
      <c r="A353" s="34"/>
      <c r="B353" s="33"/>
    </row>
    <row r="354" spans="1:2">
      <c r="A354" s="34"/>
      <c r="B354" s="33"/>
    </row>
    <row r="355" spans="1:2">
      <c r="A355" s="34"/>
      <c r="B355" s="33"/>
    </row>
    <row r="356" spans="1:2">
      <c r="A356" s="34"/>
      <c r="B356" s="33"/>
    </row>
    <row r="357" spans="1:2">
      <c r="A357" s="34"/>
      <c r="B357" s="33"/>
    </row>
    <row r="358" spans="1:2">
      <c r="A358" s="34"/>
      <c r="B358" s="33"/>
    </row>
    <row r="359" spans="1:2">
      <c r="A359" s="34"/>
      <c r="B359" s="33"/>
    </row>
    <row r="360" spans="1:2">
      <c r="A360" s="34"/>
      <c r="B360" s="33"/>
    </row>
    <row r="361" spans="1:2">
      <c r="A361" s="34"/>
      <c r="B361" s="33"/>
    </row>
    <row r="362" spans="1:2">
      <c r="A362" s="34"/>
      <c r="B362" s="33"/>
    </row>
    <row r="363" spans="1:2">
      <c r="A363" s="34"/>
      <c r="B363" s="33"/>
    </row>
    <row r="364" spans="1:2">
      <c r="A364" s="34"/>
      <c r="B364" s="33"/>
    </row>
    <row r="365" spans="1:2">
      <c r="A365" s="34"/>
      <c r="B365" s="33"/>
    </row>
    <row r="366" spans="1:2">
      <c r="A366" s="34"/>
      <c r="B366" s="33"/>
    </row>
    <row r="367" spans="1:2">
      <c r="A367" s="34"/>
      <c r="B367" s="33"/>
    </row>
    <row r="368" spans="1:2">
      <c r="A368" s="34"/>
      <c r="B368" s="33"/>
    </row>
    <row r="369" spans="1:2">
      <c r="A369" s="34"/>
      <c r="B369" s="33"/>
    </row>
    <row r="370" spans="1:2">
      <c r="A370" s="34"/>
      <c r="B370" s="33"/>
    </row>
    <row r="371" spans="1:2">
      <c r="A371" s="34"/>
      <c r="B371" s="33"/>
    </row>
    <row r="372" spans="1:2">
      <c r="A372" s="34"/>
      <c r="B372" s="33"/>
    </row>
    <row r="373" spans="1:2">
      <c r="A373" s="34"/>
      <c r="B373" s="33"/>
    </row>
    <row r="374" spans="1:2">
      <c r="A374" s="34"/>
      <c r="B374" s="33"/>
    </row>
    <row r="375" spans="1:2">
      <c r="A375" s="34"/>
      <c r="B375" s="33"/>
    </row>
    <row r="376" spans="1:2">
      <c r="A376" s="34"/>
      <c r="B376" s="33"/>
    </row>
    <row r="377" spans="1:2">
      <c r="A377" s="34"/>
      <c r="B377" s="33"/>
    </row>
    <row r="378" spans="1:2">
      <c r="A378" s="34"/>
      <c r="B378" s="33"/>
    </row>
    <row r="379" spans="1:2">
      <c r="A379" s="34"/>
      <c r="B379" s="33"/>
    </row>
    <row r="380" spans="1:2">
      <c r="A380" s="34"/>
      <c r="B380" s="33"/>
    </row>
    <row r="381" spans="1:2">
      <c r="A381" s="34"/>
      <c r="B381" s="33"/>
    </row>
    <row r="382" spans="1:2">
      <c r="A382" s="34"/>
      <c r="B382" s="33"/>
    </row>
    <row r="383" spans="1:2">
      <c r="A383" s="34"/>
      <c r="B383" s="33"/>
    </row>
    <row r="384" spans="1:2">
      <c r="A384" s="34"/>
      <c r="B384" s="33"/>
    </row>
    <row r="385" spans="1:2">
      <c r="A385" s="34"/>
      <c r="B385" s="33"/>
    </row>
    <row r="386" spans="1:2">
      <c r="A386" s="34"/>
      <c r="B386" s="33"/>
    </row>
    <row r="387" spans="1:2">
      <c r="A387" s="34"/>
      <c r="B387" s="33"/>
    </row>
    <row r="388" spans="1:2">
      <c r="A388" s="34"/>
      <c r="B388" s="33"/>
    </row>
    <row r="389" spans="1:2">
      <c r="A389" s="34"/>
      <c r="B389" s="33"/>
    </row>
    <row r="390" spans="1:2">
      <c r="A390" s="34"/>
      <c r="B390" s="33"/>
    </row>
    <row r="391" spans="1:2">
      <c r="A391" s="34"/>
      <c r="B391" s="33"/>
    </row>
    <row r="392" spans="1:2">
      <c r="A392" s="34"/>
      <c r="B392" s="33"/>
    </row>
    <row r="393" spans="1:2">
      <c r="A393" s="34"/>
      <c r="B393" s="33"/>
    </row>
    <row r="394" spans="1:2">
      <c r="A394" s="34"/>
      <c r="B394" s="33"/>
    </row>
    <row r="395" spans="1:2">
      <c r="A395" s="34"/>
      <c r="B395" s="33"/>
    </row>
    <row r="396" spans="1:2">
      <c r="A396" s="34"/>
      <c r="B396" s="33"/>
    </row>
    <row r="397" spans="1:2">
      <c r="A397" s="34"/>
      <c r="B397" s="33"/>
    </row>
    <row r="398" spans="1:2">
      <c r="A398" s="34"/>
      <c r="B398" s="33"/>
    </row>
    <row r="399" spans="1:2">
      <c r="A399" s="34"/>
      <c r="B399" s="33"/>
    </row>
    <row r="400" spans="1:2">
      <c r="A400" s="34"/>
      <c r="B400" s="33"/>
    </row>
    <row r="401" spans="1:2">
      <c r="A401" s="34"/>
      <c r="B401" s="33"/>
    </row>
    <row r="402" spans="1:2">
      <c r="A402" s="34"/>
      <c r="B402" s="33"/>
    </row>
    <row r="403" spans="1:2">
      <c r="A403" s="34"/>
      <c r="B403" s="33"/>
    </row>
    <row r="404" spans="1:2">
      <c r="A404" s="34"/>
      <c r="B404" s="33"/>
    </row>
    <row r="405" spans="1:2">
      <c r="A405" s="34"/>
      <c r="B405" s="33"/>
    </row>
    <row r="406" spans="1:2">
      <c r="A406" s="34"/>
      <c r="B406" s="33"/>
    </row>
    <row r="407" spans="1:2">
      <c r="A407" s="34"/>
      <c r="B407" s="33"/>
    </row>
    <row r="408" spans="1:2">
      <c r="A408" s="34"/>
      <c r="B408" s="33"/>
    </row>
    <row r="409" spans="1:2">
      <c r="A409" s="34"/>
      <c r="B409" s="33"/>
    </row>
    <row r="410" spans="1:2">
      <c r="A410" s="34"/>
      <c r="B410" s="33"/>
    </row>
    <row r="411" spans="1:2">
      <c r="A411" s="34"/>
      <c r="B411" s="33"/>
    </row>
    <row r="412" spans="1:2">
      <c r="A412" s="34"/>
      <c r="B412" s="33"/>
    </row>
    <row r="413" spans="1:2">
      <c r="A413" s="34"/>
      <c r="B413" s="33"/>
    </row>
    <row r="414" spans="1:2">
      <c r="A414" s="34"/>
      <c r="B414" s="33"/>
    </row>
    <row r="415" spans="1:2">
      <c r="A415" s="34"/>
      <c r="B415" s="33"/>
    </row>
    <row r="416" spans="1:2">
      <c r="A416" s="34"/>
      <c r="B416" s="33"/>
    </row>
    <row r="417" spans="1:2">
      <c r="A417" s="34"/>
      <c r="B417" s="33"/>
    </row>
    <row r="418" spans="1:2">
      <c r="A418" s="34"/>
      <c r="B418" s="33"/>
    </row>
    <row r="419" spans="1:2">
      <c r="A419" s="34"/>
      <c r="B419" s="33"/>
    </row>
    <row r="420" spans="1:2">
      <c r="A420" s="34"/>
      <c r="B420" s="33"/>
    </row>
    <row r="421" spans="1:2">
      <c r="A421" s="34"/>
      <c r="B421" s="33"/>
    </row>
    <row r="422" spans="1:2">
      <c r="A422" s="34"/>
      <c r="B422" s="33"/>
    </row>
    <row r="423" spans="1:2">
      <c r="A423" s="34"/>
      <c r="B423" s="33"/>
    </row>
    <row r="424" spans="1:2">
      <c r="A424" s="34"/>
      <c r="B424" s="33"/>
    </row>
    <row r="425" spans="1:2">
      <c r="A425" s="34"/>
      <c r="B425" s="33"/>
    </row>
    <row r="426" spans="1:2">
      <c r="A426" s="34"/>
      <c r="B426" s="33"/>
    </row>
    <row r="427" spans="1:2">
      <c r="A427" s="34"/>
      <c r="B427" s="33"/>
    </row>
    <row r="428" spans="1:2">
      <c r="A428" s="34"/>
      <c r="B428" s="33"/>
    </row>
    <row r="429" spans="1:2">
      <c r="A429" s="34"/>
      <c r="B429" s="33"/>
    </row>
    <row r="430" spans="1:2">
      <c r="A430" s="34"/>
      <c r="B430" s="33"/>
    </row>
    <row r="431" spans="1:2">
      <c r="A431" s="34"/>
      <c r="B431" s="33"/>
    </row>
    <row r="432" spans="1:2">
      <c r="A432" s="34"/>
      <c r="B432" s="33"/>
    </row>
    <row r="433" spans="1:2">
      <c r="A433" s="34"/>
      <c r="B433" s="33"/>
    </row>
    <row r="434" spans="1:2">
      <c r="A434" s="34"/>
      <c r="B434" s="33"/>
    </row>
    <row r="435" spans="1:2">
      <c r="A435" s="34"/>
      <c r="B435" s="33"/>
    </row>
    <row r="436" spans="1:2">
      <c r="A436" s="34"/>
      <c r="B436" s="33"/>
    </row>
    <row r="437" spans="1:2">
      <c r="A437" s="34"/>
      <c r="B437" s="33"/>
    </row>
    <row r="438" spans="1:2">
      <c r="A438" s="34"/>
      <c r="B438" s="33"/>
    </row>
    <row r="439" spans="1:2">
      <c r="A439" s="34"/>
      <c r="B439" s="33"/>
    </row>
    <row r="440" spans="1:2">
      <c r="A440" s="34"/>
      <c r="B440" s="33"/>
    </row>
    <row r="441" spans="1:2">
      <c r="A441" s="34"/>
      <c r="B441" s="33"/>
    </row>
    <row r="442" spans="1:2">
      <c r="A442" s="34"/>
      <c r="B442" s="33"/>
    </row>
    <row r="443" spans="1:2">
      <c r="A443" s="34"/>
      <c r="B443" s="33"/>
    </row>
    <row r="444" spans="1:2">
      <c r="A444" s="34"/>
      <c r="B444" s="33"/>
    </row>
    <row r="445" spans="1:2">
      <c r="A445" s="34"/>
      <c r="B445" s="33"/>
    </row>
    <row r="446" spans="1:2">
      <c r="A446" s="34"/>
      <c r="B446" s="33"/>
    </row>
    <row r="447" spans="1:2">
      <c r="A447" s="34"/>
      <c r="B447" s="33"/>
    </row>
    <row r="448" spans="1:2">
      <c r="A448" s="34"/>
      <c r="B448" s="33"/>
    </row>
    <row r="449" spans="1:2">
      <c r="A449" s="34"/>
      <c r="B449" s="33"/>
    </row>
    <row r="450" spans="1:2">
      <c r="A450" s="34"/>
      <c r="B450" s="33"/>
    </row>
    <row r="451" spans="1:2">
      <c r="A451" s="34"/>
      <c r="B451" s="33"/>
    </row>
    <row r="452" spans="1:2">
      <c r="A452" s="34"/>
      <c r="B452" s="33"/>
    </row>
    <row r="453" spans="1:2">
      <c r="A453" s="34"/>
      <c r="B453" s="33"/>
    </row>
    <row r="454" spans="1:2">
      <c r="A454" s="34"/>
      <c r="B454" s="33"/>
    </row>
    <row r="455" spans="1:2">
      <c r="A455" s="34"/>
      <c r="B455" s="33"/>
    </row>
    <row r="456" spans="1:2">
      <c r="A456" s="34"/>
      <c r="B456" s="33"/>
    </row>
    <row r="457" spans="1:2">
      <c r="A457" s="34"/>
      <c r="B457" s="33"/>
    </row>
    <row r="458" spans="1:2">
      <c r="A458" s="34"/>
      <c r="B458" s="33"/>
    </row>
    <row r="459" spans="1:2">
      <c r="A459" s="34"/>
      <c r="B459" s="33"/>
    </row>
    <row r="460" spans="1:2">
      <c r="A460" s="34"/>
      <c r="B460" s="33"/>
    </row>
    <row r="461" spans="1:2">
      <c r="A461" s="34"/>
      <c r="B461" s="33"/>
    </row>
    <row r="462" spans="1:2">
      <c r="A462" s="34"/>
      <c r="B462" s="33"/>
    </row>
    <row r="463" spans="1:2">
      <c r="A463" s="34"/>
      <c r="B463" s="33"/>
    </row>
    <row r="464" spans="1:2">
      <c r="A464" s="34"/>
      <c r="B464" s="33"/>
    </row>
    <row r="465" spans="1:2">
      <c r="A465" s="34"/>
      <c r="B465" s="33"/>
    </row>
    <row r="466" spans="1:2">
      <c r="A466" s="34"/>
      <c r="B466" s="33"/>
    </row>
    <row r="467" spans="1:2">
      <c r="A467" s="34"/>
      <c r="B467" s="33"/>
    </row>
    <row r="468" spans="1:2">
      <c r="A468" s="34"/>
      <c r="B468" s="33"/>
    </row>
    <row r="469" spans="1:2">
      <c r="A469" s="34"/>
      <c r="B469" s="33"/>
    </row>
    <row r="470" spans="1:2">
      <c r="A470" s="34"/>
      <c r="B470" s="33"/>
    </row>
    <row r="471" spans="1:2">
      <c r="A471" s="34"/>
      <c r="B471" s="33"/>
    </row>
    <row r="472" spans="1:2">
      <c r="A472" s="34"/>
      <c r="B472" s="33"/>
    </row>
    <row r="473" spans="1:2">
      <c r="A473" s="34"/>
      <c r="B473" s="33"/>
    </row>
    <row r="474" spans="1:2">
      <c r="A474" s="34"/>
      <c r="B474" s="33"/>
    </row>
    <row r="475" spans="1:2">
      <c r="A475" s="34"/>
      <c r="B475" s="33"/>
    </row>
    <row r="476" spans="1:2">
      <c r="A476" s="34"/>
      <c r="B476" s="33"/>
    </row>
    <row r="477" spans="1:2">
      <c r="A477" s="34"/>
      <c r="B477" s="33"/>
    </row>
    <row r="478" spans="1:2">
      <c r="A478" s="34"/>
      <c r="B478" s="33"/>
    </row>
    <row r="479" spans="1:2">
      <c r="A479" s="34"/>
      <c r="B479" s="33"/>
    </row>
    <row r="480" spans="1:2">
      <c r="A480" s="34"/>
      <c r="B480" s="33"/>
    </row>
    <row r="481" spans="1:2">
      <c r="A481" s="34"/>
      <c r="B481" s="33"/>
    </row>
    <row r="482" spans="1:2">
      <c r="A482" s="34"/>
      <c r="B482" s="33"/>
    </row>
    <row r="483" spans="1:2">
      <c r="A483" s="34"/>
      <c r="B483" s="33"/>
    </row>
    <row r="484" spans="1:2">
      <c r="A484" s="34"/>
      <c r="B484" s="33"/>
    </row>
    <row r="485" spans="1:2">
      <c r="A485" s="34"/>
      <c r="B485" s="33"/>
    </row>
    <row r="486" spans="1:2">
      <c r="A486" s="34"/>
      <c r="B486" s="33"/>
    </row>
    <row r="487" spans="1:2">
      <c r="A487" s="34"/>
      <c r="B487" s="33"/>
    </row>
    <row r="488" spans="1:2">
      <c r="A488" s="34"/>
      <c r="B488" s="33"/>
    </row>
    <row r="489" spans="1:2">
      <c r="A489" s="34"/>
      <c r="B489" s="33"/>
    </row>
    <row r="490" spans="1:2">
      <c r="A490" s="34"/>
      <c r="B490" s="33"/>
    </row>
    <row r="491" spans="1:2">
      <c r="A491" s="34"/>
      <c r="B491" s="33"/>
    </row>
    <row r="492" spans="1:2">
      <c r="A492" s="34"/>
      <c r="B492" s="33"/>
    </row>
    <row r="493" spans="1:2">
      <c r="A493" s="34"/>
      <c r="B493" s="33"/>
    </row>
    <row r="494" spans="1:2">
      <c r="A494" s="34"/>
      <c r="B494" s="33"/>
    </row>
    <row r="495" spans="1:2">
      <c r="A495" s="34"/>
      <c r="B495" s="33"/>
    </row>
    <row r="496" spans="1:2">
      <c r="A496" s="34"/>
      <c r="B496" s="33"/>
    </row>
    <row r="497" spans="1:2">
      <c r="A497" s="34"/>
      <c r="B497" s="33"/>
    </row>
    <row r="498" spans="1:2">
      <c r="A498" s="34"/>
      <c r="B498" s="33"/>
    </row>
    <row r="499" spans="1:2">
      <c r="A499" s="34"/>
      <c r="B499" s="33"/>
    </row>
    <row r="500" spans="1:2">
      <c r="A500" s="34"/>
      <c r="B500" s="33"/>
    </row>
  </sheetData>
  <sheetProtection sheet="1" selectLockedCells="1"/>
  <conditionalFormatting sqref="A2:B142">
    <cfRule type="expression" dxfId="24" priority="1">
      <formula>$B2="New Year's Day"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DE0E-5197-4C58-9C98-8C564840957F}">
  <sheetPr>
    <tabColor rgb="FFFAA0DC"/>
  </sheetPr>
  <dimension ref="A1:B200"/>
  <sheetViews>
    <sheetView workbookViewId="0">
      <pane ySplit="1" topLeftCell="A2" activePane="bottomLeft" state="frozen"/>
      <selection pane="bottomLeft" activeCell="A48" sqref="A48"/>
    </sheetView>
  </sheetViews>
  <sheetFormatPr defaultColWidth="9.140625" defaultRowHeight="14.45"/>
  <cols>
    <col min="1" max="1" width="11.5703125" style="29" bestFit="1" customWidth="1"/>
    <col min="2" max="2" width="22.28515625" style="25" bestFit="1" customWidth="1"/>
    <col min="3" max="16384" width="9.140625" style="25"/>
  </cols>
  <sheetData>
    <row r="1" spans="1:2" s="27" customFormat="1">
      <c r="A1" s="22" t="s">
        <v>42</v>
      </c>
      <c r="B1" s="23" t="s">
        <v>57</v>
      </c>
    </row>
    <row r="2" spans="1:2">
      <c r="A2" s="28">
        <v>43115</v>
      </c>
      <c r="B2" s="25" t="s">
        <v>58</v>
      </c>
    </row>
    <row r="3" spans="1:2">
      <c r="A3" s="28">
        <v>43145</v>
      </c>
      <c r="B3" s="25" t="s">
        <v>59</v>
      </c>
    </row>
    <row r="4" spans="1:2">
      <c r="A4" s="28">
        <v>43189</v>
      </c>
      <c r="B4" s="25" t="s">
        <v>60</v>
      </c>
    </row>
    <row r="5" spans="1:2">
      <c r="A5" s="28">
        <v>43192</v>
      </c>
      <c r="B5" s="25" t="s">
        <v>61</v>
      </c>
    </row>
    <row r="6" spans="1:2">
      <c r="A6" s="28">
        <v>43233</v>
      </c>
      <c r="B6" s="25" t="s">
        <v>62</v>
      </c>
    </row>
    <row r="7" spans="1:2">
      <c r="A7" s="28">
        <v>43268</v>
      </c>
      <c r="B7" s="25" t="s">
        <v>63</v>
      </c>
    </row>
    <row r="8" spans="1:2">
      <c r="A8" s="28">
        <v>43290</v>
      </c>
      <c r="B8" s="25" t="s">
        <v>64</v>
      </c>
    </row>
    <row r="9" spans="1:2">
      <c r="A9" s="28">
        <v>43344</v>
      </c>
      <c r="B9" s="25" t="s">
        <v>65</v>
      </c>
    </row>
    <row r="10" spans="1:2">
      <c r="A10" s="28">
        <v>43374</v>
      </c>
      <c r="B10" s="25" t="s">
        <v>66</v>
      </c>
    </row>
    <row r="11" spans="1:2">
      <c r="A11" s="28">
        <v>43404</v>
      </c>
      <c r="B11" s="25" t="s">
        <v>67</v>
      </c>
    </row>
    <row r="12" spans="1:2">
      <c r="A12" s="28">
        <v>43427</v>
      </c>
      <c r="B12" s="25" t="s">
        <v>68</v>
      </c>
    </row>
    <row r="13" spans="1:2">
      <c r="A13" s="28">
        <v>43430</v>
      </c>
      <c r="B13" s="25" t="s">
        <v>69</v>
      </c>
    </row>
    <row r="14" spans="1:2">
      <c r="A14" s="28">
        <v>43435</v>
      </c>
      <c r="B14" s="25" t="s">
        <v>70</v>
      </c>
    </row>
    <row r="15" spans="1:2">
      <c r="A15" s="28">
        <v>43449</v>
      </c>
      <c r="B15" s="25" t="s">
        <v>71</v>
      </c>
    </row>
    <row r="16" spans="1:2">
      <c r="A16" s="28">
        <v>43465</v>
      </c>
      <c r="B16" s="25" t="s">
        <v>72</v>
      </c>
    </row>
    <row r="17" spans="1:2">
      <c r="A17" s="28">
        <v>43480</v>
      </c>
      <c r="B17" s="25" t="s">
        <v>58</v>
      </c>
    </row>
    <row r="18" spans="1:2">
      <c r="A18" s="28">
        <v>43510</v>
      </c>
      <c r="B18" s="25" t="s">
        <v>59</v>
      </c>
    </row>
    <row r="19" spans="1:2">
      <c r="A19" s="28">
        <v>43574</v>
      </c>
      <c r="B19" s="25" t="s">
        <v>60</v>
      </c>
    </row>
    <row r="20" spans="1:2">
      <c r="A20" s="28">
        <v>43577</v>
      </c>
      <c r="B20" s="25" t="s">
        <v>61</v>
      </c>
    </row>
    <row r="21" spans="1:2">
      <c r="A21" s="28">
        <v>43597</v>
      </c>
      <c r="B21" s="25" t="s">
        <v>62</v>
      </c>
    </row>
    <row r="22" spans="1:2">
      <c r="A22" s="28">
        <v>43632</v>
      </c>
      <c r="B22" s="25" t="s">
        <v>63</v>
      </c>
    </row>
    <row r="23" spans="1:2">
      <c r="A23" s="28">
        <v>43654</v>
      </c>
      <c r="B23" s="25" t="s">
        <v>64</v>
      </c>
    </row>
    <row r="24" spans="1:2">
      <c r="A24" s="28">
        <v>43709</v>
      </c>
      <c r="B24" s="25" t="s">
        <v>65</v>
      </c>
    </row>
    <row r="25" spans="1:2">
      <c r="A25" s="28">
        <v>43739</v>
      </c>
      <c r="B25" s="25" t="s">
        <v>66</v>
      </c>
    </row>
    <row r="26" spans="1:2">
      <c r="A26" s="28">
        <v>43769</v>
      </c>
      <c r="B26" s="25" t="s">
        <v>67</v>
      </c>
    </row>
    <row r="27" spans="1:2">
      <c r="A27" s="28">
        <v>43798</v>
      </c>
      <c r="B27" s="25" t="s">
        <v>68</v>
      </c>
    </row>
    <row r="28" spans="1:2">
      <c r="A28" s="28">
        <v>43801</v>
      </c>
      <c r="B28" s="25" t="s">
        <v>69</v>
      </c>
    </row>
    <row r="29" spans="1:2">
      <c r="A29" s="28">
        <v>43800</v>
      </c>
      <c r="B29" s="25" t="s">
        <v>70</v>
      </c>
    </row>
    <row r="30" spans="1:2">
      <c r="A30" s="28">
        <v>43814</v>
      </c>
      <c r="B30" s="25" t="s">
        <v>71</v>
      </c>
    </row>
    <row r="31" spans="1:2">
      <c r="A31" s="28">
        <v>43830</v>
      </c>
      <c r="B31" s="25" t="s">
        <v>72</v>
      </c>
    </row>
    <row r="32" spans="1:2">
      <c r="A32" s="28">
        <v>43845</v>
      </c>
      <c r="B32" s="25" t="s">
        <v>58</v>
      </c>
    </row>
    <row r="33" spans="1:2">
      <c r="A33" s="28">
        <v>43875</v>
      </c>
      <c r="B33" s="25" t="s">
        <v>59</v>
      </c>
    </row>
    <row r="34" spans="1:2">
      <c r="A34" s="28">
        <v>43931</v>
      </c>
      <c r="B34" s="25" t="s">
        <v>60</v>
      </c>
    </row>
    <row r="35" spans="1:2">
      <c r="A35" s="28">
        <v>43934</v>
      </c>
      <c r="B35" s="25" t="s">
        <v>61</v>
      </c>
    </row>
    <row r="36" spans="1:2">
      <c r="A36" s="28">
        <v>43961</v>
      </c>
      <c r="B36" s="25" t="s">
        <v>62</v>
      </c>
    </row>
    <row r="37" spans="1:2">
      <c r="A37" s="28">
        <v>44003</v>
      </c>
      <c r="B37" s="25" t="s">
        <v>63</v>
      </c>
    </row>
    <row r="38" spans="1:2">
      <c r="A38" s="28">
        <v>44020</v>
      </c>
      <c r="B38" s="25" t="s">
        <v>64</v>
      </c>
    </row>
    <row r="39" spans="1:2">
      <c r="A39" s="28">
        <v>44075</v>
      </c>
      <c r="B39" s="25" t="s">
        <v>65</v>
      </c>
    </row>
    <row r="40" spans="1:2">
      <c r="A40" s="28">
        <v>44105</v>
      </c>
      <c r="B40" s="25" t="s">
        <v>66</v>
      </c>
    </row>
    <row r="41" spans="1:2">
      <c r="A41" s="28">
        <v>44135</v>
      </c>
      <c r="B41" s="25" t="s">
        <v>67</v>
      </c>
    </row>
    <row r="42" spans="1:2">
      <c r="A42" s="28">
        <v>44162</v>
      </c>
      <c r="B42" s="25" t="s">
        <v>68</v>
      </c>
    </row>
    <row r="43" spans="1:2">
      <c r="A43" s="28">
        <v>44165</v>
      </c>
      <c r="B43" s="25" t="s">
        <v>69</v>
      </c>
    </row>
    <row r="44" spans="1:2">
      <c r="A44" s="28">
        <v>44166</v>
      </c>
      <c r="B44" s="25" t="s">
        <v>70</v>
      </c>
    </row>
    <row r="45" spans="1:2">
      <c r="A45" s="28">
        <v>44180</v>
      </c>
      <c r="B45" s="25" t="s">
        <v>71</v>
      </c>
    </row>
    <row r="46" spans="1:2">
      <c r="A46" s="28">
        <v>44180</v>
      </c>
      <c r="B46" s="25" t="s">
        <v>71</v>
      </c>
    </row>
    <row r="47" spans="1:2">
      <c r="A47" s="28">
        <v>44196</v>
      </c>
      <c r="B47" s="25" t="s">
        <v>72</v>
      </c>
    </row>
    <row r="48" spans="1:2">
      <c r="A48" s="13"/>
      <c r="B48" s="16"/>
    </row>
    <row r="49" spans="1:2">
      <c r="A49" s="13"/>
      <c r="B49" s="16"/>
    </row>
    <row r="50" spans="1:2">
      <c r="A50" s="13"/>
      <c r="B50" s="16"/>
    </row>
    <row r="51" spans="1:2">
      <c r="A51" s="13"/>
      <c r="B51" s="16"/>
    </row>
    <row r="52" spans="1:2">
      <c r="A52" s="13"/>
      <c r="B52" s="16"/>
    </row>
    <row r="53" spans="1:2">
      <c r="A53" s="13"/>
      <c r="B53" s="16"/>
    </row>
    <row r="54" spans="1:2">
      <c r="A54" s="13"/>
      <c r="B54" s="16"/>
    </row>
    <row r="55" spans="1:2">
      <c r="A55" s="13"/>
      <c r="B55" s="16"/>
    </row>
    <row r="56" spans="1:2">
      <c r="A56" s="13"/>
      <c r="B56" s="16"/>
    </row>
    <row r="57" spans="1:2">
      <c r="A57" s="13"/>
      <c r="B57" s="16"/>
    </row>
    <row r="58" spans="1:2">
      <c r="A58" s="13"/>
      <c r="B58" s="16"/>
    </row>
    <row r="59" spans="1:2">
      <c r="A59" s="13"/>
      <c r="B59" s="16"/>
    </row>
    <row r="60" spans="1:2">
      <c r="A60" s="13"/>
      <c r="B60" s="16"/>
    </row>
    <row r="61" spans="1:2">
      <c r="A61" s="13"/>
      <c r="B61" s="16"/>
    </row>
    <row r="62" spans="1:2">
      <c r="A62" s="13"/>
      <c r="B62" s="16"/>
    </row>
    <row r="63" spans="1:2">
      <c r="A63" s="13"/>
      <c r="B63" s="16"/>
    </row>
    <row r="64" spans="1:2">
      <c r="A64" s="13"/>
      <c r="B64" s="16"/>
    </row>
    <row r="65" spans="1:2">
      <c r="A65" s="13"/>
      <c r="B65" s="16"/>
    </row>
    <row r="66" spans="1:2">
      <c r="A66" s="13"/>
      <c r="B66" s="16"/>
    </row>
    <row r="67" spans="1:2">
      <c r="A67" s="13"/>
      <c r="B67" s="16"/>
    </row>
    <row r="68" spans="1:2">
      <c r="A68" s="13"/>
      <c r="B68" s="16"/>
    </row>
    <row r="69" spans="1:2">
      <c r="A69" s="13"/>
      <c r="B69" s="16"/>
    </row>
    <row r="70" spans="1:2">
      <c r="A70" s="13"/>
      <c r="B70" s="16"/>
    </row>
    <row r="71" spans="1:2">
      <c r="A71" s="13"/>
      <c r="B71" s="16"/>
    </row>
    <row r="72" spans="1:2">
      <c r="A72" s="13"/>
      <c r="B72" s="16"/>
    </row>
    <row r="73" spans="1:2">
      <c r="A73" s="13"/>
      <c r="B73" s="16"/>
    </row>
    <row r="74" spans="1:2">
      <c r="A74" s="13"/>
      <c r="B74" s="16"/>
    </row>
    <row r="75" spans="1:2">
      <c r="A75" s="13"/>
      <c r="B75" s="16"/>
    </row>
    <row r="76" spans="1:2">
      <c r="A76" s="13"/>
      <c r="B76" s="16"/>
    </row>
    <row r="77" spans="1:2">
      <c r="A77" s="13"/>
      <c r="B77" s="16"/>
    </row>
    <row r="78" spans="1:2">
      <c r="A78" s="13"/>
      <c r="B78" s="16"/>
    </row>
    <row r="79" spans="1:2">
      <c r="A79" s="13"/>
      <c r="B79" s="16"/>
    </row>
    <row r="80" spans="1:2">
      <c r="A80" s="13"/>
      <c r="B80" s="16"/>
    </row>
    <row r="81" spans="1:2">
      <c r="A81" s="13"/>
      <c r="B81" s="16"/>
    </row>
    <row r="82" spans="1:2">
      <c r="A82" s="13"/>
      <c r="B82" s="16"/>
    </row>
    <row r="83" spans="1:2">
      <c r="A83" s="13"/>
      <c r="B83" s="16"/>
    </row>
    <row r="84" spans="1:2">
      <c r="A84" s="13"/>
      <c r="B84" s="16"/>
    </row>
    <row r="85" spans="1:2">
      <c r="A85" s="13"/>
      <c r="B85" s="16"/>
    </row>
    <row r="86" spans="1:2">
      <c r="A86" s="13"/>
      <c r="B86" s="16"/>
    </row>
    <row r="87" spans="1:2">
      <c r="A87" s="13"/>
      <c r="B87" s="16"/>
    </row>
    <row r="88" spans="1:2">
      <c r="A88" s="13"/>
      <c r="B88" s="16"/>
    </row>
    <row r="89" spans="1:2">
      <c r="A89" s="13"/>
      <c r="B89" s="16"/>
    </row>
    <row r="90" spans="1:2">
      <c r="A90" s="13"/>
      <c r="B90" s="16"/>
    </row>
    <row r="91" spans="1:2">
      <c r="A91" s="13"/>
      <c r="B91" s="16"/>
    </row>
    <row r="92" spans="1:2">
      <c r="A92" s="13"/>
      <c r="B92" s="16"/>
    </row>
    <row r="93" spans="1:2">
      <c r="A93" s="13"/>
      <c r="B93" s="16"/>
    </row>
    <row r="94" spans="1:2">
      <c r="A94" s="13"/>
      <c r="B94" s="16"/>
    </row>
    <row r="95" spans="1:2">
      <c r="A95" s="13"/>
      <c r="B95" s="16"/>
    </row>
    <row r="96" spans="1:2">
      <c r="A96" s="13"/>
      <c r="B96" s="16"/>
    </row>
    <row r="97" spans="1:2">
      <c r="A97" s="13"/>
      <c r="B97" s="16"/>
    </row>
    <row r="98" spans="1:2">
      <c r="A98" s="13"/>
      <c r="B98" s="16"/>
    </row>
    <row r="99" spans="1:2">
      <c r="A99" s="13"/>
      <c r="B99" s="16"/>
    </row>
    <row r="100" spans="1:2">
      <c r="A100" s="13"/>
      <c r="B100" s="16"/>
    </row>
    <row r="101" spans="1:2">
      <c r="A101" s="13"/>
      <c r="B101" s="16"/>
    </row>
    <row r="102" spans="1:2">
      <c r="A102" s="13"/>
      <c r="B102" s="16"/>
    </row>
    <row r="103" spans="1:2">
      <c r="A103" s="13"/>
      <c r="B103" s="16"/>
    </row>
    <row r="104" spans="1:2">
      <c r="A104" s="13"/>
      <c r="B104" s="16"/>
    </row>
    <row r="105" spans="1:2">
      <c r="A105" s="13"/>
      <c r="B105" s="16"/>
    </row>
    <row r="106" spans="1:2">
      <c r="A106" s="13"/>
      <c r="B106" s="16"/>
    </row>
    <row r="107" spans="1:2">
      <c r="A107" s="13"/>
      <c r="B107" s="16"/>
    </row>
    <row r="108" spans="1:2">
      <c r="A108" s="13"/>
      <c r="B108" s="16"/>
    </row>
    <row r="109" spans="1:2">
      <c r="A109" s="13"/>
      <c r="B109" s="16"/>
    </row>
    <row r="110" spans="1:2">
      <c r="A110" s="13"/>
      <c r="B110" s="16"/>
    </row>
    <row r="111" spans="1:2">
      <c r="A111" s="13"/>
      <c r="B111" s="16"/>
    </row>
    <row r="112" spans="1:2">
      <c r="A112" s="13"/>
      <c r="B112" s="16"/>
    </row>
    <row r="113" spans="1:2">
      <c r="A113" s="13"/>
      <c r="B113" s="16"/>
    </row>
    <row r="114" spans="1:2">
      <c r="A114" s="13"/>
      <c r="B114" s="16"/>
    </row>
    <row r="115" spans="1:2">
      <c r="A115" s="13"/>
      <c r="B115" s="16"/>
    </row>
    <row r="116" spans="1:2">
      <c r="A116" s="13"/>
      <c r="B116" s="16"/>
    </row>
    <row r="117" spans="1:2">
      <c r="A117" s="13"/>
      <c r="B117" s="16"/>
    </row>
    <row r="118" spans="1:2">
      <c r="A118" s="13"/>
      <c r="B118" s="16"/>
    </row>
    <row r="119" spans="1:2">
      <c r="A119" s="13"/>
      <c r="B119" s="16"/>
    </row>
    <row r="120" spans="1:2">
      <c r="A120" s="13"/>
      <c r="B120" s="16"/>
    </row>
    <row r="121" spans="1:2">
      <c r="A121" s="13"/>
      <c r="B121" s="16"/>
    </row>
    <row r="122" spans="1:2">
      <c r="A122" s="13"/>
      <c r="B122" s="16"/>
    </row>
    <row r="123" spans="1:2">
      <c r="A123" s="13"/>
      <c r="B123" s="16"/>
    </row>
    <row r="124" spans="1:2">
      <c r="A124" s="13"/>
      <c r="B124" s="16"/>
    </row>
    <row r="125" spans="1:2">
      <c r="A125" s="13"/>
      <c r="B125" s="16"/>
    </row>
    <row r="126" spans="1:2">
      <c r="A126" s="13"/>
      <c r="B126" s="16"/>
    </row>
    <row r="127" spans="1:2">
      <c r="A127" s="13"/>
      <c r="B127" s="16"/>
    </row>
    <row r="128" spans="1:2">
      <c r="A128" s="13"/>
      <c r="B128" s="16"/>
    </row>
    <row r="129" spans="1:2">
      <c r="A129" s="13"/>
      <c r="B129" s="16"/>
    </row>
    <row r="130" spans="1:2">
      <c r="A130" s="13"/>
      <c r="B130" s="16"/>
    </row>
    <row r="131" spans="1:2">
      <c r="A131" s="13"/>
      <c r="B131" s="16"/>
    </row>
    <row r="132" spans="1:2">
      <c r="A132" s="13"/>
      <c r="B132" s="16"/>
    </row>
    <row r="133" spans="1:2">
      <c r="A133" s="13"/>
      <c r="B133" s="16"/>
    </row>
    <row r="134" spans="1:2">
      <c r="A134" s="13"/>
      <c r="B134" s="16"/>
    </row>
    <row r="135" spans="1:2">
      <c r="A135" s="13"/>
      <c r="B135" s="16"/>
    </row>
    <row r="136" spans="1:2">
      <c r="A136" s="13"/>
      <c r="B136" s="16"/>
    </row>
    <row r="137" spans="1:2">
      <c r="A137" s="13"/>
      <c r="B137" s="16"/>
    </row>
    <row r="138" spans="1:2">
      <c r="A138" s="13"/>
      <c r="B138" s="16"/>
    </row>
    <row r="139" spans="1:2">
      <c r="A139" s="13"/>
      <c r="B139" s="16"/>
    </row>
    <row r="140" spans="1:2">
      <c r="A140" s="13"/>
      <c r="B140" s="16"/>
    </row>
    <row r="141" spans="1:2">
      <c r="A141" s="13"/>
      <c r="B141" s="16"/>
    </row>
    <row r="142" spans="1:2">
      <c r="A142" s="13"/>
      <c r="B142" s="16"/>
    </row>
    <row r="143" spans="1:2">
      <c r="A143" s="13"/>
      <c r="B143" s="16"/>
    </row>
    <row r="144" spans="1:2">
      <c r="A144" s="13"/>
      <c r="B144" s="16"/>
    </row>
    <row r="145" spans="1:2">
      <c r="A145" s="13"/>
      <c r="B145" s="16"/>
    </row>
    <row r="146" spans="1:2">
      <c r="A146" s="13"/>
      <c r="B146" s="16"/>
    </row>
    <row r="147" spans="1:2">
      <c r="A147" s="13"/>
      <c r="B147" s="16"/>
    </row>
    <row r="148" spans="1:2">
      <c r="A148" s="13"/>
      <c r="B148" s="16"/>
    </row>
    <row r="149" spans="1:2">
      <c r="A149" s="13"/>
      <c r="B149" s="16"/>
    </row>
    <row r="150" spans="1:2">
      <c r="A150" s="13"/>
      <c r="B150" s="16"/>
    </row>
    <row r="151" spans="1:2">
      <c r="A151" s="13"/>
      <c r="B151" s="16"/>
    </row>
    <row r="152" spans="1:2">
      <c r="A152" s="13"/>
      <c r="B152" s="16"/>
    </row>
    <row r="153" spans="1:2">
      <c r="A153" s="13"/>
      <c r="B153" s="16"/>
    </row>
    <row r="154" spans="1:2">
      <c r="A154" s="13"/>
      <c r="B154" s="16"/>
    </row>
    <row r="155" spans="1:2">
      <c r="A155" s="13"/>
      <c r="B155" s="16"/>
    </row>
    <row r="156" spans="1:2">
      <c r="A156" s="13"/>
      <c r="B156" s="16"/>
    </row>
    <row r="157" spans="1:2">
      <c r="A157" s="13"/>
      <c r="B157" s="16"/>
    </row>
    <row r="158" spans="1:2">
      <c r="A158" s="13"/>
      <c r="B158" s="16"/>
    </row>
    <row r="159" spans="1:2">
      <c r="A159" s="13"/>
      <c r="B159" s="16"/>
    </row>
    <row r="160" spans="1:2">
      <c r="A160" s="13"/>
      <c r="B160" s="16"/>
    </row>
    <row r="161" spans="1:2">
      <c r="A161" s="13"/>
      <c r="B161" s="16"/>
    </row>
    <row r="162" spans="1:2">
      <c r="A162" s="13"/>
      <c r="B162" s="16"/>
    </row>
    <row r="163" spans="1:2">
      <c r="A163" s="13"/>
      <c r="B163" s="16"/>
    </row>
    <row r="164" spans="1:2">
      <c r="A164" s="13"/>
      <c r="B164" s="16"/>
    </row>
    <row r="165" spans="1:2">
      <c r="A165" s="13"/>
      <c r="B165" s="16"/>
    </row>
    <row r="166" spans="1:2">
      <c r="A166" s="13"/>
      <c r="B166" s="16"/>
    </row>
    <row r="167" spans="1:2">
      <c r="A167" s="13"/>
      <c r="B167" s="16"/>
    </row>
    <row r="168" spans="1:2">
      <c r="A168" s="13"/>
      <c r="B168" s="16"/>
    </row>
    <row r="169" spans="1:2">
      <c r="A169" s="13"/>
      <c r="B169" s="16"/>
    </row>
    <row r="170" spans="1:2">
      <c r="A170" s="13"/>
      <c r="B170" s="16"/>
    </row>
    <row r="171" spans="1:2">
      <c r="A171" s="13"/>
      <c r="B171" s="16"/>
    </row>
    <row r="172" spans="1:2">
      <c r="A172" s="13"/>
      <c r="B172" s="16"/>
    </row>
    <row r="173" spans="1:2">
      <c r="A173" s="13"/>
      <c r="B173" s="16"/>
    </row>
    <row r="174" spans="1:2">
      <c r="A174" s="13"/>
      <c r="B174" s="16"/>
    </row>
    <row r="175" spans="1:2">
      <c r="A175" s="13"/>
      <c r="B175" s="16"/>
    </row>
    <row r="176" spans="1:2">
      <c r="A176" s="13"/>
      <c r="B176" s="16"/>
    </row>
    <row r="177" spans="1:2">
      <c r="A177" s="13"/>
      <c r="B177" s="16"/>
    </row>
    <row r="178" spans="1:2">
      <c r="A178" s="13"/>
      <c r="B178" s="16"/>
    </row>
    <row r="179" spans="1:2">
      <c r="A179" s="13"/>
      <c r="B179" s="16"/>
    </row>
    <row r="180" spans="1:2">
      <c r="A180" s="13"/>
      <c r="B180" s="16"/>
    </row>
    <row r="181" spans="1:2">
      <c r="A181" s="13"/>
      <c r="B181" s="16"/>
    </row>
    <row r="182" spans="1:2">
      <c r="A182" s="13"/>
      <c r="B182" s="16"/>
    </row>
    <row r="183" spans="1:2">
      <c r="A183" s="13"/>
      <c r="B183" s="16"/>
    </row>
    <row r="184" spans="1:2">
      <c r="A184" s="13"/>
      <c r="B184" s="16"/>
    </row>
    <row r="185" spans="1:2">
      <c r="A185" s="13"/>
      <c r="B185" s="16"/>
    </row>
    <row r="186" spans="1:2">
      <c r="A186" s="13"/>
      <c r="B186" s="16"/>
    </row>
    <row r="187" spans="1:2">
      <c r="A187" s="13"/>
      <c r="B187" s="16"/>
    </row>
    <row r="188" spans="1:2">
      <c r="A188" s="13"/>
      <c r="B188" s="16"/>
    </row>
    <row r="189" spans="1:2">
      <c r="A189" s="13"/>
      <c r="B189" s="16"/>
    </row>
    <row r="190" spans="1:2">
      <c r="A190" s="13"/>
      <c r="B190" s="16"/>
    </row>
    <row r="191" spans="1:2">
      <c r="A191" s="13"/>
      <c r="B191" s="16"/>
    </row>
    <row r="192" spans="1:2">
      <c r="A192" s="13"/>
      <c r="B192" s="16"/>
    </row>
    <row r="193" spans="1:2">
      <c r="A193" s="13"/>
      <c r="B193" s="16"/>
    </row>
    <row r="194" spans="1:2">
      <c r="A194" s="13"/>
      <c r="B194" s="16"/>
    </row>
    <row r="195" spans="1:2">
      <c r="A195" s="13"/>
      <c r="B195" s="16"/>
    </row>
    <row r="196" spans="1:2">
      <c r="A196" s="13"/>
      <c r="B196" s="16"/>
    </row>
    <row r="197" spans="1:2">
      <c r="A197" s="13"/>
      <c r="B197" s="16"/>
    </row>
    <row r="198" spans="1:2">
      <c r="A198" s="13"/>
      <c r="B198" s="16"/>
    </row>
    <row r="199" spans="1:2">
      <c r="A199" s="13"/>
      <c r="B199" s="16"/>
    </row>
    <row r="200" spans="1:2">
      <c r="A200" s="13"/>
      <c r="B200" s="16"/>
    </row>
  </sheetData>
  <sheetProtection sheet="1" objects="1" scenarios="1" selectLockedCell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7F06-5A5E-4E1A-A893-6F1A552E2EF9}">
  <sheetPr>
    <tabColor rgb="FF92D050"/>
  </sheetPr>
  <dimension ref="A1:B200"/>
  <sheetViews>
    <sheetView workbookViewId="0">
      <pane ySplit="1" topLeftCell="A2" activePane="bottomLeft" state="frozen"/>
      <selection pane="bottomLeft" activeCell="A17" sqref="A17"/>
    </sheetView>
  </sheetViews>
  <sheetFormatPr defaultColWidth="9.140625" defaultRowHeight="14.45"/>
  <cols>
    <col min="1" max="1" width="12" style="26" customWidth="1"/>
    <col min="2" max="2" width="11.5703125" style="26" bestFit="1" customWidth="1"/>
    <col min="3" max="16384" width="9.140625" style="25"/>
  </cols>
  <sheetData>
    <row r="1" spans="1:2">
      <c r="A1" s="21" t="s">
        <v>73</v>
      </c>
      <c r="B1" s="21" t="s">
        <v>74</v>
      </c>
    </row>
    <row r="2" spans="1:2">
      <c r="A2" s="26">
        <v>43101</v>
      </c>
      <c r="B2" s="26">
        <v>43116</v>
      </c>
    </row>
    <row r="3" spans="1:2">
      <c r="A3" s="26">
        <v>43174</v>
      </c>
      <c r="B3" s="26">
        <v>43193</v>
      </c>
    </row>
    <row r="4" spans="1:2">
      <c r="A4" s="26">
        <v>43273</v>
      </c>
      <c r="B4" s="26">
        <v>43297</v>
      </c>
    </row>
    <row r="5" spans="1:2">
      <c r="A5" s="26">
        <v>43371</v>
      </c>
      <c r="B5" s="26">
        <v>43381</v>
      </c>
    </row>
    <row r="6" spans="1:2">
      <c r="A6" s="26">
        <v>43446</v>
      </c>
      <c r="B6" s="26">
        <v>43465</v>
      </c>
    </row>
    <row r="7" spans="1:2">
      <c r="A7" s="26">
        <v>43466</v>
      </c>
      <c r="B7" s="26">
        <v>43473</v>
      </c>
    </row>
    <row r="8" spans="1:2">
      <c r="A8" s="26">
        <v>43539</v>
      </c>
      <c r="B8" s="26">
        <v>43557</v>
      </c>
    </row>
    <row r="9" spans="1:2">
      <c r="A9" s="26">
        <v>43630</v>
      </c>
      <c r="B9" s="26">
        <v>43654</v>
      </c>
    </row>
    <row r="10" spans="1:2">
      <c r="A10" s="26">
        <v>43728</v>
      </c>
      <c r="B10" s="26">
        <v>43738</v>
      </c>
    </row>
    <row r="11" spans="1:2">
      <c r="A11" s="26">
        <v>43803</v>
      </c>
      <c r="B11" s="26">
        <v>43830</v>
      </c>
    </row>
    <row r="12" spans="1:2">
      <c r="A12" s="26">
        <v>43831</v>
      </c>
      <c r="B12" s="26">
        <v>43844</v>
      </c>
    </row>
    <row r="13" spans="1:2">
      <c r="A13" s="26">
        <v>43905</v>
      </c>
      <c r="B13" s="26">
        <v>43921</v>
      </c>
    </row>
    <row r="14" spans="1:2">
      <c r="A14" s="26">
        <v>44009</v>
      </c>
      <c r="B14" s="26">
        <v>44031</v>
      </c>
    </row>
    <row r="15" spans="1:2">
      <c r="A15" s="26">
        <v>44093</v>
      </c>
      <c r="B15" s="26">
        <v>44108</v>
      </c>
    </row>
    <row r="16" spans="1:2">
      <c r="A16" s="26">
        <v>44167</v>
      </c>
      <c r="B16" s="26">
        <v>44196</v>
      </c>
    </row>
    <row r="17" spans="1:2">
      <c r="A17" s="17"/>
      <c r="B17" s="17"/>
    </row>
    <row r="18" spans="1:2">
      <c r="A18" s="17"/>
      <c r="B18" s="17"/>
    </row>
    <row r="19" spans="1:2">
      <c r="A19" s="17"/>
      <c r="B19" s="17"/>
    </row>
    <row r="20" spans="1:2">
      <c r="A20" s="17"/>
      <c r="B20" s="17"/>
    </row>
    <row r="21" spans="1:2">
      <c r="A21" s="17"/>
      <c r="B21" s="17"/>
    </row>
    <row r="22" spans="1:2">
      <c r="A22" s="17"/>
      <c r="B22" s="17"/>
    </row>
    <row r="23" spans="1:2">
      <c r="A23" s="17"/>
      <c r="B23" s="17"/>
    </row>
    <row r="24" spans="1:2">
      <c r="A24" s="17"/>
      <c r="B24" s="17"/>
    </row>
    <row r="25" spans="1:2">
      <c r="A25" s="17"/>
      <c r="B25" s="17"/>
    </row>
    <row r="26" spans="1:2">
      <c r="A26" s="17"/>
      <c r="B26" s="17"/>
    </row>
    <row r="27" spans="1:2">
      <c r="A27" s="17"/>
      <c r="B27" s="17"/>
    </row>
    <row r="28" spans="1:2">
      <c r="A28" s="17"/>
      <c r="B28" s="17"/>
    </row>
    <row r="29" spans="1:2">
      <c r="A29" s="17"/>
      <c r="B29" s="17"/>
    </row>
    <row r="30" spans="1:2">
      <c r="A30" s="17"/>
      <c r="B30" s="17"/>
    </row>
    <row r="31" spans="1:2">
      <c r="A31" s="17"/>
      <c r="B31" s="17"/>
    </row>
    <row r="32" spans="1:2">
      <c r="A32" s="17"/>
      <c r="B32" s="17"/>
    </row>
    <row r="33" spans="1:2">
      <c r="A33" s="17"/>
      <c r="B33" s="17"/>
    </row>
    <row r="34" spans="1:2">
      <c r="A34" s="17"/>
      <c r="B34" s="17"/>
    </row>
    <row r="35" spans="1:2">
      <c r="A35" s="17"/>
      <c r="B35" s="17"/>
    </row>
    <row r="36" spans="1:2">
      <c r="A36" s="17"/>
      <c r="B36" s="17"/>
    </row>
    <row r="37" spans="1:2">
      <c r="A37" s="17"/>
      <c r="B37" s="17"/>
    </row>
    <row r="38" spans="1:2">
      <c r="A38" s="17"/>
      <c r="B38" s="17"/>
    </row>
    <row r="39" spans="1:2">
      <c r="A39" s="17"/>
      <c r="B39" s="17"/>
    </row>
    <row r="40" spans="1:2">
      <c r="A40" s="17"/>
      <c r="B40" s="17"/>
    </row>
    <row r="41" spans="1:2">
      <c r="A41" s="17"/>
      <c r="B41" s="17"/>
    </row>
    <row r="42" spans="1:2">
      <c r="A42" s="17"/>
      <c r="B42" s="17"/>
    </row>
    <row r="43" spans="1:2">
      <c r="A43" s="17"/>
      <c r="B43" s="17"/>
    </row>
    <row r="44" spans="1:2">
      <c r="A44" s="17"/>
      <c r="B44" s="17"/>
    </row>
    <row r="45" spans="1:2">
      <c r="A45" s="17"/>
      <c r="B45" s="17"/>
    </row>
    <row r="46" spans="1:2">
      <c r="A46" s="17"/>
      <c r="B46" s="17"/>
    </row>
    <row r="47" spans="1:2">
      <c r="A47" s="17"/>
      <c r="B47" s="17"/>
    </row>
    <row r="48" spans="1:2">
      <c r="A48" s="17"/>
      <c r="B48" s="17"/>
    </row>
    <row r="49" spans="1:2">
      <c r="A49" s="17"/>
      <c r="B49" s="17"/>
    </row>
    <row r="50" spans="1:2">
      <c r="A50" s="17"/>
      <c r="B50" s="17"/>
    </row>
    <row r="51" spans="1:2">
      <c r="A51" s="17"/>
      <c r="B51" s="17"/>
    </row>
    <row r="52" spans="1:2">
      <c r="A52" s="17"/>
      <c r="B52" s="17"/>
    </row>
    <row r="53" spans="1:2">
      <c r="A53" s="17"/>
      <c r="B53" s="17"/>
    </row>
    <row r="54" spans="1:2">
      <c r="A54" s="17"/>
      <c r="B54" s="17"/>
    </row>
    <row r="55" spans="1:2">
      <c r="A55" s="17"/>
      <c r="B55" s="17"/>
    </row>
    <row r="56" spans="1:2">
      <c r="A56" s="17"/>
      <c r="B56" s="17"/>
    </row>
    <row r="57" spans="1:2">
      <c r="A57" s="17"/>
      <c r="B57" s="17"/>
    </row>
    <row r="58" spans="1:2">
      <c r="A58" s="17"/>
      <c r="B58" s="17"/>
    </row>
    <row r="59" spans="1:2">
      <c r="A59" s="17"/>
      <c r="B59" s="17"/>
    </row>
    <row r="60" spans="1:2">
      <c r="A60" s="17"/>
      <c r="B60" s="17"/>
    </row>
    <row r="61" spans="1:2">
      <c r="A61" s="17"/>
      <c r="B61" s="17"/>
    </row>
    <row r="62" spans="1:2">
      <c r="A62" s="17"/>
      <c r="B62" s="17"/>
    </row>
    <row r="63" spans="1:2">
      <c r="A63" s="17"/>
      <c r="B63" s="17"/>
    </row>
    <row r="64" spans="1:2">
      <c r="A64" s="17"/>
      <c r="B64" s="17"/>
    </row>
    <row r="65" spans="1:2">
      <c r="A65" s="17"/>
      <c r="B65" s="17"/>
    </row>
    <row r="66" spans="1:2">
      <c r="A66" s="17"/>
      <c r="B66" s="17"/>
    </row>
    <row r="67" spans="1:2">
      <c r="A67" s="17"/>
      <c r="B67" s="17"/>
    </row>
    <row r="68" spans="1:2">
      <c r="A68" s="17"/>
      <c r="B68" s="17"/>
    </row>
    <row r="69" spans="1:2">
      <c r="A69" s="17"/>
      <c r="B69" s="17"/>
    </row>
    <row r="70" spans="1:2">
      <c r="A70" s="17"/>
      <c r="B70" s="17"/>
    </row>
    <row r="71" spans="1:2">
      <c r="A71" s="17"/>
      <c r="B71" s="17"/>
    </row>
    <row r="72" spans="1:2">
      <c r="A72" s="17"/>
      <c r="B72" s="17"/>
    </row>
    <row r="73" spans="1:2">
      <c r="A73" s="17"/>
      <c r="B73" s="17"/>
    </row>
    <row r="74" spans="1:2">
      <c r="A74" s="17"/>
      <c r="B74" s="17"/>
    </row>
    <row r="75" spans="1:2">
      <c r="A75" s="17"/>
      <c r="B75" s="17"/>
    </row>
    <row r="76" spans="1:2">
      <c r="A76" s="17"/>
      <c r="B76" s="17"/>
    </row>
    <row r="77" spans="1:2">
      <c r="A77" s="17"/>
      <c r="B77" s="17"/>
    </row>
    <row r="78" spans="1:2">
      <c r="A78" s="17"/>
      <c r="B78" s="17"/>
    </row>
    <row r="79" spans="1:2">
      <c r="A79" s="17"/>
      <c r="B79" s="17"/>
    </row>
    <row r="80" spans="1:2">
      <c r="A80" s="17"/>
      <c r="B80" s="17"/>
    </row>
    <row r="81" spans="1:2">
      <c r="A81" s="17"/>
      <c r="B81" s="17"/>
    </row>
    <row r="82" spans="1:2">
      <c r="A82" s="17"/>
      <c r="B82" s="17"/>
    </row>
    <row r="83" spans="1:2">
      <c r="A83" s="17"/>
      <c r="B83" s="17"/>
    </row>
    <row r="84" spans="1:2">
      <c r="A84" s="17"/>
      <c r="B84" s="17"/>
    </row>
    <row r="85" spans="1:2">
      <c r="A85" s="17"/>
      <c r="B85" s="17"/>
    </row>
    <row r="86" spans="1:2">
      <c r="A86" s="17"/>
      <c r="B86" s="17"/>
    </row>
    <row r="87" spans="1:2">
      <c r="A87" s="17"/>
      <c r="B87" s="17"/>
    </row>
    <row r="88" spans="1:2">
      <c r="A88" s="17"/>
      <c r="B88" s="17"/>
    </row>
    <row r="89" spans="1:2">
      <c r="A89" s="17"/>
      <c r="B89" s="17"/>
    </row>
    <row r="90" spans="1:2">
      <c r="A90" s="17"/>
      <c r="B90" s="17"/>
    </row>
    <row r="91" spans="1:2">
      <c r="A91" s="17"/>
      <c r="B91" s="17"/>
    </row>
    <row r="92" spans="1:2">
      <c r="A92" s="17"/>
      <c r="B92" s="17"/>
    </row>
    <row r="93" spans="1:2">
      <c r="A93" s="17"/>
      <c r="B93" s="17"/>
    </row>
    <row r="94" spans="1:2">
      <c r="A94" s="17"/>
      <c r="B94" s="17"/>
    </row>
    <row r="95" spans="1:2">
      <c r="A95" s="17"/>
      <c r="B95" s="17"/>
    </row>
    <row r="96" spans="1:2">
      <c r="A96" s="17"/>
      <c r="B96" s="17"/>
    </row>
    <row r="97" spans="1:2">
      <c r="A97" s="17"/>
      <c r="B97" s="17"/>
    </row>
    <row r="98" spans="1:2">
      <c r="A98" s="17"/>
      <c r="B98" s="17"/>
    </row>
    <row r="99" spans="1:2">
      <c r="A99" s="17"/>
      <c r="B99" s="17"/>
    </row>
    <row r="100" spans="1:2">
      <c r="A100" s="17"/>
      <c r="B100" s="17"/>
    </row>
    <row r="101" spans="1:2">
      <c r="A101" s="17"/>
      <c r="B101" s="17"/>
    </row>
    <row r="102" spans="1:2">
      <c r="A102" s="17"/>
      <c r="B102" s="17"/>
    </row>
    <row r="103" spans="1:2">
      <c r="A103" s="17"/>
      <c r="B103" s="17"/>
    </row>
    <row r="104" spans="1:2">
      <c r="A104" s="17"/>
      <c r="B104" s="17"/>
    </row>
    <row r="105" spans="1:2">
      <c r="A105" s="17"/>
      <c r="B105" s="17"/>
    </row>
    <row r="106" spans="1:2">
      <c r="A106" s="17"/>
      <c r="B106" s="17"/>
    </row>
    <row r="107" spans="1:2">
      <c r="A107" s="17"/>
      <c r="B107" s="17"/>
    </row>
    <row r="108" spans="1:2">
      <c r="A108" s="17"/>
      <c r="B108" s="17"/>
    </row>
    <row r="109" spans="1:2">
      <c r="A109" s="17"/>
      <c r="B109" s="17"/>
    </row>
    <row r="110" spans="1:2">
      <c r="A110" s="17"/>
      <c r="B110" s="17"/>
    </row>
    <row r="111" spans="1:2">
      <c r="A111" s="17"/>
      <c r="B111" s="17"/>
    </row>
    <row r="112" spans="1:2">
      <c r="A112" s="17"/>
      <c r="B112" s="17"/>
    </row>
    <row r="113" spans="1:2">
      <c r="A113" s="17"/>
      <c r="B113" s="17"/>
    </row>
    <row r="114" spans="1:2">
      <c r="A114" s="17"/>
      <c r="B114" s="17"/>
    </row>
    <row r="115" spans="1:2">
      <c r="A115" s="17"/>
      <c r="B115" s="17"/>
    </row>
    <row r="116" spans="1:2">
      <c r="A116" s="17"/>
      <c r="B116" s="17"/>
    </row>
    <row r="117" spans="1:2">
      <c r="A117" s="17"/>
      <c r="B117" s="17"/>
    </row>
    <row r="118" spans="1:2">
      <c r="A118" s="17"/>
      <c r="B118" s="17"/>
    </row>
    <row r="119" spans="1:2">
      <c r="A119" s="17"/>
      <c r="B119" s="17"/>
    </row>
    <row r="120" spans="1:2">
      <c r="A120" s="17"/>
      <c r="B120" s="17"/>
    </row>
    <row r="121" spans="1:2">
      <c r="A121" s="17"/>
      <c r="B121" s="17"/>
    </row>
    <row r="122" spans="1:2">
      <c r="A122" s="17"/>
      <c r="B122" s="17"/>
    </row>
    <row r="123" spans="1:2">
      <c r="A123" s="17"/>
      <c r="B123" s="17"/>
    </row>
    <row r="124" spans="1:2">
      <c r="A124" s="17"/>
      <c r="B124" s="17"/>
    </row>
    <row r="125" spans="1:2">
      <c r="A125" s="17"/>
      <c r="B125" s="17"/>
    </row>
    <row r="126" spans="1:2">
      <c r="A126" s="17"/>
      <c r="B126" s="17"/>
    </row>
    <row r="127" spans="1:2">
      <c r="A127" s="17"/>
      <c r="B127" s="17"/>
    </row>
    <row r="128" spans="1:2">
      <c r="A128" s="17"/>
      <c r="B128" s="17"/>
    </row>
    <row r="129" spans="1:2">
      <c r="A129" s="17"/>
      <c r="B129" s="17"/>
    </row>
    <row r="130" spans="1:2">
      <c r="A130" s="17"/>
      <c r="B130" s="17"/>
    </row>
    <row r="131" spans="1:2">
      <c r="A131" s="17"/>
      <c r="B131" s="17"/>
    </row>
    <row r="132" spans="1:2">
      <c r="A132" s="17"/>
      <c r="B132" s="17"/>
    </row>
    <row r="133" spans="1:2">
      <c r="A133" s="17"/>
      <c r="B133" s="17"/>
    </row>
    <row r="134" spans="1:2">
      <c r="A134" s="17"/>
      <c r="B134" s="17"/>
    </row>
    <row r="135" spans="1:2">
      <c r="A135" s="17"/>
      <c r="B135" s="17"/>
    </row>
    <row r="136" spans="1:2">
      <c r="A136" s="17"/>
      <c r="B136" s="17"/>
    </row>
    <row r="137" spans="1:2">
      <c r="A137" s="17"/>
      <c r="B137" s="17"/>
    </row>
    <row r="138" spans="1:2">
      <c r="A138" s="17"/>
      <c r="B138" s="17"/>
    </row>
    <row r="139" spans="1:2">
      <c r="A139" s="17"/>
      <c r="B139" s="17"/>
    </row>
    <row r="140" spans="1:2">
      <c r="A140" s="17"/>
      <c r="B140" s="17"/>
    </row>
    <row r="141" spans="1:2">
      <c r="A141" s="17"/>
      <c r="B141" s="17"/>
    </row>
    <row r="142" spans="1:2">
      <c r="A142" s="17"/>
      <c r="B142" s="17"/>
    </row>
    <row r="143" spans="1:2">
      <c r="A143" s="17"/>
      <c r="B143" s="17"/>
    </row>
    <row r="144" spans="1:2">
      <c r="A144" s="17"/>
      <c r="B144" s="17"/>
    </row>
    <row r="145" spans="1:2">
      <c r="A145" s="17"/>
      <c r="B145" s="17"/>
    </row>
    <row r="146" spans="1:2">
      <c r="A146" s="17"/>
      <c r="B146" s="17"/>
    </row>
    <row r="147" spans="1:2">
      <c r="A147" s="17"/>
      <c r="B147" s="17"/>
    </row>
    <row r="148" spans="1:2">
      <c r="A148" s="17"/>
      <c r="B148" s="17"/>
    </row>
    <row r="149" spans="1:2">
      <c r="A149" s="17"/>
      <c r="B149" s="17"/>
    </row>
    <row r="150" spans="1:2">
      <c r="A150" s="17"/>
      <c r="B150" s="17"/>
    </row>
    <row r="151" spans="1:2">
      <c r="A151" s="17"/>
      <c r="B151" s="17"/>
    </row>
    <row r="152" spans="1:2">
      <c r="A152" s="17"/>
      <c r="B152" s="17"/>
    </row>
    <row r="153" spans="1:2">
      <c r="A153" s="17"/>
      <c r="B153" s="17"/>
    </row>
    <row r="154" spans="1:2">
      <c r="A154" s="17"/>
      <c r="B154" s="17"/>
    </row>
    <row r="155" spans="1:2">
      <c r="A155" s="17"/>
      <c r="B155" s="17"/>
    </row>
    <row r="156" spans="1:2">
      <c r="A156" s="17"/>
      <c r="B156" s="17"/>
    </row>
    <row r="157" spans="1:2">
      <c r="A157" s="17"/>
      <c r="B157" s="17"/>
    </row>
    <row r="158" spans="1:2">
      <c r="A158" s="17"/>
      <c r="B158" s="17"/>
    </row>
    <row r="159" spans="1:2">
      <c r="A159" s="17"/>
      <c r="B159" s="17"/>
    </row>
    <row r="160" spans="1:2">
      <c r="A160" s="17"/>
      <c r="B160" s="17"/>
    </row>
    <row r="161" spans="1:2">
      <c r="A161" s="17"/>
      <c r="B161" s="17"/>
    </row>
    <row r="162" spans="1:2">
      <c r="A162" s="17"/>
      <c r="B162" s="17"/>
    </row>
    <row r="163" spans="1:2">
      <c r="A163" s="17"/>
      <c r="B163" s="17"/>
    </row>
    <row r="164" spans="1:2">
      <c r="A164" s="17"/>
      <c r="B164" s="17"/>
    </row>
    <row r="165" spans="1:2">
      <c r="A165" s="17"/>
      <c r="B165" s="17"/>
    </row>
    <row r="166" spans="1:2">
      <c r="A166" s="17"/>
      <c r="B166" s="17"/>
    </row>
    <row r="167" spans="1:2">
      <c r="A167" s="17"/>
      <c r="B167" s="17"/>
    </row>
    <row r="168" spans="1:2">
      <c r="A168" s="17"/>
      <c r="B168" s="17"/>
    </row>
    <row r="169" spans="1:2">
      <c r="A169" s="17"/>
      <c r="B169" s="17"/>
    </row>
    <row r="170" spans="1:2">
      <c r="A170" s="17"/>
      <c r="B170" s="17"/>
    </row>
    <row r="171" spans="1:2">
      <c r="A171" s="17"/>
      <c r="B171" s="17"/>
    </row>
    <row r="172" spans="1:2">
      <c r="A172" s="17"/>
      <c r="B172" s="17"/>
    </row>
    <row r="173" spans="1:2">
      <c r="A173" s="17"/>
      <c r="B173" s="17"/>
    </row>
    <row r="174" spans="1:2">
      <c r="A174" s="17"/>
      <c r="B174" s="17"/>
    </row>
    <row r="175" spans="1:2">
      <c r="A175" s="17"/>
      <c r="B175" s="17"/>
    </row>
    <row r="176" spans="1:2">
      <c r="A176" s="17"/>
      <c r="B176" s="17"/>
    </row>
    <row r="177" spans="1:2">
      <c r="A177" s="17"/>
      <c r="B177" s="17"/>
    </row>
    <row r="178" spans="1:2">
      <c r="A178" s="17"/>
      <c r="B178" s="17"/>
    </row>
    <row r="179" spans="1:2">
      <c r="A179" s="17"/>
      <c r="B179" s="17"/>
    </row>
    <row r="180" spans="1:2">
      <c r="A180" s="17"/>
      <c r="B180" s="17"/>
    </row>
    <row r="181" spans="1:2">
      <c r="A181" s="17"/>
      <c r="B181" s="17"/>
    </row>
    <row r="182" spans="1:2">
      <c r="A182" s="17"/>
      <c r="B182" s="17"/>
    </row>
    <row r="183" spans="1:2">
      <c r="A183" s="17"/>
      <c r="B183" s="17"/>
    </row>
    <row r="184" spans="1:2">
      <c r="A184" s="17"/>
      <c r="B184" s="17"/>
    </row>
    <row r="185" spans="1:2">
      <c r="A185" s="17"/>
      <c r="B185" s="17"/>
    </row>
    <row r="186" spans="1:2">
      <c r="A186" s="17"/>
      <c r="B186" s="17"/>
    </row>
    <row r="187" spans="1:2">
      <c r="A187" s="17"/>
      <c r="B187" s="17"/>
    </row>
    <row r="188" spans="1:2">
      <c r="A188" s="17"/>
      <c r="B188" s="17"/>
    </row>
    <row r="189" spans="1:2">
      <c r="A189" s="17"/>
      <c r="B189" s="17"/>
    </row>
    <row r="190" spans="1:2">
      <c r="A190" s="17"/>
      <c r="B190" s="17"/>
    </row>
    <row r="191" spans="1:2">
      <c r="A191" s="17"/>
      <c r="B191" s="17"/>
    </row>
    <row r="192" spans="1:2">
      <c r="A192" s="17"/>
      <c r="B192" s="17"/>
    </row>
    <row r="193" spans="1:2">
      <c r="A193" s="17"/>
      <c r="B193" s="17"/>
    </row>
    <row r="194" spans="1:2">
      <c r="A194" s="17"/>
      <c r="B194" s="17"/>
    </row>
    <row r="195" spans="1:2">
      <c r="A195" s="17"/>
      <c r="B195" s="17"/>
    </row>
    <row r="196" spans="1:2">
      <c r="A196" s="17"/>
      <c r="B196" s="17"/>
    </row>
    <row r="197" spans="1:2">
      <c r="A197" s="17"/>
      <c r="B197" s="17"/>
    </row>
    <row r="198" spans="1:2">
      <c r="A198" s="17"/>
      <c r="B198" s="17"/>
    </row>
    <row r="199" spans="1:2">
      <c r="A199" s="17"/>
      <c r="B199" s="17"/>
    </row>
    <row r="200" spans="1:2">
      <c r="A200" s="17"/>
      <c r="B200" s="17"/>
    </row>
  </sheetData>
  <sheetProtection sheet="1" objects="1" scenarios="1" selectLockedCell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E84E-1C7A-4577-883C-D88746CEA636}">
  <dimension ref="A1:K366"/>
  <sheetViews>
    <sheetView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2" style="10" customWidth="1"/>
    <col min="2" max="2" width="5" style="5" customWidth="1"/>
    <col min="3" max="3" width="7" style="5" customWidth="1"/>
    <col min="4" max="4" width="6" style="5" customWidth="1"/>
    <col min="5" max="5" width="14" customWidth="1"/>
    <col min="6" max="7" width="9.85546875" style="5" customWidth="1"/>
    <col min="8" max="8" width="29.42578125" customWidth="1"/>
    <col min="9" max="9" width="9.85546875" style="5" customWidth="1"/>
    <col min="10" max="10" width="29.42578125" style="8" customWidth="1"/>
    <col min="11" max="11" width="9.85546875" style="5" customWidth="1"/>
  </cols>
  <sheetData>
    <row r="1" spans="1:11" s="1" customFormat="1" ht="57.95">
      <c r="A1" s="9" t="s">
        <v>42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</row>
    <row r="2" spans="1:11">
      <c r="A2" s="20">
        <f>'2019'!A366+1</f>
        <v>43831</v>
      </c>
      <c r="B2" s="4" t="str">
        <f>TEXT($A2, "dd")</f>
        <v>01</v>
      </c>
      <c r="C2" s="4" t="str">
        <f>TEXT($A2, "mm")</f>
        <v>01</v>
      </c>
      <c r="D2" s="4" t="str">
        <f>TEXT($A2, "yyyy")</f>
        <v>2020</v>
      </c>
      <c r="E2" s="3" t="str">
        <f>TEXT($A2, "dddd")</f>
        <v>Wednesday</v>
      </c>
      <c r="F2" s="4" t="str">
        <f>IF($E2="Sunday", "Y", "N")</f>
        <v>N</v>
      </c>
      <c r="G2" s="4" t="str">
        <f>IF(COUNTIF(PublicHols[Date], A2)&gt;0, "Y", "N")</f>
        <v>Y</v>
      </c>
      <c r="H2" s="19" t="str">
        <f>IFERROR(_xlfn.XLOOKUP(A2, PublicHols[Date], PublicHols[PH_Name]),"")</f>
        <v>New Year's Day</v>
      </c>
      <c r="I2" s="18" t="str">
        <f>IF(COUNTIF(EventsAll[Date], A2)&gt;0, "Y", "N")</f>
        <v>N</v>
      </c>
      <c r="J2" s="11" t="str">
        <f>IFERROR(_xlfn.XLOOKUP(A2, EventsAll[Date], EventsAll[Event]),"")</f>
        <v/>
      </c>
      <c r="K2" s="18" t="str" cm="1">
        <f t="array" ref="K2">IF(SUMPRODUCT((A2&gt;=SchoolHols[Start])*(A2&lt;=SchoolHols[End]))&gt;0,"Y","N")</f>
        <v>Y</v>
      </c>
    </row>
    <row r="3" spans="1:11">
      <c r="A3" s="6">
        <f>$A2+1</f>
        <v>43832</v>
      </c>
      <c r="B3" s="4" t="str">
        <f t="shared" ref="B3:B66" si="0">TEXT($A3, "dd")</f>
        <v>02</v>
      </c>
      <c r="C3" s="4" t="str">
        <f t="shared" ref="C3:C66" si="1">TEXT($A3, "mm")</f>
        <v>01</v>
      </c>
      <c r="D3" s="4" t="str">
        <f t="shared" ref="D3:D66" si="2">TEXT($A3, "yyyy")</f>
        <v>2020</v>
      </c>
      <c r="E3" s="3" t="str">
        <f t="shared" ref="E3:E66" si="3">TEXT($A3, "dddd")</f>
        <v>Thursday</v>
      </c>
      <c r="F3" s="4" t="str">
        <f t="shared" ref="F3:F66" si="4">IF($E3="Sunday", "Y", "N")</f>
        <v>N</v>
      </c>
      <c r="G3" s="4" t="str">
        <f>IF(COUNTIF(PublicHols[Date], A3)&gt;0, "Y", "N")</f>
        <v>N</v>
      </c>
      <c r="H3" s="3" t="str">
        <f>IFERROR(_xlfn.XLOOKUP(A3, PublicHols[Date], PublicHols[PH_Name]),"")</f>
        <v/>
      </c>
      <c r="I3" s="4" t="str">
        <f>IF(COUNTIF(EventsAll[Date], A3)&gt;0, "Y", "N")</f>
        <v>N</v>
      </c>
      <c r="J3" s="11" t="str">
        <f>IFERROR(_xlfn.XLOOKUP(A3, EventsAll[Date], EventsAll[Event]),"")</f>
        <v/>
      </c>
      <c r="K3" s="4" t="str" cm="1">
        <f t="array" ref="K3">IF(SUMPRODUCT((A3&gt;=SchoolHols[Start])*(A3&lt;=SchoolHols[End]))&gt;0,"Y","N")</f>
        <v>Y</v>
      </c>
    </row>
    <row r="4" spans="1:11">
      <c r="A4" s="6">
        <f t="shared" ref="A4:A67" si="5">$A3+1</f>
        <v>43833</v>
      </c>
      <c r="B4" s="4" t="str">
        <f t="shared" si="0"/>
        <v>03</v>
      </c>
      <c r="C4" s="4" t="str">
        <f t="shared" si="1"/>
        <v>01</v>
      </c>
      <c r="D4" s="4" t="str">
        <f t="shared" si="2"/>
        <v>2020</v>
      </c>
      <c r="E4" s="3" t="str">
        <f t="shared" si="3"/>
        <v>Friday</v>
      </c>
      <c r="F4" s="4" t="str">
        <f t="shared" si="4"/>
        <v>N</v>
      </c>
      <c r="G4" s="4" t="str">
        <f>IF(COUNTIF(PublicHols[Date], A4)&gt;0, "Y", "N")</f>
        <v>N</v>
      </c>
      <c r="H4" s="3" t="str">
        <f>IFERROR(_xlfn.XLOOKUP(A4, PublicHols[Date], PublicHols[PH_Name]),"")</f>
        <v/>
      </c>
      <c r="I4" s="4" t="str">
        <f>IF(COUNTIF(EventsAll[Date], A4)&gt;0, "Y", "N")</f>
        <v>N</v>
      </c>
      <c r="J4" s="11" t="str">
        <f>IFERROR(_xlfn.XLOOKUP(A4, EventsAll[Date], EventsAll[Event]),"")</f>
        <v/>
      </c>
      <c r="K4" s="4" t="str" cm="1">
        <f t="array" ref="K4">IF(SUMPRODUCT((A4&gt;=SchoolHols[Start])*(A4&lt;=SchoolHols[End]))&gt;0,"Y","N")</f>
        <v>Y</v>
      </c>
    </row>
    <row r="5" spans="1:11">
      <c r="A5" s="6">
        <f t="shared" si="5"/>
        <v>43834</v>
      </c>
      <c r="B5" s="4" t="str">
        <f t="shared" si="0"/>
        <v>04</v>
      </c>
      <c r="C5" s="4" t="str">
        <f t="shared" si="1"/>
        <v>01</v>
      </c>
      <c r="D5" s="4" t="str">
        <f t="shared" si="2"/>
        <v>2020</v>
      </c>
      <c r="E5" s="3" t="str">
        <f t="shared" si="3"/>
        <v>Saturday</v>
      </c>
      <c r="F5" s="4" t="str">
        <f t="shared" si="4"/>
        <v>N</v>
      </c>
      <c r="G5" s="4" t="str">
        <f>IF(COUNTIF(PublicHols[Date], A5)&gt;0, "Y", "N")</f>
        <v>N</v>
      </c>
      <c r="H5" s="3" t="str">
        <f>IFERROR(_xlfn.XLOOKUP(A5, PublicHols[Date], PublicHols[PH_Name]),"")</f>
        <v/>
      </c>
      <c r="I5" s="4" t="str">
        <f>IF(COUNTIF(EventsAll[Date], A5)&gt;0, "Y", "N")</f>
        <v>N</v>
      </c>
      <c r="J5" s="11" t="str">
        <f>IFERROR(_xlfn.XLOOKUP(A5, EventsAll[Date], EventsAll[Event]),"")</f>
        <v/>
      </c>
      <c r="K5" s="4" t="str" cm="1">
        <f t="array" ref="K5">IF(SUMPRODUCT((A5&gt;=SchoolHols[Start])*(A5&lt;=SchoolHols[End]))&gt;0,"Y","N")</f>
        <v>Y</v>
      </c>
    </row>
    <row r="6" spans="1:11">
      <c r="A6" s="6">
        <f t="shared" si="5"/>
        <v>43835</v>
      </c>
      <c r="B6" s="4" t="str">
        <f t="shared" si="0"/>
        <v>05</v>
      </c>
      <c r="C6" s="4" t="str">
        <f t="shared" si="1"/>
        <v>01</v>
      </c>
      <c r="D6" s="4" t="str">
        <f t="shared" si="2"/>
        <v>2020</v>
      </c>
      <c r="E6" s="3" t="str">
        <f t="shared" si="3"/>
        <v>Sunday</v>
      </c>
      <c r="F6" s="4" t="str">
        <f t="shared" si="4"/>
        <v>Y</v>
      </c>
      <c r="G6" s="4" t="str">
        <f>IF(COUNTIF(PublicHols[Date], A6)&gt;0, "Y", "N")</f>
        <v>N</v>
      </c>
      <c r="H6" s="3" t="str">
        <f>IFERROR(_xlfn.XLOOKUP(A6, PublicHols[Date], PublicHols[PH_Name]),"")</f>
        <v/>
      </c>
      <c r="I6" s="4" t="str">
        <f>IF(COUNTIF(EventsAll[Date], A6)&gt;0, "Y", "N")</f>
        <v>N</v>
      </c>
      <c r="J6" s="11" t="str">
        <f>IFERROR(_xlfn.XLOOKUP(A6, EventsAll[Date], EventsAll[Event]),"")</f>
        <v/>
      </c>
      <c r="K6" s="4" t="str" cm="1">
        <f t="array" ref="K6">IF(SUMPRODUCT((A6&gt;=SchoolHols[Start])*(A6&lt;=SchoolHols[End]))&gt;0,"Y","N")</f>
        <v>Y</v>
      </c>
    </row>
    <row r="7" spans="1:11">
      <c r="A7" s="6">
        <f t="shared" si="5"/>
        <v>43836</v>
      </c>
      <c r="B7" s="4" t="str">
        <f t="shared" si="0"/>
        <v>06</v>
      </c>
      <c r="C7" s="4" t="str">
        <f t="shared" si="1"/>
        <v>01</v>
      </c>
      <c r="D7" s="4" t="str">
        <f t="shared" si="2"/>
        <v>2020</v>
      </c>
      <c r="E7" s="3" t="str">
        <f t="shared" si="3"/>
        <v>Monday</v>
      </c>
      <c r="F7" s="4" t="str">
        <f t="shared" si="4"/>
        <v>N</v>
      </c>
      <c r="G7" s="4" t="str">
        <f>IF(COUNTIF(PublicHols[Date], A7)&gt;0, "Y", "N")</f>
        <v>N</v>
      </c>
      <c r="H7" s="3" t="str">
        <f>IFERROR(_xlfn.XLOOKUP(A7, PublicHols[Date], PublicHols[PH_Name]),"")</f>
        <v/>
      </c>
      <c r="I7" s="4" t="str">
        <f>IF(COUNTIF(EventsAll[Date], A7)&gt;0, "Y", "N")</f>
        <v>N</v>
      </c>
      <c r="J7" s="11" t="str">
        <f>IFERROR(_xlfn.XLOOKUP(A7, EventsAll[Date], EventsAll[Event]),"")</f>
        <v/>
      </c>
      <c r="K7" s="4" t="str" cm="1">
        <f t="array" ref="K7">IF(SUMPRODUCT((A7&gt;=SchoolHols[Start])*(A7&lt;=SchoolHols[End]))&gt;0,"Y","N")</f>
        <v>Y</v>
      </c>
    </row>
    <row r="8" spans="1:11">
      <c r="A8" s="6">
        <f t="shared" si="5"/>
        <v>43837</v>
      </c>
      <c r="B8" s="4" t="str">
        <f t="shared" si="0"/>
        <v>07</v>
      </c>
      <c r="C8" s="4" t="str">
        <f t="shared" si="1"/>
        <v>01</v>
      </c>
      <c r="D8" s="4" t="str">
        <f t="shared" si="2"/>
        <v>2020</v>
      </c>
      <c r="E8" s="3" t="str">
        <f t="shared" si="3"/>
        <v>Tuesday</v>
      </c>
      <c r="F8" s="4" t="str">
        <f t="shared" si="4"/>
        <v>N</v>
      </c>
      <c r="G8" s="4" t="str">
        <f>IF(COUNTIF(PublicHols[Date], A8)&gt;0, "Y", "N")</f>
        <v>N</v>
      </c>
      <c r="H8" s="3" t="str">
        <f>IFERROR(_xlfn.XLOOKUP(A8, PublicHols[Date], PublicHols[PH_Name]),"")</f>
        <v/>
      </c>
      <c r="I8" s="4" t="str">
        <f>IF(COUNTIF(EventsAll[Date], A8)&gt;0, "Y", "N")</f>
        <v>N</v>
      </c>
      <c r="J8" s="11" t="str">
        <f>IFERROR(_xlfn.XLOOKUP(A8, EventsAll[Date], EventsAll[Event]),"")</f>
        <v/>
      </c>
      <c r="K8" s="4" t="str" cm="1">
        <f t="array" ref="K8">IF(SUMPRODUCT((A8&gt;=SchoolHols[Start])*(A8&lt;=SchoolHols[End]))&gt;0,"Y","N")</f>
        <v>Y</v>
      </c>
    </row>
    <row r="9" spans="1:11">
      <c r="A9" s="6">
        <f t="shared" si="5"/>
        <v>43838</v>
      </c>
      <c r="B9" s="4" t="str">
        <f t="shared" si="0"/>
        <v>08</v>
      </c>
      <c r="C9" s="4" t="str">
        <f t="shared" si="1"/>
        <v>01</v>
      </c>
      <c r="D9" s="4" t="str">
        <f t="shared" si="2"/>
        <v>2020</v>
      </c>
      <c r="E9" s="3" t="str">
        <f t="shared" si="3"/>
        <v>Wednesday</v>
      </c>
      <c r="F9" s="4" t="str">
        <f t="shared" si="4"/>
        <v>N</v>
      </c>
      <c r="G9" s="4" t="str">
        <f>IF(COUNTIF(PublicHols[Date], A9)&gt;0, "Y", "N")</f>
        <v>N</v>
      </c>
      <c r="H9" s="3" t="str">
        <f>IFERROR(_xlfn.XLOOKUP(A9, PublicHols[Date], PublicHols[PH_Name]),"")</f>
        <v/>
      </c>
      <c r="I9" s="4" t="str">
        <f>IF(COUNTIF(EventsAll[Date], A9)&gt;0, "Y", "N")</f>
        <v>N</v>
      </c>
      <c r="J9" s="11" t="str">
        <f>IFERROR(_xlfn.XLOOKUP(A9, EventsAll[Date], EventsAll[Event]),"")</f>
        <v/>
      </c>
      <c r="K9" s="4" t="str" cm="1">
        <f t="array" ref="K9">IF(SUMPRODUCT((A9&gt;=SchoolHols[Start])*(A9&lt;=SchoolHols[End]))&gt;0,"Y","N")</f>
        <v>Y</v>
      </c>
    </row>
    <row r="10" spans="1:11">
      <c r="A10" s="6">
        <f t="shared" si="5"/>
        <v>43839</v>
      </c>
      <c r="B10" s="4" t="str">
        <f t="shared" si="0"/>
        <v>09</v>
      </c>
      <c r="C10" s="4" t="str">
        <f t="shared" si="1"/>
        <v>01</v>
      </c>
      <c r="D10" s="4" t="str">
        <f t="shared" si="2"/>
        <v>2020</v>
      </c>
      <c r="E10" s="3" t="str">
        <f t="shared" si="3"/>
        <v>Thursday</v>
      </c>
      <c r="F10" s="4" t="str">
        <f t="shared" si="4"/>
        <v>N</v>
      </c>
      <c r="G10" s="4" t="str">
        <f>IF(COUNTIF(PublicHols[Date], A10)&gt;0, "Y", "N")</f>
        <v>N</v>
      </c>
      <c r="H10" s="3" t="str">
        <f>IFERROR(_xlfn.XLOOKUP(A10, PublicHols[Date], PublicHols[PH_Name]),"")</f>
        <v/>
      </c>
      <c r="I10" s="4" t="str">
        <f>IF(COUNTIF(EventsAll[Date], A10)&gt;0, "Y", "N")</f>
        <v>N</v>
      </c>
      <c r="J10" s="11" t="str">
        <f>IFERROR(_xlfn.XLOOKUP(A10, EventsAll[Date], EventsAll[Event]),"")</f>
        <v/>
      </c>
      <c r="K10" s="4" t="str" cm="1">
        <f t="array" ref="K10">IF(SUMPRODUCT((A10&gt;=SchoolHols[Start])*(A10&lt;=SchoolHols[End]))&gt;0,"Y","N")</f>
        <v>Y</v>
      </c>
    </row>
    <row r="11" spans="1:11">
      <c r="A11" s="6">
        <f t="shared" si="5"/>
        <v>43840</v>
      </c>
      <c r="B11" s="4" t="str">
        <f t="shared" si="0"/>
        <v>10</v>
      </c>
      <c r="C11" s="4" t="str">
        <f t="shared" si="1"/>
        <v>01</v>
      </c>
      <c r="D11" s="4" t="str">
        <f t="shared" si="2"/>
        <v>2020</v>
      </c>
      <c r="E11" s="3" t="str">
        <f t="shared" si="3"/>
        <v>Friday</v>
      </c>
      <c r="F11" s="4" t="str">
        <f t="shared" si="4"/>
        <v>N</v>
      </c>
      <c r="G11" s="4" t="str">
        <f>IF(COUNTIF(PublicHols[Date], A11)&gt;0, "Y", "N")</f>
        <v>N</v>
      </c>
      <c r="H11" s="3" t="str">
        <f>IFERROR(_xlfn.XLOOKUP(A11, PublicHols[Date], PublicHols[PH_Name]),"")</f>
        <v/>
      </c>
      <c r="I11" s="4" t="str">
        <f>IF(COUNTIF(EventsAll[Date], A11)&gt;0, "Y", "N")</f>
        <v>N</v>
      </c>
      <c r="J11" s="11" t="str">
        <f>IFERROR(_xlfn.XLOOKUP(A11, EventsAll[Date], EventsAll[Event]),"")</f>
        <v/>
      </c>
      <c r="K11" s="4" t="str" cm="1">
        <f t="array" ref="K11">IF(SUMPRODUCT((A11&gt;=SchoolHols[Start])*(A11&lt;=SchoolHols[End]))&gt;0,"Y","N")</f>
        <v>Y</v>
      </c>
    </row>
    <row r="12" spans="1:11">
      <c r="A12" s="6">
        <f t="shared" si="5"/>
        <v>43841</v>
      </c>
      <c r="B12" s="4" t="str">
        <f t="shared" si="0"/>
        <v>11</v>
      </c>
      <c r="C12" s="4" t="str">
        <f t="shared" si="1"/>
        <v>01</v>
      </c>
      <c r="D12" s="4" t="str">
        <f t="shared" si="2"/>
        <v>2020</v>
      </c>
      <c r="E12" s="3" t="str">
        <f t="shared" si="3"/>
        <v>Saturday</v>
      </c>
      <c r="F12" s="4" t="str">
        <f t="shared" si="4"/>
        <v>N</v>
      </c>
      <c r="G12" s="4" t="str">
        <f>IF(COUNTIF(PublicHols[Date], A12)&gt;0, "Y", "N")</f>
        <v>N</v>
      </c>
      <c r="H12" s="3" t="str">
        <f>IFERROR(_xlfn.XLOOKUP(A12, PublicHols[Date], PublicHols[PH_Name]),"")</f>
        <v/>
      </c>
      <c r="I12" s="4" t="str">
        <f>IF(COUNTIF(EventsAll[Date], A12)&gt;0, "Y", "N")</f>
        <v>N</v>
      </c>
      <c r="J12" s="11" t="str">
        <f>IFERROR(_xlfn.XLOOKUP(A12, EventsAll[Date], EventsAll[Event]),"")</f>
        <v/>
      </c>
      <c r="K12" s="4" t="str" cm="1">
        <f t="array" ref="K12">IF(SUMPRODUCT((A12&gt;=SchoolHols[Start])*(A12&lt;=SchoolHols[End]))&gt;0,"Y","N")</f>
        <v>Y</v>
      </c>
    </row>
    <row r="13" spans="1:11">
      <c r="A13" s="6">
        <f t="shared" si="5"/>
        <v>43842</v>
      </c>
      <c r="B13" s="4" t="str">
        <f t="shared" si="0"/>
        <v>12</v>
      </c>
      <c r="C13" s="4" t="str">
        <f t="shared" si="1"/>
        <v>01</v>
      </c>
      <c r="D13" s="4" t="str">
        <f t="shared" si="2"/>
        <v>2020</v>
      </c>
      <c r="E13" s="3" t="str">
        <f t="shared" si="3"/>
        <v>Sunday</v>
      </c>
      <c r="F13" s="4" t="str">
        <f t="shared" si="4"/>
        <v>Y</v>
      </c>
      <c r="G13" s="4" t="str">
        <f>IF(COUNTIF(PublicHols[Date], A13)&gt;0, "Y", "N")</f>
        <v>N</v>
      </c>
      <c r="H13" s="3" t="str">
        <f>IFERROR(_xlfn.XLOOKUP(A13, PublicHols[Date], PublicHols[PH_Name]),"")</f>
        <v/>
      </c>
      <c r="I13" s="4" t="str">
        <f>IF(COUNTIF(EventsAll[Date], A13)&gt;0, "Y", "N")</f>
        <v>N</v>
      </c>
      <c r="J13" s="11" t="str">
        <f>IFERROR(_xlfn.XLOOKUP(A13, EventsAll[Date], EventsAll[Event]),"")</f>
        <v/>
      </c>
      <c r="K13" s="4" t="str" cm="1">
        <f t="array" ref="K13">IF(SUMPRODUCT((A13&gt;=SchoolHols[Start])*(A13&lt;=SchoolHols[End]))&gt;0,"Y","N")</f>
        <v>Y</v>
      </c>
    </row>
    <row r="14" spans="1:11">
      <c r="A14" s="6">
        <f t="shared" si="5"/>
        <v>43843</v>
      </c>
      <c r="B14" s="4" t="str">
        <f t="shared" si="0"/>
        <v>13</v>
      </c>
      <c r="C14" s="4" t="str">
        <f t="shared" si="1"/>
        <v>01</v>
      </c>
      <c r="D14" s="4" t="str">
        <f t="shared" si="2"/>
        <v>2020</v>
      </c>
      <c r="E14" s="3" t="str">
        <f t="shared" si="3"/>
        <v>Monday</v>
      </c>
      <c r="F14" s="4" t="str">
        <f t="shared" si="4"/>
        <v>N</v>
      </c>
      <c r="G14" s="4" t="str">
        <f>IF(COUNTIF(PublicHols[Date], A14)&gt;0, "Y", "N")</f>
        <v>N</v>
      </c>
      <c r="H14" s="3" t="str">
        <f>IFERROR(_xlfn.XLOOKUP(A14, PublicHols[Date], PublicHols[PH_Name]),"")</f>
        <v/>
      </c>
      <c r="I14" s="4" t="str">
        <f>IF(COUNTIF(EventsAll[Date], A14)&gt;0, "Y", "N")</f>
        <v>N</v>
      </c>
      <c r="J14" s="11" t="str">
        <f>IFERROR(_xlfn.XLOOKUP(A14, EventsAll[Date], EventsAll[Event]),"")</f>
        <v/>
      </c>
      <c r="K14" s="4" t="str" cm="1">
        <f t="array" ref="K14">IF(SUMPRODUCT((A14&gt;=SchoolHols[Start])*(A14&lt;=SchoolHols[End]))&gt;0,"Y","N")</f>
        <v>Y</v>
      </c>
    </row>
    <row r="15" spans="1:11">
      <c r="A15" s="6">
        <f t="shared" si="5"/>
        <v>43844</v>
      </c>
      <c r="B15" s="4" t="str">
        <f t="shared" si="0"/>
        <v>14</v>
      </c>
      <c r="C15" s="4" t="str">
        <f t="shared" si="1"/>
        <v>01</v>
      </c>
      <c r="D15" s="4" t="str">
        <f t="shared" si="2"/>
        <v>2020</v>
      </c>
      <c r="E15" s="3" t="str">
        <f t="shared" si="3"/>
        <v>Tuesday</v>
      </c>
      <c r="F15" s="4" t="str">
        <f t="shared" si="4"/>
        <v>N</v>
      </c>
      <c r="G15" s="4" t="str">
        <f>IF(COUNTIF(PublicHols[Date], A15)&gt;0, "Y", "N")</f>
        <v>N</v>
      </c>
      <c r="H15" s="3" t="str">
        <f>IFERROR(_xlfn.XLOOKUP(A15, PublicHols[Date], PublicHols[PH_Name]),"")</f>
        <v/>
      </c>
      <c r="I15" s="4" t="str">
        <f>IF(COUNTIF(EventsAll[Date], A15)&gt;0, "Y", "N")</f>
        <v>N</v>
      </c>
      <c r="J15" s="11" t="str">
        <f>IFERROR(_xlfn.XLOOKUP(A15, EventsAll[Date], EventsAll[Event]),"")</f>
        <v/>
      </c>
      <c r="K15" s="4" t="str" cm="1">
        <f t="array" ref="K15">IF(SUMPRODUCT((A15&gt;=SchoolHols[Start])*(A15&lt;=SchoolHols[End]))&gt;0,"Y","N")</f>
        <v>Y</v>
      </c>
    </row>
    <row r="16" spans="1:11">
      <c r="A16" s="6">
        <f t="shared" si="5"/>
        <v>43845</v>
      </c>
      <c r="B16" s="4" t="str">
        <f t="shared" si="0"/>
        <v>15</v>
      </c>
      <c r="C16" s="4" t="str">
        <f t="shared" si="1"/>
        <v>01</v>
      </c>
      <c r="D16" s="4" t="str">
        <f t="shared" si="2"/>
        <v>2020</v>
      </c>
      <c r="E16" s="3" t="str">
        <f t="shared" si="3"/>
        <v>Wednesday</v>
      </c>
      <c r="F16" s="4" t="str">
        <f t="shared" si="4"/>
        <v>N</v>
      </c>
      <c r="G16" s="4" t="str">
        <f>IF(COUNTIF(PublicHols[Date], A16)&gt;0, "Y", "N")</f>
        <v>N</v>
      </c>
      <c r="H16" s="3" t="str">
        <f>IFERROR(_xlfn.XLOOKUP(A16, PublicHols[Date], PublicHols[PH_Name]),"")</f>
        <v/>
      </c>
      <c r="I16" s="4" t="str">
        <f>IF(COUNTIF(EventsAll[Date], A16)&gt;0, "Y", "N")</f>
        <v>Y</v>
      </c>
      <c r="J16" s="11" t="str">
        <f>IFERROR(_xlfn.XLOOKUP(A16, EventsAll[Date], EventsAll[Event]),"")</f>
        <v xml:space="preserve"> Back to School (Term 1)</v>
      </c>
      <c r="K16" s="4" t="str" cm="1">
        <f t="array" ref="K16">IF(SUMPRODUCT((A16&gt;=SchoolHols[Start])*(A16&lt;=SchoolHols[End]))&gt;0,"Y","N")</f>
        <v>N</v>
      </c>
    </row>
    <row r="17" spans="1:11">
      <c r="A17" s="6">
        <f t="shared" si="5"/>
        <v>43846</v>
      </c>
      <c r="B17" s="4" t="str">
        <f t="shared" si="0"/>
        <v>16</v>
      </c>
      <c r="C17" s="4" t="str">
        <f t="shared" si="1"/>
        <v>01</v>
      </c>
      <c r="D17" s="4" t="str">
        <f t="shared" si="2"/>
        <v>2020</v>
      </c>
      <c r="E17" s="3" t="str">
        <f t="shared" si="3"/>
        <v>Thursday</v>
      </c>
      <c r="F17" s="4" t="str">
        <f t="shared" si="4"/>
        <v>N</v>
      </c>
      <c r="G17" s="4" t="str">
        <f>IF(COUNTIF(PublicHols[Date], A17)&gt;0, "Y", "N")</f>
        <v>N</v>
      </c>
      <c r="H17" s="3" t="str">
        <f>IFERROR(_xlfn.XLOOKUP(A17, PublicHols[Date], PublicHols[PH_Name]),"")</f>
        <v/>
      </c>
      <c r="I17" s="4" t="str">
        <f>IF(COUNTIF(EventsAll[Date], A17)&gt;0, "Y", "N")</f>
        <v>N</v>
      </c>
      <c r="J17" s="11" t="str">
        <f>IFERROR(_xlfn.XLOOKUP(A17, EventsAll[Date], EventsAll[Event]),"")</f>
        <v/>
      </c>
      <c r="K17" s="4" t="str" cm="1">
        <f t="array" ref="K17">IF(SUMPRODUCT((A17&gt;=SchoolHols[Start])*(A17&lt;=SchoolHols[End]))&gt;0,"Y","N")</f>
        <v>N</v>
      </c>
    </row>
    <row r="18" spans="1:11">
      <c r="A18" s="6">
        <f t="shared" si="5"/>
        <v>43847</v>
      </c>
      <c r="B18" s="4" t="str">
        <f t="shared" si="0"/>
        <v>17</v>
      </c>
      <c r="C18" s="4" t="str">
        <f t="shared" si="1"/>
        <v>01</v>
      </c>
      <c r="D18" s="4" t="str">
        <f t="shared" si="2"/>
        <v>2020</v>
      </c>
      <c r="E18" s="3" t="str">
        <f t="shared" si="3"/>
        <v>Friday</v>
      </c>
      <c r="F18" s="4" t="str">
        <f t="shared" si="4"/>
        <v>N</v>
      </c>
      <c r="G18" s="4" t="str">
        <f>IF(COUNTIF(PublicHols[Date], A18)&gt;0, "Y", "N")</f>
        <v>N</v>
      </c>
      <c r="H18" s="3" t="str">
        <f>IFERROR(_xlfn.XLOOKUP(A18, PublicHols[Date], PublicHols[PH_Name]),"")</f>
        <v/>
      </c>
      <c r="I18" s="4" t="str">
        <f>IF(COUNTIF(EventsAll[Date], A18)&gt;0, "Y", "N")</f>
        <v>N</v>
      </c>
      <c r="J18" s="11" t="str">
        <f>IFERROR(_xlfn.XLOOKUP(A18, EventsAll[Date], EventsAll[Event]),"")</f>
        <v/>
      </c>
      <c r="K18" s="4" t="str" cm="1">
        <f t="array" ref="K18">IF(SUMPRODUCT((A18&gt;=SchoolHols[Start])*(A18&lt;=SchoolHols[End]))&gt;0,"Y","N")</f>
        <v>N</v>
      </c>
    </row>
    <row r="19" spans="1:11">
      <c r="A19" s="6">
        <f t="shared" si="5"/>
        <v>43848</v>
      </c>
      <c r="B19" s="4" t="str">
        <f t="shared" si="0"/>
        <v>18</v>
      </c>
      <c r="C19" s="4" t="str">
        <f t="shared" si="1"/>
        <v>01</v>
      </c>
      <c r="D19" s="4" t="str">
        <f t="shared" si="2"/>
        <v>2020</v>
      </c>
      <c r="E19" s="3" t="str">
        <f t="shared" si="3"/>
        <v>Saturday</v>
      </c>
      <c r="F19" s="4" t="str">
        <f t="shared" si="4"/>
        <v>N</v>
      </c>
      <c r="G19" s="4" t="str">
        <f>IF(COUNTIF(PublicHols[Date], A19)&gt;0, "Y", "N")</f>
        <v>N</v>
      </c>
      <c r="H19" s="3" t="str">
        <f>IFERROR(_xlfn.XLOOKUP(A19, PublicHols[Date], PublicHols[PH_Name]),"")</f>
        <v/>
      </c>
      <c r="I19" s="4" t="str">
        <f>IF(COUNTIF(EventsAll[Date], A19)&gt;0, "Y", "N")</f>
        <v>N</v>
      </c>
      <c r="J19" s="11" t="str">
        <f>IFERROR(_xlfn.XLOOKUP(A19, EventsAll[Date], EventsAll[Event]),"")</f>
        <v/>
      </c>
      <c r="K19" s="4" t="str" cm="1">
        <f t="array" ref="K19">IF(SUMPRODUCT((A19&gt;=SchoolHols[Start])*(A19&lt;=SchoolHols[End]))&gt;0,"Y","N")</f>
        <v>N</v>
      </c>
    </row>
    <row r="20" spans="1:11">
      <c r="A20" s="6">
        <f t="shared" si="5"/>
        <v>43849</v>
      </c>
      <c r="B20" s="4" t="str">
        <f t="shared" si="0"/>
        <v>19</v>
      </c>
      <c r="C20" s="4" t="str">
        <f t="shared" si="1"/>
        <v>01</v>
      </c>
      <c r="D20" s="4" t="str">
        <f t="shared" si="2"/>
        <v>2020</v>
      </c>
      <c r="E20" s="3" t="str">
        <f t="shared" si="3"/>
        <v>Sunday</v>
      </c>
      <c r="F20" s="4" t="str">
        <f t="shared" si="4"/>
        <v>Y</v>
      </c>
      <c r="G20" s="4" t="str">
        <f>IF(COUNTIF(PublicHols[Date], A20)&gt;0, "Y", "N")</f>
        <v>N</v>
      </c>
      <c r="H20" s="3" t="str">
        <f>IFERROR(_xlfn.XLOOKUP(A20, PublicHols[Date], PublicHols[PH_Name]),"")</f>
        <v/>
      </c>
      <c r="I20" s="4" t="str">
        <f>IF(COUNTIF(EventsAll[Date], A20)&gt;0, "Y", "N")</f>
        <v>N</v>
      </c>
      <c r="J20" s="11" t="str">
        <f>IFERROR(_xlfn.XLOOKUP(A20, EventsAll[Date], EventsAll[Event]),"")</f>
        <v/>
      </c>
      <c r="K20" s="4" t="str" cm="1">
        <f t="array" ref="K20">IF(SUMPRODUCT((A20&gt;=SchoolHols[Start])*(A20&lt;=SchoolHols[End]))&gt;0,"Y","N")</f>
        <v>N</v>
      </c>
    </row>
    <row r="21" spans="1:11">
      <c r="A21" s="6">
        <f t="shared" si="5"/>
        <v>43850</v>
      </c>
      <c r="B21" s="4" t="str">
        <f t="shared" si="0"/>
        <v>20</v>
      </c>
      <c r="C21" s="4" t="str">
        <f t="shared" si="1"/>
        <v>01</v>
      </c>
      <c r="D21" s="4" t="str">
        <f t="shared" si="2"/>
        <v>2020</v>
      </c>
      <c r="E21" s="3" t="str">
        <f t="shared" si="3"/>
        <v>Monday</v>
      </c>
      <c r="F21" s="4" t="str">
        <f t="shared" si="4"/>
        <v>N</v>
      </c>
      <c r="G21" s="4" t="str">
        <f>IF(COUNTIF(PublicHols[Date], A21)&gt;0, "Y", "N")</f>
        <v>N</v>
      </c>
      <c r="H21" s="3" t="str">
        <f>IFERROR(_xlfn.XLOOKUP(A21, PublicHols[Date], PublicHols[PH_Name]),"")</f>
        <v/>
      </c>
      <c r="I21" s="4" t="str">
        <f>IF(COUNTIF(EventsAll[Date], A21)&gt;0, "Y", "N")</f>
        <v>N</v>
      </c>
      <c r="J21" s="11" t="str">
        <f>IFERROR(_xlfn.XLOOKUP(A21, EventsAll[Date], EventsAll[Event]),"")</f>
        <v/>
      </c>
      <c r="K21" s="4" t="str" cm="1">
        <f t="array" ref="K21">IF(SUMPRODUCT((A21&gt;=SchoolHols[Start])*(A21&lt;=SchoolHols[End]))&gt;0,"Y","N")</f>
        <v>N</v>
      </c>
    </row>
    <row r="22" spans="1:11">
      <c r="A22" s="6">
        <f t="shared" si="5"/>
        <v>43851</v>
      </c>
      <c r="B22" s="4" t="str">
        <f t="shared" si="0"/>
        <v>21</v>
      </c>
      <c r="C22" s="4" t="str">
        <f t="shared" si="1"/>
        <v>01</v>
      </c>
      <c r="D22" s="4" t="str">
        <f t="shared" si="2"/>
        <v>2020</v>
      </c>
      <c r="E22" s="3" t="str">
        <f t="shared" si="3"/>
        <v>Tuesday</v>
      </c>
      <c r="F22" s="4" t="str">
        <f t="shared" si="4"/>
        <v>N</v>
      </c>
      <c r="G22" s="4" t="str">
        <f>IF(COUNTIF(PublicHols[Date], A22)&gt;0, "Y", "N")</f>
        <v>N</v>
      </c>
      <c r="H22" s="3" t="str">
        <f>IFERROR(_xlfn.XLOOKUP(A22, PublicHols[Date], PublicHols[PH_Name]),"")</f>
        <v/>
      </c>
      <c r="I22" s="4" t="str">
        <f>IF(COUNTIF(EventsAll[Date], A22)&gt;0, "Y", "N")</f>
        <v>N</v>
      </c>
      <c r="J22" s="11" t="str">
        <f>IFERROR(_xlfn.XLOOKUP(A22, EventsAll[Date], EventsAll[Event]),"")</f>
        <v/>
      </c>
      <c r="K22" s="4" t="str" cm="1">
        <f t="array" ref="K22">IF(SUMPRODUCT((A22&gt;=SchoolHols[Start])*(A22&lt;=SchoolHols[End]))&gt;0,"Y","N")</f>
        <v>N</v>
      </c>
    </row>
    <row r="23" spans="1:11">
      <c r="A23" s="6">
        <f t="shared" si="5"/>
        <v>43852</v>
      </c>
      <c r="B23" s="4" t="str">
        <f t="shared" si="0"/>
        <v>22</v>
      </c>
      <c r="C23" s="4" t="str">
        <f t="shared" si="1"/>
        <v>01</v>
      </c>
      <c r="D23" s="4" t="str">
        <f t="shared" si="2"/>
        <v>2020</v>
      </c>
      <c r="E23" s="3" t="str">
        <f t="shared" si="3"/>
        <v>Wednesday</v>
      </c>
      <c r="F23" s="4" t="str">
        <f t="shared" si="4"/>
        <v>N</v>
      </c>
      <c r="G23" s="4" t="str">
        <f>IF(COUNTIF(PublicHols[Date], A23)&gt;0, "Y", "N")</f>
        <v>N</v>
      </c>
      <c r="H23" s="3" t="str">
        <f>IFERROR(_xlfn.XLOOKUP(A23, PublicHols[Date], PublicHols[PH_Name]),"")</f>
        <v/>
      </c>
      <c r="I23" s="4" t="str">
        <f>IF(COUNTIF(EventsAll[Date], A23)&gt;0, "Y", "N")</f>
        <v>N</v>
      </c>
      <c r="J23" s="11" t="str">
        <f>IFERROR(_xlfn.XLOOKUP(A23, EventsAll[Date], EventsAll[Event]),"")</f>
        <v/>
      </c>
      <c r="K23" s="4" t="str" cm="1">
        <f t="array" ref="K23">IF(SUMPRODUCT((A23&gt;=SchoolHols[Start])*(A23&lt;=SchoolHols[End]))&gt;0,"Y","N")</f>
        <v>N</v>
      </c>
    </row>
    <row r="24" spans="1:11">
      <c r="A24" s="6">
        <f t="shared" si="5"/>
        <v>43853</v>
      </c>
      <c r="B24" s="4" t="str">
        <f t="shared" si="0"/>
        <v>23</v>
      </c>
      <c r="C24" s="4" t="str">
        <f t="shared" si="1"/>
        <v>01</v>
      </c>
      <c r="D24" s="4" t="str">
        <f t="shared" si="2"/>
        <v>2020</v>
      </c>
      <c r="E24" s="3" t="str">
        <f t="shared" si="3"/>
        <v>Thursday</v>
      </c>
      <c r="F24" s="4" t="str">
        <f t="shared" si="4"/>
        <v>N</v>
      </c>
      <c r="G24" s="4" t="str">
        <f>IF(COUNTIF(PublicHols[Date], A24)&gt;0, "Y", "N")</f>
        <v>N</v>
      </c>
      <c r="H24" s="3" t="str">
        <f>IFERROR(_xlfn.XLOOKUP(A24, PublicHols[Date], PublicHols[PH_Name]),"")</f>
        <v/>
      </c>
      <c r="I24" s="4" t="str">
        <f>IF(COUNTIF(EventsAll[Date], A24)&gt;0, "Y", "N")</f>
        <v>N</v>
      </c>
      <c r="J24" s="11" t="str">
        <f>IFERROR(_xlfn.XLOOKUP(A24, EventsAll[Date], EventsAll[Event]),"")</f>
        <v/>
      </c>
      <c r="K24" s="4" t="str" cm="1">
        <f t="array" ref="K24">IF(SUMPRODUCT((A24&gt;=SchoolHols[Start])*(A24&lt;=SchoolHols[End]))&gt;0,"Y","N")</f>
        <v>N</v>
      </c>
    </row>
    <row r="25" spans="1:11">
      <c r="A25" s="6">
        <f t="shared" si="5"/>
        <v>43854</v>
      </c>
      <c r="B25" s="4" t="str">
        <f t="shared" si="0"/>
        <v>24</v>
      </c>
      <c r="C25" s="4" t="str">
        <f t="shared" si="1"/>
        <v>01</v>
      </c>
      <c r="D25" s="4" t="str">
        <f t="shared" si="2"/>
        <v>2020</v>
      </c>
      <c r="E25" s="3" t="str">
        <f t="shared" si="3"/>
        <v>Friday</v>
      </c>
      <c r="F25" s="4" t="str">
        <f t="shared" si="4"/>
        <v>N</v>
      </c>
      <c r="G25" s="4" t="str">
        <f>IF(COUNTIF(PublicHols[Date], A25)&gt;0, "Y", "N")</f>
        <v>N</v>
      </c>
      <c r="H25" s="3" t="str">
        <f>IFERROR(_xlfn.XLOOKUP(A25, PublicHols[Date], PublicHols[PH_Name]),"")</f>
        <v/>
      </c>
      <c r="I25" s="4" t="str">
        <f>IF(COUNTIF(EventsAll[Date], A25)&gt;0, "Y", "N")</f>
        <v>N</v>
      </c>
      <c r="J25" s="11" t="str">
        <f>IFERROR(_xlfn.XLOOKUP(A25, EventsAll[Date], EventsAll[Event]),"")</f>
        <v/>
      </c>
      <c r="K25" s="4" t="str" cm="1">
        <f t="array" ref="K25">IF(SUMPRODUCT((A25&gt;=SchoolHols[Start])*(A25&lt;=SchoolHols[End]))&gt;0,"Y","N")</f>
        <v>N</v>
      </c>
    </row>
    <row r="26" spans="1:11">
      <c r="A26" s="6">
        <f t="shared" si="5"/>
        <v>43855</v>
      </c>
      <c r="B26" s="4" t="str">
        <f t="shared" si="0"/>
        <v>25</v>
      </c>
      <c r="C26" s="4" t="str">
        <f t="shared" si="1"/>
        <v>01</v>
      </c>
      <c r="D26" s="4" t="str">
        <f t="shared" si="2"/>
        <v>2020</v>
      </c>
      <c r="E26" s="3" t="str">
        <f t="shared" si="3"/>
        <v>Saturday</v>
      </c>
      <c r="F26" s="4" t="str">
        <f t="shared" si="4"/>
        <v>N</v>
      </c>
      <c r="G26" s="4" t="str">
        <f>IF(COUNTIF(PublicHols[Date], A26)&gt;0, "Y", "N")</f>
        <v>N</v>
      </c>
      <c r="H26" s="3" t="str">
        <f>IFERROR(_xlfn.XLOOKUP(A26, PublicHols[Date], PublicHols[PH_Name]),"")</f>
        <v/>
      </c>
      <c r="I26" s="4" t="str">
        <f>IF(COUNTIF(EventsAll[Date], A26)&gt;0, "Y", "N")</f>
        <v>N</v>
      </c>
      <c r="J26" s="11" t="str">
        <f>IFERROR(_xlfn.XLOOKUP(A26, EventsAll[Date], EventsAll[Event]),"")</f>
        <v/>
      </c>
      <c r="K26" s="4" t="str" cm="1">
        <f t="array" ref="K26">IF(SUMPRODUCT((A26&gt;=SchoolHols[Start])*(A26&lt;=SchoolHols[End]))&gt;0,"Y","N")</f>
        <v>N</v>
      </c>
    </row>
    <row r="27" spans="1:11">
      <c r="A27" s="6">
        <f t="shared" si="5"/>
        <v>43856</v>
      </c>
      <c r="B27" s="4" t="str">
        <f t="shared" si="0"/>
        <v>26</v>
      </c>
      <c r="C27" s="4" t="str">
        <f t="shared" si="1"/>
        <v>01</v>
      </c>
      <c r="D27" s="4" t="str">
        <f t="shared" si="2"/>
        <v>2020</v>
      </c>
      <c r="E27" s="3" t="str">
        <f t="shared" si="3"/>
        <v>Sunday</v>
      </c>
      <c r="F27" s="4" t="str">
        <f t="shared" si="4"/>
        <v>Y</v>
      </c>
      <c r="G27" s="4" t="str">
        <f>IF(COUNTIF(PublicHols[Date], A27)&gt;0, "Y", "N")</f>
        <v>N</v>
      </c>
      <c r="H27" s="3" t="str">
        <f>IFERROR(_xlfn.XLOOKUP(A27, PublicHols[Date], PublicHols[PH_Name]),"")</f>
        <v/>
      </c>
      <c r="I27" s="4" t="str">
        <f>IF(COUNTIF(EventsAll[Date], A27)&gt;0, "Y", "N")</f>
        <v>N</v>
      </c>
      <c r="J27" s="11" t="str">
        <f>IFERROR(_xlfn.XLOOKUP(A27, EventsAll[Date], EventsAll[Event]),"")</f>
        <v/>
      </c>
      <c r="K27" s="4" t="str" cm="1">
        <f t="array" ref="K27">IF(SUMPRODUCT((A27&gt;=SchoolHols[Start])*(A27&lt;=SchoolHols[End]))&gt;0,"Y","N")</f>
        <v>N</v>
      </c>
    </row>
    <row r="28" spans="1:11">
      <c r="A28" s="6">
        <f t="shared" si="5"/>
        <v>43857</v>
      </c>
      <c r="B28" s="4" t="str">
        <f t="shared" si="0"/>
        <v>27</v>
      </c>
      <c r="C28" s="4" t="str">
        <f t="shared" si="1"/>
        <v>01</v>
      </c>
      <c r="D28" s="4" t="str">
        <f t="shared" si="2"/>
        <v>2020</v>
      </c>
      <c r="E28" s="3" t="str">
        <f t="shared" si="3"/>
        <v>Monday</v>
      </c>
      <c r="F28" s="4" t="str">
        <f t="shared" si="4"/>
        <v>N</v>
      </c>
      <c r="G28" s="4" t="str">
        <f>IF(COUNTIF(PublicHols[Date], A28)&gt;0, "Y", "N")</f>
        <v>N</v>
      </c>
      <c r="H28" s="3" t="str">
        <f>IFERROR(_xlfn.XLOOKUP(A28, PublicHols[Date], PublicHols[PH_Name]),"")</f>
        <v/>
      </c>
      <c r="I28" s="4" t="str">
        <f>IF(COUNTIF(EventsAll[Date], A28)&gt;0, "Y", "N")</f>
        <v>N</v>
      </c>
      <c r="J28" s="11" t="str">
        <f>IFERROR(_xlfn.XLOOKUP(A28, EventsAll[Date], EventsAll[Event]),"")</f>
        <v/>
      </c>
      <c r="K28" s="4" t="str" cm="1">
        <f t="array" ref="K28">IF(SUMPRODUCT((A28&gt;=SchoolHols[Start])*(A28&lt;=SchoolHols[End]))&gt;0,"Y","N")</f>
        <v>N</v>
      </c>
    </row>
    <row r="29" spans="1:11">
      <c r="A29" s="6">
        <f t="shared" si="5"/>
        <v>43858</v>
      </c>
      <c r="B29" s="4" t="str">
        <f t="shared" si="0"/>
        <v>28</v>
      </c>
      <c r="C29" s="4" t="str">
        <f t="shared" si="1"/>
        <v>01</v>
      </c>
      <c r="D29" s="4" t="str">
        <f t="shared" si="2"/>
        <v>2020</v>
      </c>
      <c r="E29" s="3" t="str">
        <f t="shared" si="3"/>
        <v>Tuesday</v>
      </c>
      <c r="F29" s="4" t="str">
        <f t="shared" si="4"/>
        <v>N</v>
      </c>
      <c r="G29" s="4" t="str">
        <f>IF(COUNTIF(PublicHols[Date], A29)&gt;0, "Y", "N")</f>
        <v>N</v>
      </c>
      <c r="H29" s="3" t="str">
        <f>IFERROR(_xlfn.XLOOKUP(A29, PublicHols[Date], PublicHols[PH_Name]),"")</f>
        <v/>
      </c>
      <c r="I29" s="4" t="str">
        <f>IF(COUNTIF(EventsAll[Date], A29)&gt;0, "Y", "N")</f>
        <v>N</v>
      </c>
      <c r="J29" s="11" t="str">
        <f>IFERROR(_xlfn.XLOOKUP(A29, EventsAll[Date], EventsAll[Event]),"")</f>
        <v/>
      </c>
      <c r="K29" s="4" t="str" cm="1">
        <f t="array" ref="K29">IF(SUMPRODUCT((A29&gt;=SchoolHols[Start])*(A29&lt;=SchoolHols[End]))&gt;0,"Y","N")</f>
        <v>N</v>
      </c>
    </row>
    <row r="30" spans="1:11">
      <c r="A30" s="6">
        <f t="shared" si="5"/>
        <v>43859</v>
      </c>
      <c r="B30" s="4" t="str">
        <f t="shared" si="0"/>
        <v>29</v>
      </c>
      <c r="C30" s="4" t="str">
        <f t="shared" si="1"/>
        <v>01</v>
      </c>
      <c r="D30" s="4" t="str">
        <f t="shared" si="2"/>
        <v>2020</v>
      </c>
      <c r="E30" s="3" t="str">
        <f t="shared" si="3"/>
        <v>Wednesday</v>
      </c>
      <c r="F30" s="4" t="str">
        <f t="shared" si="4"/>
        <v>N</v>
      </c>
      <c r="G30" s="4" t="str">
        <f>IF(COUNTIF(PublicHols[Date], A30)&gt;0, "Y", "N")</f>
        <v>N</v>
      </c>
      <c r="H30" s="3" t="str">
        <f>IFERROR(_xlfn.XLOOKUP(A30, PublicHols[Date], PublicHols[PH_Name]),"")</f>
        <v/>
      </c>
      <c r="I30" s="4" t="str">
        <f>IF(COUNTIF(EventsAll[Date], A30)&gt;0, "Y", "N")</f>
        <v>N</v>
      </c>
      <c r="J30" s="11" t="str">
        <f>IFERROR(_xlfn.XLOOKUP(A30, EventsAll[Date], EventsAll[Event]),"")</f>
        <v/>
      </c>
      <c r="K30" s="4" t="str" cm="1">
        <f t="array" ref="K30">IF(SUMPRODUCT((A30&gt;=SchoolHols[Start])*(A30&lt;=SchoolHols[End]))&gt;0,"Y","N")</f>
        <v>N</v>
      </c>
    </row>
    <row r="31" spans="1:11">
      <c r="A31" s="6">
        <f t="shared" si="5"/>
        <v>43860</v>
      </c>
      <c r="B31" s="4" t="str">
        <f t="shared" si="0"/>
        <v>30</v>
      </c>
      <c r="C31" s="4" t="str">
        <f t="shared" si="1"/>
        <v>01</v>
      </c>
      <c r="D31" s="4" t="str">
        <f t="shared" si="2"/>
        <v>2020</v>
      </c>
      <c r="E31" s="3" t="str">
        <f t="shared" si="3"/>
        <v>Thursday</v>
      </c>
      <c r="F31" s="4" t="str">
        <f t="shared" si="4"/>
        <v>N</v>
      </c>
      <c r="G31" s="4" t="str">
        <f>IF(COUNTIF(PublicHols[Date], A31)&gt;0, "Y", "N")</f>
        <v>N</v>
      </c>
      <c r="H31" s="3" t="str">
        <f>IFERROR(_xlfn.XLOOKUP(A31, PublicHols[Date], PublicHols[PH_Name]),"")</f>
        <v/>
      </c>
      <c r="I31" s="4" t="str">
        <f>IF(COUNTIF(EventsAll[Date], A31)&gt;0, "Y", "N")</f>
        <v>N</v>
      </c>
      <c r="J31" s="11" t="str">
        <f>IFERROR(_xlfn.XLOOKUP(A31, EventsAll[Date], EventsAll[Event]),"")</f>
        <v/>
      </c>
      <c r="K31" s="4" t="str" cm="1">
        <f t="array" ref="K31">IF(SUMPRODUCT((A31&gt;=SchoolHols[Start])*(A31&lt;=SchoolHols[End]))&gt;0,"Y","N")</f>
        <v>N</v>
      </c>
    </row>
    <row r="32" spans="1:11">
      <c r="A32" s="6">
        <f t="shared" si="5"/>
        <v>43861</v>
      </c>
      <c r="B32" s="4" t="str">
        <f t="shared" si="0"/>
        <v>31</v>
      </c>
      <c r="C32" s="4" t="str">
        <f t="shared" si="1"/>
        <v>01</v>
      </c>
      <c r="D32" s="4" t="str">
        <f t="shared" si="2"/>
        <v>2020</v>
      </c>
      <c r="E32" s="3" t="str">
        <f t="shared" si="3"/>
        <v>Friday</v>
      </c>
      <c r="F32" s="4" t="str">
        <f t="shared" si="4"/>
        <v>N</v>
      </c>
      <c r="G32" s="4" t="str">
        <f>IF(COUNTIF(PublicHols[Date], A32)&gt;0, "Y", "N")</f>
        <v>N</v>
      </c>
      <c r="H32" s="3" t="str">
        <f>IFERROR(_xlfn.XLOOKUP(A32, PublicHols[Date], PublicHols[PH_Name]),"")</f>
        <v/>
      </c>
      <c r="I32" s="4" t="str">
        <f>IF(COUNTIF(EventsAll[Date], A32)&gt;0, "Y", "N")</f>
        <v>N</v>
      </c>
      <c r="J32" s="11" t="str">
        <f>IFERROR(_xlfn.XLOOKUP(A32, EventsAll[Date], EventsAll[Event]),"")</f>
        <v/>
      </c>
      <c r="K32" s="4" t="str" cm="1">
        <f t="array" ref="K32">IF(SUMPRODUCT((A32&gt;=SchoolHols[Start])*(A32&lt;=SchoolHols[End]))&gt;0,"Y","N")</f>
        <v>N</v>
      </c>
    </row>
    <row r="33" spans="1:11">
      <c r="A33" s="6">
        <f t="shared" si="5"/>
        <v>43862</v>
      </c>
      <c r="B33" s="4" t="str">
        <f t="shared" si="0"/>
        <v>01</v>
      </c>
      <c r="C33" s="4" t="str">
        <f t="shared" si="1"/>
        <v>02</v>
      </c>
      <c r="D33" s="4" t="str">
        <f t="shared" si="2"/>
        <v>2020</v>
      </c>
      <c r="E33" s="3" t="str">
        <f t="shared" si="3"/>
        <v>Saturday</v>
      </c>
      <c r="F33" s="4" t="str">
        <f t="shared" si="4"/>
        <v>N</v>
      </c>
      <c r="G33" s="4" t="str">
        <f>IF(COUNTIF(PublicHols[Date], A33)&gt;0, "Y", "N")</f>
        <v>N</v>
      </c>
      <c r="H33" s="3" t="str">
        <f>IFERROR(_xlfn.XLOOKUP(A33, PublicHols[Date], PublicHols[PH_Name]),"")</f>
        <v/>
      </c>
      <c r="I33" s="4" t="str">
        <f>IF(COUNTIF(EventsAll[Date], A33)&gt;0, "Y", "N")</f>
        <v>N</v>
      </c>
      <c r="J33" s="11" t="str">
        <f>IFERROR(_xlfn.XLOOKUP(A33, EventsAll[Date], EventsAll[Event]),"")</f>
        <v/>
      </c>
      <c r="K33" s="4" t="str" cm="1">
        <f t="array" ref="K33">IF(SUMPRODUCT((A33&gt;=SchoolHols[Start])*(A33&lt;=SchoolHols[End]))&gt;0,"Y","N")</f>
        <v>N</v>
      </c>
    </row>
    <row r="34" spans="1:11">
      <c r="A34" s="6">
        <f t="shared" si="5"/>
        <v>43863</v>
      </c>
      <c r="B34" s="4" t="str">
        <f t="shared" si="0"/>
        <v>02</v>
      </c>
      <c r="C34" s="4" t="str">
        <f t="shared" si="1"/>
        <v>02</v>
      </c>
      <c r="D34" s="4" t="str">
        <f t="shared" si="2"/>
        <v>2020</v>
      </c>
      <c r="E34" s="3" t="str">
        <f t="shared" si="3"/>
        <v>Sunday</v>
      </c>
      <c r="F34" s="4" t="str">
        <f t="shared" si="4"/>
        <v>Y</v>
      </c>
      <c r="G34" s="4" t="str">
        <f>IF(COUNTIF(PublicHols[Date], A34)&gt;0, "Y", "N")</f>
        <v>N</v>
      </c>
      <c r="H34" s="3" t="str">
        <f>IFERROR(_xlfn.XLOOKUP(A34, PublicHols[Date], PublicHols[PH_Name]),"")</f>
        <v/>
      </c>
      <c r="I34" s="4" t="str">
        <f>IF(COUNTIF(EventsAll[Date], A34)&gt;0, "Y", "N")</f>
        <v>N</v>
      </c>
      <c r="J34" s="11" t="str">
        <f>IFERROR(_xlfn.XLOOKUP(A34, EventsAll[Date], EventsAll[Event]),"")</f>
        <v/>
      </c>
      <c r="K34" s="4" t="str" cm="1">
        <f t="array" ref="K34">IF(SUMPRODUCT((A34&gt;=SchoolHols[Start])*(A34&lt;=SchoolHols[End]))&gt;0,"Y","N")</f>
        <v>N</v>
      </c>
    </row>
    <row r="35" spans="1:11">
      <c r="A35" s="6">
        <f t="shared" si="5"/>
        <v>43864</v>
      </c>
      <c r="B35" s="4" t="str">
        <f t="shared" si="0"/>
        <v>03</v>
      </c>
      <c r="C35" s="4" t="str">
        <f t="shared" si="1"/>
        <v>02</v>
      </c>
      <c r="D35" s="4" t="str">
        <f t="shared" si="2"/>
        <v>2020</v>
      </c>
      <c r="E35" s="3" t="str">
        <f t="shared" si="3"/>
        <v>Monday</v>
      </c>
      <c r="F35" s="4" t="str">
        <f t="shared" si="4"/>
        <v>N</v>
      </c>
      <c r="G35" s="4" t="str">
        <f>IF(COUNTIF(PublicHols[Date], A35)&gt;0, "Y", "N")</f>
        <v>N</v>
      </c>
      <c r="H35" s="3" t="str">
        <f>IFERROR(_xlfn.XLOOKUP(A35, PublicHols[Date], PublicHols[PH_Name]),"")</f>
        <v/>
      </c>
      <c r="I35" s="4" t="str">
        <f>IF(COUNTIF(EventsAll[Date], A35)&gt;0, "Y", "N")</f>
        <v>N</v>
      </c>
      <c r="J35" s="11" t="str">
        <f>IFERROR(_xlfn.XLOOKUP(A35, EventsAll[Date], EventsAll[Event]),"")</f>
        <v/>
      </c>
      <c r="K35" s="4" t="str" cm="1">
        <f t="array" ref="K35">IF(SUMPRODUCT((A35&gt;=SchoolHols[Start])*(A35&lt;=SchoolHols[End]))&gt;0,"Y","N")</f>
        <v>N</v>
      </c>
    </row>
    <row r="36" spans="1:11">
      <c r="A36" s="6">
        <f t="shared" si="5"/>
        <v>43865</v>
      </c>
      <c r="B36" s="4" t="str">
        <f t="shared" si="0"/>
        <v>04</v>
      </c>
      <c r="C36" s="4" t="str">
        <f t="shared" si="1"/>
        <v>02</v>
      </c>
      <c r="D36" s="4" t="str">
        <f t="shared" si="2"/>
        <v>2020</v>
      </c>
      <c r="E36" s="3" t="str">
        <f t="shared" si="3"/>
        <v>Tuesday</v>
      </c>
      <c r="F36" s="4" t="str">
        <f t="shared" si="4"/>
        <v>N</v>
      </c>
      <c r="G36" s="4" t="str">
        <f>IF(COUNTIF(PublicHols[Date], A36)&gt;0, "Y", "N")</f>
        <v>N</v>
      </c>
      <c r="H36" s="3" t="str">
        <f>IFERROR(_xlfn.XLOOKUP(A36, PublicHols[Date], PublicHols[PH_Name]),"")</f>
        <v/>
      </c>
      <c r="I36" s="4" t="str">
        <f>IF(COUNTIF(EventsAll[Date], A36)&gt;0, "Y", "N")</f>
        <v>N</v>
      </c>
      <c r="J36" s="11" t="str">
        <f>IFERROR(_xlfn.XLOOKUP(A36, EventsAll[Date], EventsAll[Event]),"")</f>
        <v/>
      </c>
      <c r="K36" s="4" t="str" cm="1">
        <f t="array" ref="K36">IF(SUMPRODUCT((A36&gt;=SchoolHols[Start])*(A36&lt;=SchoolHols[End]))&gt;0,"Y","N")</f>
        <v>N</v>
      </c>
    </row>
    <row r="37" spans="1:11">
      <c r="A37" s="6">
        <f t="shared" si="5"/>
        <v>43866</v>
      </c>
      <c r="B37" s="4" t="str">
        <f t="shared" si="0"/>
        <v>05</v>
      </c>
      <c r="C37" s="4" t="str">
        <f t="shared" si="1"/>
        <v>02</v>
      </c>
      <c r="D37" s="4" t="str">
        <f t="shared" si="2"/>
        <v>2020</v>
      </c>
      <c r="E37" s="3" t="str">
        <f t="shared" si="3"/>
        <v>Wednesday</v>
      </c>
      <c r="F37" s="4" t="str">
        <f t="shared" si="4"/>
        <v>N</v>
      </c>
      <c r="G37" s="4" t="str">
        <f>IF(COUNTIF(PublicHols[Date], A37)&gt;0, "Y", "N")</f>
        <v>N</v>
      </c>
      <c r="H37" s="3" t="str">
        <f>IFERROR(_xlfn.XLOOKUP(A37, PublicHols[Date], PublicHols[PH_Name]),"")</f>
        <v/>
      </c>
      <c r="I37" s="4" t="str">
        <f>IF(COUNTIF(EventsAll[Date], A37)&gt;0, "Y", "N")</f>
        <v>N</v>
      </c>
      <c r="J37" s="11" t="str">
        <f>IFERROR(_xlfn.XLOOKUP(A37, EventsAll[Date], EventsAll[Event]),"")</f>
        <v/>
      </c>
      <c r="K37" s="4" t="str" cm="1">
        <f t="array" ref="K37">IF(SUMPRODUCT((A37&gt;=SchoolHols[Start])*(A37&lt;=SchoolHols[End]))&gt;0,"Y","N")</f>
        <v>N</v>
      </c>
    </row>
    <row r="38" spans="1:11">
      <c r="A38" s="6">
        <f t="shared" si="5"/>
        <v>43867</v>
      </c>
      <c r="B38" s="4" t="str">
        <f t="shared" si="0"/>
        <v>06</v>
      </c>
      <c r="C38" s="4" t="str">
        <f t="shared" si="1"/>
        <v>02</v>
      </c>
      <c r="D38" s="4" t="str">
        <f t="shared" si="2"/>
        <v>2020</v>
      </c>
      <c r="E38" s="3" t="str">
        <f t="shared" si="3"/>
        <v>Thursday</v>
      </c>
      <c r="F38" s="4" t="str">
        <f t="shared" si="4"/>
        <v>N</v>
      </c>
      <c r="G38" s="4" t="str">
        <f>IF(COUNTIF(PublicHols[Date], A38)&gt;0, "Y", "N")</f>
        <v>N</v>
      </c>
      <c r="H38" s="3" t="str">
        <f>IFERROR(_xlfn.XLOOKUP(A38, PublicHols[Date], PublicHols[PH_Name]),"")</f>
        <v/>
      </c>
      <c r="I38" s="4" t="str">
        <f>IF(COUNTIF(EventsAll[Date], A38)&gt;0, "Y", "N")</f>
        <v>N</v>
      </c>
      <c r="J38" s="11" t="str">
        <f>IFERROR(_xlfn.XLOOKUP(A38, EventsAll[Date], EventsAll[Event]),"")</f>
        <v/>
      </c>
      <c r="K38" s="4" t="str" cm="1">
        <f t="array" ref="K38">IF(SUMPRODUCT((A38&gt;=SchoolHols[Start])*(A38&lt;=SchoolHols[End]))&gt;0,"Y","N")</f>
        <v>N</v>
      </c>
    </row>
    <row r="39" spans="1:11">
      <c r="A39" s="6">
        <f t="shared" si="5"/>
        <v>43868</v>
      </c>
      <c r="B39" s="4" t="str">
        <f t="shared" si="0"/>
        <v>07</v>
      </c>
      <c r="C39" s="4" t="str">
        <f t="shared" si="1"/>
        <v>02</v>
      </c>
      <c r="D39" s="4" t="str">
        <f t="shared" si="2"/>
        <v>2020</v>
      </c>
      <c r="E39" s="3" t="str">
        <f t="shared" si="3"/>
        <v>Friday</v>
      </c>
      <c r="F39" s="4" t="str">
        <f t="shared" si="4"/>
        <v>N</v>
      </c>
      <c r="G39" s="4" t="str">
        <f>IF(COUNTIF(PublicHols[Date], A39)&gt;0, "Y", "N")</f>
        <v>N</v>
      </c>
      <c r="H39" s="3" t="str">
        <f>IFERROR(_xlfn.XLOOKUP(A39, PublicHols[Date], PublicHols[PH_Name]),"")</f>
        <v/>
      </c>
      <c r="I39" s="4" t="str">
        <f>IF(COUNTIF(EventsAll[Date], A39)&gt;0, "Y", "N")</f>
        <v>N</v>
      </c>
      <c r="J39" s="11" t="str">
        <f>IFERROR(_xlfn.XLOOKUP(A39, EventsAll[Date], EventsAll[Event]),"")</f>
        <v/>
      </c>
      <c r="K39" s="4" t="str" cm="1">
        <f t="array" ref="K39">IF(SUMPRODUCT((A39&gt;=SchoolHols[Start])*(A39&lt;=SchoolHols[End]))&gt;0,"Y","N")</f>
        <v>N</v>
      </c>
    </row>
    <row r="40" spans="1:11">
      <c r="A40" s="6">
        <f t="shared" si="5"/>
        <v>43869</v>
      </c>
      <c r="B40" s="4" t="str">
        <f t="shared" si="0"/>
        <v>08</v>
      </c>
      <c r="C40" s="4" t="str">
        <f t="shared" si="1"/>
        <v>02</v>
      </c>
      <c r="D40" s="4" t="str">
        <f t="shared" si="2"/>
        <v>2020</v>
      </c>
      <c r="E40" s="3" t="str">
        <f t="shared" si="3"/>
        <v>Saturday</v>
      </c>
      <c r="F40" s="4" t="str">
        <f t="shared" si="4"/>
        <v>N</v>
      </c>
      <c r="G40" s="4" t="str">
        <f>IF(COUNTIF(PublicHols[Date], A40)&gt;0, "Y", "N")</f>
        <v>N</v>
      </c>
      <c r="H40" s="3" t="str">
        <f>IFERROR(_xlfn.XLOOKUP(A40, PublicHols[Date], PublicHols[PH_Name]),"")</f>
        <v/>
      </c>
      <c r="I40" s="4" t="str">
        <f>IF(COUNTIF(EventsAll[Date], A40)&gt;0, "Y", "N")</f>
        <v>N</v>
      </c>
      <c r="J40" s="11" t="str">
        <f>IFERROR(_xlfn.XLOOKUP(A40, EventsAll[Date], EventsAll[Event]),"")</f>
        <v/>
      </c>
      <c r="K40" s="4" t="str" cm="1">
        <f t="array" ref="K40">IF(SUMPRODUCT((A40&gt;=SchoolHols[Start])*(A40&lt;=SchoolHols[End]))&gt;0,"Y","N")</f>
        <v>N</v>
      </c>
    </row>
    <row r="41" spans="1:11">
      <c r="A41" s="6">
        <f t="shared" si="5"/>
        <v>43870</v>
      </c>
      <c r="B41" s="4" t="str">
        <f t="shared" si="0"/>
        <v>09</v>
      </c>
      <c r="C41" s="4" t="str">
        <f t="shared" si="1"/>
        <v>02</v>
      </c>
      <c r="D41" s="4" t="str">
        <f t="shared" si="2"/>
        <v>2020</v>
      </c>
      <c r="E41" s="3" t="str">
        <f t="shared" si="3"/>
        <v>Sunday</v>
      </c>
      <c r="F41" s="4" t="str">
        <f t="shared" si="4"/>
        <v>Y</v>
      </c>
      <c r="G41" s="4" t="str">
        <f>IF(COUNTIF(PublicHols[Date], A41)&gt;0, "Y", "N")</f>
        <v>N</v>
      </c>
      <c r="H41" s="3" t="str">
        <f>IFERROR(_xlfn.XLOOKUP(A41, PublicHols[Date], PublicHols[PH_Name]),"")</f>
        <v/>
      </c>
      <c r="I41" s="4" t="str">
        <f>IF(COUNTIF(EventsAll[Date], A41)&gt;0, "Y", "N")</f>
        <v>N</v>
      </c>
      <c r="J41" s="11" t="str">
        <f>IFERROR(_xlfn.XLOOKUP(A41, EventsAll[Date], EventsAll[Event]),"")</f>
        <v/>
      </c>
      <c r="K41" s="4" t="str" cm="1">
        <f t="array" ref="K41">IF(SUMPRODUCT((A41&gt;=SchoolHols[Start])*(A41&lt;=SchoolHols[End]))&gt;0,"Y","N")</f>
        <v>N</v>
      </c>
    </row>
    <row r="42" spans="1:11">
      <c r="A42" s="6">
        <f t="shared" si="5"/>
        <v>43871</v>
      </c>
      <c r="B42" s="4" t="str">
        <f t="shared" si="0"/>
        <v>10</v>
      </c>
      <c r="C42" s="4" t="str">
        <f t="shared" si="1"/>
        <v>02</v>
      </c>
      <c r="D42" s="4" t="str">
        <f t="shared" si="2"/>
        <v>2020</v>
      </c>
      <c r="E42" s="3" t="str">
        <f t="shared" si="3"/>
        <v>Monday</v>
      </c>
      <c r="F42" s="4" t="str">
        <f t="shared" si="4"/>
        <v>N</v>
      </c>
      <c r="G42" s="4" t="str">
        <f>IF(COUNTIF(PublicHols[Date], A42)&gt;0, "Y", "N")</f>
        <v>N</v>
      </c>
      <c r="H42" s="3" t="str">
        <f>IFERROR(_xlfn.XLOOKUP(A42, PublicHols[Date], PublicHols[PH_Name]),"")</f>
        <v/>
      </c>
      <c r="I42" s="4" t="str">
        <f>IF(COUNTIF(EventsAll[Date], A42)&gt;0, "Y", "N")</f>
        <v>N</v>
      </c>
      <c r="J42" s="11" t="str">
        <f>IFERROR(_xlfn.XLOOKUP(A42, EventsAll[Date], EventsAll[Event]),"")</f>
        <v/>
      </c>
      <c r="K42" s="4" t="str" cm="1">
        <f t="array" ref="K42">IF(SUMPRODUCT((A42&gt;=SchoolHols[Start])*(A42&lt;=SchoolHols[End]))&gt;0,"Y","N")</f>
        <v>N</v>
      </c>
    </row>
    <row r="43" spans="1:11">
      <c r="A43" s="6">
        <f t="shared" si="5"/>
        <v>43872</v>
      </c>
      <c r="B43" s="4" t="str">
        <f t="shared" si="0"/>
        <v>11</v>
      </c>
      <c r="C43" s="4" t="str">
        <f t="shared" si="1"/>
        <v>02</v>
      </c>
      <c r="D43" s="4" t="str">
        <f t="shared" si="2"/>
        <v>2020</v>
      </c>
      <c r="E43" s="3" t="str">
        <f t="shared" si="3"/>
        <v>Tuesday</v>
      </c>
      <c r="F43" s="4" t="str">
        <f t="shared" si="4"/>
        <v>N</v>
      </c>
      <c r="G43" s="4" t="str">
        <f>IF(COUNTIF(PublicHols[Date], A43)&gt;0, "Y", "N")</f>
        <v>N</v>
      </c>
      <c r="H43" s="3" t="str">
        <f>IFERROR(_xlfn.XLOOKUP(A43, PublicHols[Date], PublicHols[PH_Name]),"")</f>
        <v/>
      </c>
      <c r="I43" s="4" t="str">
        <f>IF(COUNTIF(EventsAll[Date], A43)&gt;0, "Y", "N")</f>
        <v>N</v>
      </c>
      <c r="J43" s="11" t="str">
        <f>IFERROR(_xlfn.XLOOKUP(A43, EventsAll[Date], EventsAll[Event]),"")</f>
        <v/>
      </c>
      <c r="K43" s="4" t="str" cm="1">
        <f t="array" ref="K43">IF(SUMPRODUCT((A43&gt;=SchoolHols[Start])*(A43&lt;=SchoolHols[End]))&gt;0,"Y","N")</f>
        <v>N</v>
      </c>
    </row>
    <row r="44" spans="1:11">
      <c r="A44" s="6">
        <f t="shared" si="5"/>
        <v>43873</v>
      </c>
      <c r="B44" s="4" t="str">
        <f t="shared" si="0"/>
        <v>12</v>
      </c>
      <c r="C44" s="4" t="str">
        <f t="shared" si="1"/>
        <v>02</v>
      </c>
      <c r="D44" s="4" t="str">
        <f t="shared" si="2"/>
        <v>2020</v>
      </c>
      <c r="E44" s="3" t="str">
        <f t="shared" si="3"/>
        <v>Wednesday</v>
      </c>
      <c r="F44" s="4" t="str">
        <f t="shared" si="4"/>
        <v>N</v>
      </c>
      <c r="G44" s="4" t="str">
        <f>IF(COUNTIF(PublicHols[Date], A44)&gt;0, "Y", "N")</f>
        <v>N</v>
      </c>
      <c r="H44" s="3" t="str">
        <f>IFERROR(_xlfn.XLOOKUP(A44, PublicHols[Date], PublicHols[PH_Name]),"")</f>
        <v/>
      </c>
      <c r="I44" s="4" t="str">
        <f>IF(COUNTIF(EventsAll[Date], A44)&gt;0, "Y", "N")</f>
        <v>N</v>
      </c>
      <c r="J44" s="11" t="str">
        <f>IFERROR(_xlfn.XLOOKUP(A44, EventsAll[Date], EventsAll[Event]),"")</f>
        <v/>
      </c>
      <c r="K44" s="4" t="str" cm="1">
        <f t="array" ref="K44">IF(SUMPRODUCT((A44&gt;=SchoolHols[Start])*(A44&lt;=SchoolHols[End]))&gt;0,"Y","N")</f>
        <v>N</v>
      </c>
    </row>
    <row r="45" spans="1:11">
      <c r="A45" s="6">
        <f t="shared" si="5"/>
        <v>43874</v>
      </c>
      <c r="B45" s="4" t="str">
        <f t="shared" si="0"/>
        <v>13</v>
      </c>
      <c r="C45" s="4" t="str">
        <f t="shared" si="1"/>
        <v>02</v>
      </c>
      <c r="D45" s="4" t="str">
        <f t="shared" si="2"/>
        <v>2020</v>
      </c>
      <c r="E45" s="3" t="str">
        <f t="shared" si="3"/>
        <v>Thursday</v>
      </c>
      <c r="F45" s="4" t="str">
        <f t="shared" si="4"/>
        <v>N</v>
      </c>
      <c r="G45" s="4" t="str">
        <f>IF(COUNTIF(PublicHols[Date], A45)&gt;0, "Y", "N")</f>
        <v>N</v>
      </c>
      <c r="H45" s="3" t="str">
        <f>IFERROR(_xlfn.XLOOKUP(A45, PublicHols[Date], PublicHols[PH_Name]),"")</f>
        <v/>
      </c>
      <c r="I45" s="4" t="str">
        <f>IF(COUNTIF(EventsAll[Date], A45)&gt;0, "Y", "N")</f>
        <v>N</v>
      </c>
      <c r="J45" s="11" t="str">
        <f>IFERROR(_xlfn.XLOOKUP(A45, EventsAll[Date], EventsAll[Event]),"")</f>
        <v/>
      </c>
      <c r="K45" s="4" t="str" cm="1">
        <f t="array" ref="K45">IF(SUMPRODUCT((A45&gt;=SchoolHols[Start])*(A45&lt;=SchoolHols[End]))&gt;0,"Y","N")</f>
        <v>N</v>
      </c>
    </row>
    <row r="46" spans="1:11">
      <c r="A46" s="6">
        <f t="shared" si="5"/>
        <v>43875</v>
      </c>
      <c r="B46" s="4" t="str">
        <f t="shared" si="0"/>
        <v>14</v>
      </c>
      <c r="C46" s="4" t="str">
        <f t="shared" si="1"/>
        <v>02</v>
      </c>
      <c r="D46" s="4" t="str">
        <f t="shared" si="2"/>
        <v>2020</v>
      </c>
      <c r="E46" s="3" t="str">
        <f t="shared" si="3"/>
        <v>Friday</v>
      </c>
      <c r="F46" s="4" t="str">
        <f t="shared" si="4"/>
        <v>N</v>
      </c>
      <c r="G46" s="4" t="str">
        <f>IF(COUNTIF(PublicHols[Date], A46)&gt;0, "Y", "N")</f>
        <v>N</v>
      </c>
      <c r="H46" s="3" t="str">
        <f>IFERROR(_xlfn.XLOOKUP(A46, PublicHols[Date], PublicHols[PH_Name]),"")</f>
        <v/>
      </c>
      <c r="I46" s="4" t="str">
        <f>IF(COUNTIF(EventsAll[Date], A46)&gt;0, "Y", "N")</f>
        <v>Y</v>
      </c>
      <c r="J46" s="11" t="str">
        <f>IFERROR(_xlfn.XLOOKUP(A46, EventsAll[Date], EventsAll[Event]),"")</f>
        <v xml:space="preserve"> Valentine's Day</v>
      </c>
      <c r="K46" s="4" t="str" cm="1">
        <f t="array" ref="K46">IF(SUMPRODUCT((A46&gt;=SchoolHols[Start])*(A46&lt;=SchoolHols[End]))&gt;0,"Y","N")</f>
        <v>N</v>
      </c>
    </row>
    <row r="47" spans="1:11">
      <c r="A47" s="6">
        <f t="shared" si="5"/>
        <v>43876</v>
      </c>
      <c r="B47" s="4" t="str">
        <f t="shared" si="0"/>
        <v>15</v>
      </c>
      <c r="C47" s="4" t="str">
        <f t="shared" si="1"/>
        <v>02</v>
      </c>
      <c r="D47" s="4" t="str">
        <f t="shared" si="2"/>
        <v>2020</v>
      </c>
      <c r="E47" s="3" t="str">
        <f t="shared" si="3"/>
        <v>Saturday</v>
      </c>
      <c r="F47" s="4" t="str">
        <f t="shared" si="4"/>
        <v>N</v>
      </c>
      <c r="G47" s="4" t="str">
        <f>IF(COUNTIF(PublicHols[Date], A47)&gt;0, "Y", "N")</f>
        <v>N</v>
      </c>
      <c r="H47" s="3" t="str">
        <f>IFERROR(_xlfn.XLOOKUP(A47, PublicHols[Date], PublicHols[PH_Name]),"")</f>
        <v/>
      </c>
      <c r="I47" s="4" t="str">
        <f>IF(COUNTIF(EventsAll[Date], A47)&gt;0, "Y", "N")</f>
        <v>N</v>
      </c>
      <c r="J47" s="11" t="str">
        <f>IFERROR(_xlfn.XLOOKUP(A47, EventsAll[Date], EventsAll[Event]),"")</f>
        <v/>
      </c>
      <c r="K47" s="4" t="str" cm="1">
        <f t="array" ref="K47">IF(SUMPRODUCT((A47&gt;=SchoolHols[Start])*(A47&lt;=SchoolHols[End]))&gt;0,"Y","N")</f>
        <v>N</v>
      </c>
    </row>
    <row r="48" spans="1:11">
      <c r="A48" s="6">
        <f t="shared" si="5"/>
        <v>43877</v>
      </c>
      <c r="B48" s="4" t="str">
        <f t="shared" si="0"/>
        <v>16</v>
      </c>
      <c r="C48" s="4" t="str">
        <f t="shared" si="1"/>
        <v>02</v>
      </c>
      <c r="D48" s="4" t="str">
        <f t="shared" si="2"/>
        <v>2020</v>
      </c>
      <c r="E48" s="3" t="str">
        <f t="shared" si="3"/>
        <v>Sunday</v>
      </c>
      <c r="F48" s="4" t="str">
        <f t="shared" si="4"/>
        <v>Y</v>
      </c>
      <c r="G48" s="4" t="str">
        <f>IF(COUNTIF(PublicHols[Date], A48)&gt;0, "Y", "N")</f>
        <v>N</v>
      </c>
      <c r="H48" s="3" t="str">
        <f>IFERROR(_xlfn.XLOOKUP(A48, PublicHols[Date], PublicHols[PH_Name]),"")</f>
        <v/>
      </c>
      <c r="I48" s="4" t="str">
        <f>IF(COUNTIF(EventsAll[Date], A48)&gt;0, "Y", "N")</f>
        <v>N</v>
      </c>
      <c r="J48" s="11" t="str">
        <f>IFERROR(_xlfn.XLOOKUP(A48, EventsAll[Date], EventsAll[Event]),"")</f>
        <v/>
      </c>
      <c r="K48" s="4" t="str" cm="1">
        <f t="array" ref="K48">IF(SUMPRODUCT((A48&gt;=SchoolHols[Start])*(A48&lt;=SchoolHols[End]))&gt;0,"Y","N")</f>
        <v>N</v>
      </c>
    </row>
    <row r="49" spans="1:11">
      <c r="A49" s="6">
        <f t="shared" si="5"/>
        <v>43878</v>
      </c>
      <c r="B49" s="4" t="str">
        <f t="shared" si="0"/>
        <v>17</v>
      </c>
      <c r="C49" s="4" t="str">
        <f t="shared" si="1"/>
        <v>02</v>
      </c>
      <c r="D49" s="4" t="str">
        <f t="shared" si="2"/>
        <v>2020</v>
      </c>
      <c r="E49" s="3" t="str">
        <f t="shared" si="3"/>
        <v>Monday</v>
      </c>
      <c r="F49" s="4" t="str">
        <f t="shared" si="4"/>
        <v>N</v>
      </c>
      <c r="G49" s="4" t="str">
        <f>IF(COUNTIF(PublicHols[Date], A49)&gt;0, "Y", "N")</f>
        <v>N</v>
      </c>
      <c r="H49" s="3" t="str">
        <f>IFERROR(_xlfn.XLOOKUP(A49, PublicHols[Date], PublicHols[PH_Name]),"")</f>
        <v/>
      </c>
      <c r="I49" s="4" t="str">
        <f>IF(COUNTIF(EventsAll[Date], A49)&gt;0, "Y", "N")</f>
        <v>N</v>
      </c>
      <c r="J49" s="11" t="str">
        <f>IFERROR(_xlfn.XLOOKUP(A49, EventsAll[Date], EventsAll[Event]),"")</f>
        <v/>
      </c>
      <c r="K49" s="4" t="str" cm="1">
        <f t="array" ref="K49">IF(SUMPRODUCT((A49&gt;=SchoolHols[Start])*(A49&lt;=SchoolHols[End]))&gt;0,"Y","N")</f>
        <v>N</v>
      </c>
    </row>
    <row r="50" spans="1:11">
      <c r="A50" s="6">
        <f t="shared" si="5"/>
        <v>43879</v>
      </c>
      <c r="B50" s="4" t="str">
        <f t="shared" si="0"/>
        <v>18</v>
      </c>
      <c r="C50" s="4" t="str">
        <f t="shared" si="1"/>
        <v>02</v>
      </c>
      <c r="D50" s="4" t="str">
        <f t="shared" si="2"/>
        <v>2020</v>
      </c>
      <c r="E50" s="3" t="str">
        <f t="shared" si="3"/>
        <v>Tuesday</v>
      </c>
      <c r="F50" s="4" t="str">
        <f t="shared" si="4"/>
        <v>N</v>
      </c>
      <c r="G50" s="4" t="str">
        <f>IF(COUNTIF(PublicHols[Date], A50)&gt;0, "Y", "N")</f>
        <v>N</v>
      </c>
      <c r="H50" s="3" t="str">
        <f>IFERROR(_xlfn.XLOOKUP(A50, PublicHols[Date], PublicHols[PH_Name]),"")</f>
        <v/>
      </c>
      <c r="I50" s="4" t="str">
        <f>IF(COUNTIF(EventsAll[Date], A50)&gt;0, "Y", "N")</f>
        <v>N</v>
      </c>
      <c r="J50" s="11" t="str">
        <f>IFERROR(_xlfn.XLOOKUP(A50, EventsAll[Date], EventsAll[Event]),"")</f>
        <v/>
      </c>
      <c r="K50" s="4" t="str" cm="1">
        <f t="array" ref="K50">IF(SUMPRODUCT((A50&gt;=SchoolHols[Start])*(A50&lt;=SchoolHols[End]))&gt;0,"Y","N")</f>
        <v>N</v>
      </c>
    </row>
    <row r="51" spans="1:11">
      <c r="A51" s="6">
        <f t="shared" si="5"/>
        <v>43880</v>
      </c>
      <c r="B51" s="4" t="str">
        <f t="shared" si="0"/>
        <v>19</v>
      </c>
      <c r="C51" s="4" t="str">
        <f t="shared" si="1"/>
        <v>02</v>
      </c>
      <c r="D51" s="4" t="str">
        <f t="shared" si="2"/>
        <v>2020</v>
      </c>
      <c r="E51" s="3" t="str">
        <f t="shared" si="3"/>
        <v>Wednesday</v>
      </c>
      <c r="F51" s="4" t="str">
        <f t="shared" si="4"/>
        <v>N</v>
      </c>
      <c r="G51" s="4" t="str">
        <f>IF(COUNTIF(PublicHols[Date], A51)&gt;0, "Y", "N")</f>
        <v>N</v>
      </c>
      <c r="H51" s="3" t="str">
        <f>IFERROR(_xlfn.XLOOKUP(A51, PublicHols[Date], PublicHols[PH_Name]),"")</f>
        <v/>
      </c>
      <c r="I51" s="4" t="str">
        <f>IF(COUNTIF(EventsAll[Date], A51)&gt;0, "Y", "N")</f>
        <v>N</v>
      </c>
      <c r="J51" s="11" t="str">
        <f>IFERROR(_xlfn.XLOOKUP(A51, EventsAll[Date], EventsAll[Event]),"")</f>
        <v/>
      </c>
      <c r="K51" s="4" t="str" cm="1">
        <f t="array" ref="K51">IF(SUMPRODUCT((A51&gt;=SchoolHols[Start])*(A51&lt;=SchoolHols[End]))&gt;0,"Y","N")</f>
        <v>N</v>
      </c>
    </row>
    <row r="52" spans="1:11">
      <c r="A52" s="6">
        <f t="shared" si="5"/>
        <v>43881</v>
      </c>
      <c r="B52" s="4" t="str">
        <f t="shared" si="0"/>
        <v>20</v>
      </c>
      <c r="C52" s="4" t="str">
        <f t="shared" si="1"/>
        <v>02</v>
      </c>
      <c r="D52" s="4" t="str">
        <f t="shared" si="2"/>
        <v>2020</v>
      </c>
      <c r="E52" s="3" t="str">
        <f t="shared" si="3"/>
        <v>Thursday</v>
      </c>
      <c r="F52" s="4" t="str">
        <f t="shared" si="4"/>
        <v>N</v>
      </c>
      <c r="G52" s="4" t="str">
        <f>IF(COUNTIF(PublicHols[Date], A52)&gt;0, "Y", "N")</f>
        <v>N</v>
      </c>
      <c r="H52" s="3" t="str">
        <f>IFERROR(_xlfn.XLOOKUP(A52, PublicHols[Date], PublicHols[PH_Name]),"")</f>
        <v/>
      </c>
      <c r="I52" s="4" t="str">
        <f>IF(COUNTIF(EventsAll[Date], A52)&gt;0, "Y", "N")</f>
        <v>N</v>
      </c>
      <c r="J52" s="11" t="str">
        <f>IFERROR(_xlfn.XLOOKUP(A52, EventsAll[Date], EventsAll[Event]),"")</f>
        <v/>
      </c>
      <c r="K52" s="4" t="str" cm="1">
        <f t="array" ref="K52">IF(SUMPRODUCT((A52&gt;=SchoolHols[Start])*(A52&lt;=SchoolHols[End]))&gt;0,"Y","N")</f>
        <v>N</v>
      </c>
    </row>
    <row r="53" spans="1:11">
      <c r="A53" s="6">
        <f t="shared" si="5"/>
        <v>43882</v>
      </c>
      <c r="B53" s="4" t="str">
        <f t="shared" si="0"/>
        <v>21</v>
      </c>
      <c r="C53" s="4" t="str">
        <f t="shared" si="1"/>
        <v>02</v>
      </c>
      <c r="D53" s="4" t="str">
        <f t="shared" si="2"/>
        <v>2020</v>
      </c>
      <c r="E53" s="3" t="str">
        <f t="shared" si="3"/>
        <v>Friday</v>
      </c>
      <c r="F53" s="4" t="str">
        <f t="shared" si="4"/>
        <v>N</v>
      </c>
      <c r="G53" s="4" t="str">
        <f>IF(COUNTIF(PublicHols[Date], A53)&gt;0, "Y", "N")</f>
        <v>N</v>
      </c>
      <c r="H53" s="3" t="str">
        <f>IFERROR(_xlfn.XLOOKUP(A53, PublicHols[Date], PublicHols[PH_Name]),"")</f>
        <v/>
      </c>
      <c r="I53" s="4" t="str">
        <f>IF(COUNTIF(EventsAll[Date], A53)&gt;0, "Y", "N")</f>
        <v>N</v>
      </c>
      <c r="J53" s="11" t="str">
        <f>IFERROR(_xlfn.XLOOKUP(A53, EventsAll[Date], EventsAll[Event]),"")</f>
        <v/>
      </c>
      <c r="K53" s="4" t="str" cm="1">
        <f t="array" ref="K53">IF(SUMPRODUCT((A53&gt;=SchoolHols[Start])*(A53&lt;=SchoolHols[End]))&gt;0,"Y","N")</f>
        <v>N</v>
      </c>
    </row>
    <row r="54" spans="1:11">
      <c r="A54" s="6">
        <f t="shared" si="5"/>
        <v>43883</v>
      </c>
      <c r="B54" s="4" t="str">
        <f t="shared" si="0"/>
        <v>22</v>
      </c>
      <c r="C54" s="4" t="str">
        <f t="shared" si="1"/>
        <v>02</v>
      </c>
      <c r="D54" s="4" t="str">
        <f t="shared" si="2"/>
        <v>2020</v>
      </c>
      <c r="E54" s="3" t="str">
        <f t="shared" si="3"/>
        <v>Saturday</v>
      </c>
      <c r="F54" s="4" t="str">
        <f t="shared" si="4"/>
        <v>N</v>
      </c>
      <c r="G54" s="4" t="str">
        <f>IF(COUNTIF(PublicHols[Date], A54)&gt;0, "Y", "N")</f>
        <v>N</v>
      </c>
      <c r="H54" s="3" t="str">
        <f>IFERROR(_xlfn.XLOOKUP(A54, PublicHols[Date], PublicHols[PH_Name]),"")</f>
        <v/>
      </c>
      <c r="I54" s="4" t="str">
        <f>IF(COUNTIF(EventsAll[Date], A54)&gt;0, "Y", "N")</f>
        <v>N</v>
      </c>
      <c r="J54" s="11" t="str">
        <f>IFERROR(_xlfn.XLOOKUP(A54, EventsAll[Date], EventsAll[Event]),"")</f>
        <v/>
      </c>
      <c r="K54" s="4" t="str" cm="1">
        <f t="array" ref="K54">IF(SUMPRODUCT((A54&gt;=SchoolHols[Start])*(A54&lt;=SchoolHols[End]))&gt;0,"Y","N")</f>
        <v>N</v>
      </c>
    </row>
    <row r="55" spans="1:11">
      <c r="A55" s="6">
        <f t="shared" si="5"/>
        <v>43884</v>
      </c>
      <c r="B55" s="4" t="str">
        <f t="shared" si="0"/>
        <v>23</v>
      </c>
      <c r="C55" s="4" t="str">
        <f t="shared" si="1"/>
        <v>02</v>
      </c>
      <c r="D55" s="4" t="str">
        <f t="shared" si="2"/>
        <v>2020</v>
      </c>
      <c r="E55" s="3" t="str">
        <f t="shared" si="3"/>
        <v>Sunday</v>
      </c>
      <c r="F55" s="4" t="str">
        <f t="shared" si="4"/>
        <v>Y</v>
      </c>
      <c r="G55" s="4" t="str">
        <f>IF(COUNTIF(PublicHols[Date], A55)&gt;0, "Y", "N")</f>
        <v>N</v>
      </c>
      <c r="H55" s="3" t="str">
        <f>IFERROR(_xlfn.XLOOKUP(A55, PublicHols[Date], PublicHols[PH_Name]),"")</f>
        <v/>
      </c>
      <c r="I55" s="4" t="str">
        <f>IF(COUNTIF(EventsAll[Date], A55)&gt;0, "Y", "N")</f>
        <v>N</v>
      </c>
      <c r="J55" s="11" t="str">
        <f>IFERROR(_xlfn.XLOOKUP(A55, EventsAll[Date], EventsAll[Event]),"")</f>
        <v/>
      </c>
      <c r="K55" s="4" t="str" cm="1">
        <f t="array" ref="K55">IF(SUMPRODUCT((A55&gt;=SchoolHols[Start])*(A55&lt;=SchoolHols[End]))&gt;0,"Y","N")</f>
        <v>N</v>
      </c>
    </row>
    <row r="56" spans="1:11">
      <c r="A56" s="6">
        <f t="shared" si="5"/>
        <v>43885</v>
      </c>
      <c r="B56" s="4" t="str">
        <f t="shared" si="0"/>
        <v>24</v>
      </c>
      <c r="C56" s="4" t="str">
        <f t="shared" si="1"/>
        <v>02</v>
      </c>
      <c r="D56" s="4" t="str">
        <f t="shared" si="2"/>
        <v>2020</v>
      </c>
      <c r="E56" s="3" t="str">
        <f t="shared" si="3"/>
        <v>Monday</v>
      </c>
      <c r="F56" s="4" t="str">
        <f t="shared" si="4"/>
        <v>N</v>
      </c>
      <c r="G56" s="4" t="str">
        <f>IF(COUNTIF(PublicHols[Date], A56)&gt;0, "Y", "N")</f>
        <v>N</v>
      </c>
      <c r="H56" s="3" t="str">
        <f>IFERROR(_xlfn.XLOOKUP(A56, PublicHols[Date], PublicHols[PH_Name]),"")</f>
        <v/>
      </c>
      <c r="I56" s="4" t="str">
        <f>IF(COUNTIF(EventsAll[Date], A56)&gt;0, "Y", "N")</f>
        <v>N</v>
      </c>
      <c r="J56" s="11" t="str">
        <f>IFERROR(_xlfn.XLOOKUP(A56, EventsAll[Date], EventsAll[Event]),"")</f>
        <v/>
      </c>
      <c r="K56" s="4" t="str" cm="1">
        <f t="array" ref="K56">IF(SUMPRODUCT((A56&gt;=SchoolHols[Start])*(A56&lt;=SchoolHols[End]))&gt;0,"Y","N")</f>
        <v>N</v>
      </c>
    </row>
    <row r="57" spans="1:11">
      <c r="A57" s="6">
        <f t="shared" si="5"/>
        <v>43886</v>
      </c>
      <c r="B57" s="4" t="str">
        <f t="shared" si="0"/>
        <v>25</v>
      </c>
      <c r="C57" s="4" t="str">
        <f t="shared" si="1"/>
        <v>02</v>
      </c>
      <c r="D57" s="4" t="str">
        <f t="shared" si="2"/>
        <v>2020</v>
      </c>
      <c r="E57" s="3" t="str">
        <f t="shared" si="3"/>
        <v>Tuesday</v>
      </c>
      <c r="F57" s="4" t="str">
        <f t="shared" si="4"/>
        <v>N</v>
      </c>
      <c r="G57" s="4" t="str">
        <f>IF(COUNTIF(PublicHols[Date], A57)&gt;0, "Y", "N")</f>
        <v>N</v>
      </c>
      <c r="H57" s="3" t="str">
        <f>IFERROR(_xlfn.XLOOKUP(A57, PublicHols[Date], PublicHols[PH_Name]),"")</f>
        <v/>
      </c>
      <c r="I57" s="4" t="str">
        <f>IF(COUNTIF(EventsAll[Date], A57)&gt;0, "Y", "N")</f>
        <v>N</v>
      </c>
      <c r="J57" s="11" t="str">
        <f>IFERROR(_xlfn.XLOOKUP(A57, EventsAll[Date], EventsAll[Event]),"")</f>
        <v/>
      </c>
      <c r="K57" s="4" t="str" cm="1">
        <f t="array" ref="K57">IF(SUMPRODUCT((A57&gt;=SchoolHols[Start])*(A57&lt;=SchoolHols[End]))&gt;0,"Y","N")</f>
        <v>N</v>
      </c>
    </row>
    <row r="58" spans="1:11">
      <c r="A58" s="6">
        <f t="shared" si="5"/>
        <v>43887</v>
      </c>
      <c r="B58" s="4" t="str">
        <f t="shared" si="0"/>
        <v>26</v>
      </c>
      <c r="C58" s="4" t="str">
        <f t="shared" si="1"/>
        <v>02</v>
      </c>
      <c r="D58" s="4" t="str">
        <f t="shared" si="2"/>
        <v>2020</v>
      </c>
      <c r="E58" s="3" t="str">
        <f t="shared" si="3"/>
        <v>Wednesday</v>
      </c>
      <c r="F58" s="4" t="str">
        <f t="shared" si="4"/>
        <v>N</v>
      </c>
      <c r="G58" s="4" t="str">
        <f>IF(COUNTIF(PublicHols[Date], A58)&gt;0, "Y", "N")</f>
        <v>N</v>
      </c>
      <c r="H58" s="3" t="str">
        <f>IFERROR(_xlfn.XLOOKUP(A58, PublicHols[Date], PublicHols[PH_Name]),"")</f>
        <v/>
      </c>
      <c r="I58" s="4" t="str">
        <f>IF(COUNTIF(EventsAll[Date], A58)&gt;0, "Y", "N")</f>
        <v>N</v>
      </c>
      <c r="J58" s="11" t="str">
        <f>IFERROR(_xlfn.XLOOKUP(A58, EventsAll[Date], EventsAll[Event]),"")</f>
        <v/>
      </c>
      <c r="K58" s="4" t="str" cm="1">
        <f t="array" ref="K58">IF(SUMPRODUCT((A58&gt;=SchoolHols[Start])*(A58&lt;=SchoolHols[End]))&gt;0,"Y","N")</f>
        <v>N</v>
      </c>
    </row>
    <row r="59" spans="1:11">
      <c r="A59" s="6">
        <f t="shared" si="5"/>
        <v>43888</v>
      </c>
      <c r="B59" s="4" t="str">
        <f t="shared" si="0"/>
        <v>27</v>
      </c>
      <c r="C59" s="4" t="str">
        <f t="shared" si="1"/>
        <v>02</v>
      </c>
      <c r="D59" s="4" t="str">
        <f t="shared" si="2"/>
        <v>2020</v>
      </c>
      <c r="E59" s="3" t="str">
        <f t="shared" si="3"/>
        <v>Thursday</v>
      </c>
      <c r="F59" s="4" t="str">
        <f t="shared" si="4"/>
        <v>N</v>
      </c>
      <c r="G59" s="4" t="str">
        <f>IF(COUNTIF(PublicHols[Date], A59)&gt;0, "Y", "N")</f>
        <v>N</v>
      </c>
      <c r="H59" s="3" t="str">
        <f>IFERROR(_xlfn.XLOOKUP(A59, PublicHols[Date], PublicHols[PH_Name]),"")</f>
        <v/>
      </c>
      <c r="I59" s="4" t="str">
        <f>IF(COUNTIF(EventsAll[Date], A59)&gt;0, "Y", "N")</f>
        <v>N</v>
      </c>
      <c r="J59" s="11" t="str">
        <f>IFERROR(_xlfn.XLOOKUP(A59, EventsAll[Date], EventsAll[Event]),"")</f>
        <v/>
      </c>
      <c r="K59" s="4" t="str" cm="1">
        <f t="array" ref="K59">IF(SUMPRODUCT((A59&gt;=SchoolHols[Start])*(A59&lt;=SchoolHols[End]))&gt;0,"Y","N")</f>
        <v>N</v>
      </c>
    </row>
    <row r="60" spans="1:11">
      <c r="A60" s="6">
        <f t="shared" si="5"/>
        <v>43889</v>
      </c>
      <c r="B60" s="4" t="str">
        <f t="shared" si="0"/>
        <v>28</v>
      </c>
      <c r="C60" s="4" t="str">
        <f t="shared" si="1"/>
        <v>02</v>
      </c>
      <c r="D60" s="4" t="str">
        <f t="shared" si="2"/>
        <v>2020</v>
      </c>
      <c r="E60" s="3" t="str">
        <f t="shared" si="3"/>
        <v>Friday</v>
      </c>
      <c r="F60" s="4" t="str">
        <f t="shared" si="4"/>
        <v>N</v>
      </c>
      <c r="G60" s="4" t="str">
        <f>IF(COUNTIF(PublicHols[Date], A60)&gt;0, "Y", "N")</f>
        <v>N</v>
      </c>
      <c r="H60" s="3" t="str">
        <f>IFERROR(_xlfn.XLOOKUP(A60, PublicHols[Date], PublicHols[PH_Name]),"")</f>
        <v/>
      </c>
      <c r="I60" s="4" t="str">
        <f>IF(COUNTIF(EventsAll[Date], A60)&gt;0, "Y", "N")</f>
        <v>N</v>
      </c>
      <c r="J60" s="11" t="str">
        <f>IFERROR(_xlfn.XLOOKUP(A60, EventsAll[Date], EventsAll[Event]),"")</f>
        <v/>
      </c>
      <c r="K60" s="4" t="str" cm="1">
        <f t="array" ref="K60">IF(SUMPRODUCT((A60&gt;=SchoolHols[Start])*(A60&lt;=SchoolHols[End]))&gt;0,"Y","N")</f>
        <v>N</v>
      </c>
    </row>
    <row r="61" spans="1:11">
      <c r="A61" s="6">
        <f t="shared" si="5"/>
        <v>43890</v>
      </c>
      <c r="B61" s="4" t="str">
        <f t="shared" si="0"/>
        <v>29</v>
      </c>
      <c r="C61" s="4" t="str">
        <f t="shared" si="1"/>
        <v>02</v>
      </c>
      <c r="D61" s="4" t="str">
        <f t="shared" si="2"/>
        <v>2020</v>
      </c>
      <c r="E61" s="3" t="str">
        <f t="shared" si="3"/>
        <v>Saturday</v>
      </c>
      <c r="F61" s="4" t="str">
        <f t="shared" si="4"/>
        <v>N</v>
      </c>
      <c r="G61" s="4" t="str">
        <f>IF(COUNTIF(PublicHols[Date], A61)&gt;0, "Y", "N")</f>
        <v>N</v>
      </c>
      <c r="H61" s="3" t="str">
        <f>IFERROR(_xlfn.XLOOKUP(A61, PublicHols[Date], PublicHols[PH_Name]),"")</f>
        <v/>
      </c>
      <c r="I61" s="4" t="str">
        <f>IF(COUNTIF(EventsAll[Date], A61)&gt;0, "Y", "N")</f>
        <v>N</v>
      </c>
      <c r="J61" s="11" t="str">
        <f>IFERROR(_xlfn.XLOOKUP(A61, EventsAll[Date], EventsAll[Event]),"")</f>
        <v/>
      </c>
      <c r="K61" s="4" t="str" cm="1">
        <f t="array" ref="K61">IF(SUMPRODUCT((A61&gt;=SchoolHols[Start])*(A61&lt;=SchoolHols[End]))&gt;0,"Y","N")</f>
        <v>N</v>
      </c>
    </row>
    <row r="62" spans="1:11">
      <c r="A62" s="6">
        <f t="shared" si="5"/>
        <v>43891</v>
      </c>
      <c r="B62" s="4" t="str">
        <f t="shared" si="0"/>
        <v>01</v>
      </c>
      <c r="C62" s="4" t="str">
        <f t="shared" si="1"/>
        <v>03</v>
      </c>
      <c r="D62" s="4" t="str">
        <f t="shared" si="2"/>
        <v>2020</v>
      </c>
      <c r="E62" s="3" t="str">
        <f t="shared" si="3"/>
        <v>Sunday</v>
      </c>
      <c r="F62" s="4" t="str">
        <f t="shared" si="4"/>
        <v>Y</v>
      </c>
      <c r="G62" s="4" t="str">
        <f>IF(COUNTIF(PublicHols[Date], A62)&gt;0, "Y", "N")</f>
        <v>N</v>
      </c>
      <c r="H62" s="3" t="str">
        <f>IFERROR(_xlfn.XLOOKUP(A62, PublicHols[Date], PublicHols[PH_Name]),"")</f>
        <v/>
      </c>
      <c r="I62" s="4" t="str">
        <f>IF(COUNTIF(EventsAll[Date], A62)&gt;0, "Y", "N")</f>
        <v>N</v>
      </c>
      <c r="J62" s="11" t="str">
        <f>IFERROR(_xlfn.XLOOKUP(A62, EventsAll[Date], EventsAll[Event]),"")</f>
        <v/>
      </c>
      <c r="K62" s="4" t="str" cm="1">
        <f t="array" ref="K62">IF(SUMPRODUCT((A62&gt;=SchoolHols[Start])*(A62&lt;=SchoolHols[End]))&gt;0,"Y","N")</f>
        <v>N</v>
      </c>
    </row>
    <row r="63" spans="1:11">
      <c r="A63" s="6">
        <f t="shared" si="5"/>
        <v>43892</v>
      </c>
      <c r="B63" s="4" t="str">
        <f t="shared" si="0"/>
        <v>02</v>
      </c>
      <c r="C63" s="4" t="str">
        <f t="shared" si="1"/>
        <v>03</v>
      </c>
      <c r="D63" s="4" t="str">
        <f t="shared" si="2"/>
        <v>2020</v>
      </c>
      <c r="E63" s="3" t="str">
        <f t="shared" si="3"/>
        <v>Monday</v>
      </c>
      <c r="F63" s="4" t="str">
        <f t="shared" si="4"/>
        <v>N</v>
      </c>
      <c r="G63" s="4" t="str">
        <f>IF(COUNTIF(PublicHols[Date], A63)&gt;0, "Y", "N")</f>
        <v>N</v>
      </c>
      <c r="H63" s="3" t="str">
        <f>IFERROR(_xlfn.XLOOKUP(A63, PublicHols[Date], PublicHols[PH_Name]),"")</f>
        <v/>
      </c>
      <c r="I63" s="4" t="str">
        <f>IF(COUNTIF(EventsAll[Date], A63)&gt;0, "Y", "N")</f>
        <v>N</v>
      </c>
      <c r="J63" s="11" t="str">
        <f>IFERROR(_xlfn.XLOOKUP(A63, EventsAll[Date], EventsAll[Event]),"")</f>
        <v/>
      </c>
      <c r="K63" s="4" t="str" cm="1">
        <f t="array" ref="K63">IF(SUMPRODUCT((A63&gt;=SchoolHols[Start])*(A63&lt;=SchoolHols[End]))&gt;0,"Y","N")</f>
        <v>N</v>
      </c>
    </row>
    <row r="64" spans="1:11">
      <c r="A64" s="6">
        <f t="shared" si="5"/>
        <v>43893</v>
      </c>
      <c r="B64" s="4" t="str">
        <f t="shared" si="0"/>
        <v>03</v>
      </c>
      <c r="C64" s="4" t="str">
        <f t="shared" si="1"/>
        <v>03</v>
      </c>
      <c r="D64" s="4" t="str">
        <f t="shared" si="2"/>
        <v>2020</v>
      </c>
      <c r="E64" s="3" t="str">
        <f t="shared" si="3"/>
        <v>Tuesday</v>
      </c>
      <c r="F64" s="4" t="str">
        <f t="shared" si="4"/>
        <v>N</v>
      </c>
      <c r="G64" s="4" t="str">
        <f>IF(COUNTIF(PublicHols[Date], A64)&gt;0, "Y", "N")</f>
        <v>N</v>
      </c>
      <c r="H64" s="3" t="str">
        <f>IFERROR(_xlfn.XLOOKUP(A64, PublicHols[Date], PublicHols[PH_Name]),"")</f>
        <v/>
      </c>
      <c r="I64" s="4" t="str">
        <f>IF(COUNTIF(EventsAll[Date], A64)&gt;0, "Y", "N")</f>
        <v>N</v>
      </c>
      <c r="J64" s="11" t="str">
        <f>IFERROR(_xlfn.XLOOKUP(A64, EventsAll[Date], EventsAll[Event]),"")</f>
        <v/>
      </c>
      <c r="K64" s="4" t="str" cm="1">
        <f t="array" ref="K64">IF(SUMPRODUCT((A64&gt;=SchoolHols[Start])*(A64&lt;=SchoolHols[End]))&gt;0,"Y","N")</f>
        <v>N</v>
      </c>
    </row>
    <row r="65" spans="1:11">
      <c r="A65" s="6">
        <f t="shared" si="5"/>
        <v>43894</v>
      </c>
      <c r="B65" s="4" t="str">
        <f t="shared" si="0"/>
        <v>04</v>
      </c>
      <c r="C65" s="4" t="str">
        <f t="shared" si="1"/>
        <v>03</v>
      </c>
      <c r="D65" s="4" t="str">
        <f t="shared" si="2"/>
        <v>2020</v>
      </c>
      <c r="E65" s="3" t="str">
        <f t="shared" si="3"/>
        <v>Wednesday</v>
      </c>
      <c r="F65" s="4" t="str">
        <f t="shared" si="4"/>
        <v>N</v>
      </c>
      <c r="G65" s="4" t="str">
        <f>IF(COUNTIF(PublicHols[Date], A65)&gt;0, "Y", "N")</f>
        <v>N</v>
      </c>
      <c r="H65" s="3" t="str">
        <f>IFERROR(_xlfn.XLOOKUP(A65, PublicHols[Date], PublicHols[PH_Name]),"")</f>
        <v/>
      </c>
      <c r="I65" s="4" t="str">
        <f>IF(COUNTIF(EventsAll[Date], A65)&gt;0, "Y", "N")</f>
        <v>N</v>
      </c>
      <c r="J65" s="11" t="str">
        <f>IFERROR(_xlfn.XLOOKUP(A65, EventsAll[Date], EventsAll[Event]),"")</f>
        <v/>
      </c>
      <c r="K65" s="4" t="str" cm="1">
        <f t="array" ref="K65">IF(SUMPRODUCT((A65&gt;=SchoolHols[Start])*(A65&lt;=SchoolHols[End]))&gt;0,"Y","N")</f>
        <v>N</v>
      </c>
    </row>
    <row r="66" spans="1:11">
      <c r="A66" s="6">
        <f t="shared" si="5"/>
        <v>43895</v>
      </c>
      <c r="B66" s="4" t="str">
        <f t="shared" si="0"/>
        <v>05</v>
      </c>
      <c r="C66" s="4" t="str">
        <f t="shared" si="1"/>
        <v>03</v>
      </c>
      <c r="D66" s="4" t="str">
        <f t="shared" si="2"/>
        <v>2020</v>
      </c>
      <c r="E66" s="3" t="str">
        <f t="shared" si="3"/>
        <v>Thursday</v>
      </c>
      <c r="F66" s="4" t="str">
        <f t="shared" si="4"/>
        <v>N</v>
      </c>
      <c r="G66" s="4" t="str">
        <f>IF(COUNTIF(PublicHols[Date], A66)&gt;0, "Y", "N")</f>
        <v>N</v>
      </c>
      <c r="H66" s="3" t="str">
        <f>IFERROR(_xlfn.XLOOKUP(A66, PublicHols[Date], PublicHols[PH_Name]),"")</f>
        <v/>
      </c>
      <c r="I66" s="4" t="str">
        <f>IF(COUNTIF(EventsAll[Date], A66)&gt;0, "Y", "N")</f>
        <v>N</v>
      </c>
      <c r="J66" s="11" t="str">
        <f>IFERROR(_xlfn.XLOOKUP(A66, EventsAll[Date], EventsAll[Event]),"")</f>
        <v/>
      </c>
      <c r="K66" s="4" t="str" cm="1">
        <f t="array" ref="K66">IF(SUMPRODUCT((A66&gt;=SchoolHols[Start])*(A66&lt;=SchoolHols[End]))&gt;0,"Y","N")</f>
        <v>N</v>
      </c>
    </row>
    <row r="67" spans="1:11">
      <c r="A67" s="6">
        <f t="shared" si="5"/>
        <v>43896</v>
      </c>
      <c r="B67" s="4" t="str">
        <f t="shared" ref="B67:B130" si="6">TEXT($A67, "dd")</f>
        <v>06</v>
      </c>
      <c r="C67" s="4" t="str">
        <f t="shared" ref="C67:C130" si="7">TEXT($A67, "mm")</f>
        <v>03</v>
      </c>
      <c r="D67" s="4" t="str">
        <f t="shared" ref="D67:D130" si="8">TEXT($A67, "yyyy")</f>
        <v>2020</v>
      </c>
      <c r="E67" s="3" t="str">
        <f t="shared" ref="E67:E130" si="9">TEXT($A67, "dddd")</f>
        <v>Friday</v>
      </c>
      <c r="F67" s="4" t="str">
        <f t="shared" ref="F67:F130" si="10">IF($E67="Sunday", "Y", "N")</f>
        <v>N</v>
      </c>
      <c r="G67" s="4" t="str">
        <f>IF(COUNTIF(PublicHols[Date], A67)&gt;0, "Y", "N")</f>
        <v>N</v>
      </c>
      <c r="H67" s="3" t="str">
        <f>IFERROR(_xlfn.XLOOKUP(A67, PublicHols[Date], PublicHols[PH_Name]),"")</f>
        <v/>
      </c>
      <c r="I67" s="4" t="str">
        <f>IF(COUNTIF(EventsAll[Date], A67)&gt;0, "Y", "N")</f>
        <v>N</v>
      </c>
      <c r="J67" s="11" t="str">
        <f>IFERROR(_xlfn.XLOOKUP(A67, EventsAll[Date], EventsAll[Event]),"")</f>
        <v/>
      </c>
      <c r="K67" s="4" t="str" cm="1">
        <f t="array" ref="K67">IF(SUMPRODUCT((A67&gt;=SchoolHols[Start])*(A67&lt;=SchoolHols[End]))&gt;0,"Y","N")</f>
        <v>N</v>
      </c>
    </row>
    <row r="68" spans="1:11">
      <c r="A68" s="6">
        <f t="shared" ref="A68:A131" si="11">$A67+1</f>
        <v>43897</v>
      </c>
      <c r="B68" s="4" t="str">
        <f t="shared" si="6"/>
        <v>07</v>
      </c>
      <c r="C68" s="4" t="str">
        <f t="shared" si="7"/>
        <v>03</v>
      </c>
      <c r="D68" s="4" t="str">
        <f t="shared" si="8"/>
        <v>2020</v>
      </c>
      <c r="E68" s="3" t="str">
        <f t="shared" si="9"/>
        <v>Saturday</v>
      </c>
      <c r="F68" s="4" t="str">
        <f t="shared" si="10"/>
        <v>N</v>
      </c>
      <c r="G68" s="4" t="str">
        <f>IF(COUNTIF(PublicHols[Date], A68)&gt;0, "Y", "N")</f>
        <v>N</v>
      </c>
      <c r="H68" s="3" t="str">
        <f>IFERROR(_xlfn.XLOOKUP(A68, PublicHols[Date], PublicHols[PH_Name]),"")</f>
        <v/>
      </c>
      <c r="I68" s="4" t="str">
        <f>IF(COUNTIF(EventsAll[Date], A68)&gt;0, "Y", "N")</f>
        <v>N</v>
      </c>
      <c r="J68" s="11" t="str">
        <f>IFERROR(_xlfn.XLOOKUP(A68, EventsAll[Date], EventsAll[Event]),"")</f>
        <v/>
      </c>
      <c r="K68" s="4" t="str" cm="1">
        <f t="array" ref="K68">IF(SUMPRODUCT((A68&gt;=SchoolHols[Start])*(A68&lt;=SchoolHols[End]))&gt;0,"Y","N")</f>
        <v>N</v>
      </c>
    </row>
    <row r="69" spans="1:11">
      <c r="A69" s="6">
        <f t="shared" si="11"/>
        <v>43898</v>
      </c>
      <c r="B69" s="4" t="str">
        <f t="shared" si="6"/>
        <v>08</v>
      </c>
      <c r="C69" s="4" t="str">
        <f t="shared" si="7"/>
        <v>03</v>
      </c>
      <c r="D69" s="4" t="str">
        <f t="shared" si="8"/>
        <v>2020</v>
      </c>
      <c r="E69" s="3" t="str">
        <f t="shared" si="9"/>
        <v>Sunday</v>
      </c>
      <c r="F69" s="4" t="str">
        <f t="shared" si="10"/>
        <v>Y</v>
      </c>
      <c r="G69" s="4" t="str">
        <f>IF(COUNTIF(PublicHols[Date], A69)&gt;0, "Y", "N")</f>
        <v>N</v>
      </c>
      <c r="H69" s="3" t="str">
        <f>IFERROR(_xlfn.XLOOKUP(A69, PublicHols[Date], PublicHols[PH_Name]),"")</f>
        <v/>
      </c>
      <c r="I69" s="4" t="str">
        <f>IF(COUNTIF(EventsAll[Date], A69)&gt;0, "Y", "N")</f>
        <v>N</v>
      </c>
      <c r="J69" s="11" t="str">
        <f>IFERROR(_xlfn.XLOOKUP(A69, EventsAll[Date], EventsAll[Event]),"")</f>
        <v/>
      </c>
      <c r="K69" s="4" t="str" cm="1">
        <f t="array" ref="K69">IF(SUMPRODUCT((A69&gt;=SchoolHols[Start])*(A69&lt;=SchoolHols[End]))&gt;0,"Y","N")</f>
        <v>N</v>
      </c>
    </row>
    <row r="70" spans="1:11">
      <c r="A70" s="6">
        <f t="shared" si="11"/>
        <v>43899</v>
      </c>
      <c r="B70" s="4" t="str">
        <f t="shared" si="6"/>
        <v>09</v>
      </c>
      <c r="C70" s="4" t="str">
        <f t="shared" si="7"/>
        <v>03</v>
      </c>
      <c r="D70" s="4" t="str">
        <f t="shared" si="8"/>
        <v>2020</v>
      </c>
      <c r="E70" s="3" t="str">
        <f t="shared" si="9"/>
        <v>Monday</v>
      </c>
      <c r="F70" s="4" t="str">
        <f t="shared" si="10"/>
        <v>N</v>
      </c>
      <c r="G70" s="4" t="str">
        <f>IF(COUNTIF(PublicHols[Date], A70)&gt;0, "Y", "N")</f>
        <v>N</v>
      </c>
      <c r="H70" s="3" t="str">
        <f>IFERROR(_xlfn.XLOOKUP(A70, PublicHols[Date], PublicHols[PH_Name]),"")</f>
        <v/>
      </c>
      <c r="I70" s="4" t="str">
        <f>IF(COUNTIF(EventsAll[Date], A70)&gt;0, "Y", "N")</f>
        <v>N</v>
      </c>
      <c r="J70" s="11" t="str">
        <f>IFERROR(_xlfn.XLOOKUP(A70, EventsAll[Date], EventsAll[Event]),"")</f>
        <v/>
      </c>
      <c r="K70" s="4" t="str" cm="1">
        <f t="array" ref="K70">IF(SUMPRODUCT((A70&gt;=SchoolHols[Start])*(A70&lt;=SchoolHols[End]))&gt;0,"Y","N")</f>
        <v>N</v>
      </c>
    </row>
    <row r="71" spans="1:11">
      <c r="A71" s="6">
        <f t="shared" si="11"/>
        <v>43900</v>
      </c>
      <c r="B71" s="4" t="str">
        <f t="shared" si="6"/>
        <v>10</v>
      </c>
      <c r="C71" s="4" t="str">
        <f t="shared" si="7"/>
        <v>03</v>
      </c>
      <c r="D71" s="4" t="str">
        <f t="shared" si="8"/>
        <v>2020</v>
      </c>
      <c r="E71" s="3" t="str">
        <f t="shared" si="9"/>
        <v>Tuesday</v>
      </c>
      <c r="F71" s="4" t="str">
        <f t="shared" si="10"/>
        <v>N</v>
      </c>
      <c r="G71" s="4" t="str">
        <f>IF(COUNTIF(PublicHols[Date], A71)&gt;0, "Y", "N")</f>
        <v>N</v>
      </c>
      <c r="H71" s="3" t="str">
        <f>IFERROR(_xlfn.XLOOKUP(A71, PublicHols[Date], PublicHols[PH_Name]),"")</f>
        <v/>
      </c>
      <c r="I71" s="4" t="str">
        <f>IF(COUNTIF(EventsAll[Date], A71)&gt;0, "Y", "N")</f>
        <v>N</v>
      </c>
      <c r="J71" s="11" t="str">
        <f>IFERROR(_xlfn.XLOOKUP(A71, EventsAll[Date], EventsAll[Event]),"")</f>
        <v/>
      </c>
      <c r="K71" s="4" t="str" cm="1">
        <f t="array" ref="K71">IF(SUMPRODUCT((A71&gt;=SchoolHols[Start])*(A71&lt;=SchoolHols[End]))&gt;0,"Y","N")</f>
        <v>N</v>
      </c>
    </row>
    <row r="72" spans="1:11">
      <c r="A72" s="6">
        <f t="shared" si="11"/>
        <v>43901</v>
      </c>
      <c r="B72" s="4" t="str">
        <f t="shared" si="6"/>
        <v>11</v>
      </c>
      <c r="C72" s="4" t="str">
        <f t="shared" si="7"/>
        <v>03</v>
      </c>
      <c r="D72" s="4" t="str">
        <f t="shared" si="8"/>
        <v>2020</v>
      </c>
      <c r="E72" s="3" t="str">
        <f t="shared" si="9"/>
        <v>Wednesday</v>
      </c>
      <c r="F72" s="4" t="str">
        <f t="shared" si="10"/>
        <v>N</v>
      </c>
      <c r="G72" s="4" t="str">
        <f>IF(COUNTIF(PublicHols[Date], A72)&gt;0, "Y", "N")</f>
        <v>N</v>
      </c>
      <c r="H72" s="3" t="str">
        <f>IFERROR(_xlfn.XLOOKUP(A72, PublicHols[Date], PublicHols[PH_Name]),"")</f>
        <v/>
      </c>
      <c r="I72" s="4" t="str">
        <f>IF(COUNTIF(EventsAll[Date], A72)&gt;0, "Y", "N")</f>
        <v>N</v>
      </c>
      <c r="J72" s="11" t="str">
        <f>IFERROR(_xlfn.XLOOKUP(A72, EventsAll[Date], EventsAll[Event]),"")</f>
        <v/>
      </c>
      <c r="K72" s="4" t="str" cm="1">
        <f t="array" ref="K72">IF(SUMPRODUCT((A72&gt;=SchoolHols[Start])*(A72&lt;=SchoolHols[End]))&gt;0,"Y","N")</f>
        <v>N</v>
      </c>
    </row>
    <row r="73" spans="1:11">
      <c r="A73" s="6">
        <f t="shared" si="11"/>
        <v>43902</v>
      </c>
      <c r="B73" s="4" t="str">
        <f t="shared" si="6"/>
        <v>12</v>
      </c>
      <c r="C73" s="4" t="str">
        <f t="shared" si="7"/>
        <v>03</v>
      </c>
      <c r="D73" s="4" t="str">
        <f t="shared" si="8"/>
        <v>2020</v>
      </c>
      <c r="E73" s="3" t="str">
        <f t="shared" si="9"/>
        <v>Thursday</v>
      </c>
      <c r="F73" s="4" t="str">
        <f t="shared" si="10"/>
        <v>N</v>
      </c>
      <c r="G73" s="4" t="str">
        <f>IF(COUNTIF(PublicHols[Date], A73)&gt;0, "Y", "N")</f>
        <v>N</v>
      </c>
      <c r="H73" s="3" t="str">
        <f>IFERROR(_xlfn.XLOOKUP(A73, PublicHols[Date], PublicHols[PH_Name]),"")</f>
        <v/>
      </c>
      <c r="I73" s="4" t="str">
        <f>IF(COUNTIF(EventsAll[Date], A73)&gt;0, "Y", "N")</f>
        <v>N</v>
      </c>
      <c r="J73" s="11" t="str">
        <f>IFERROR(_xlfn.XLOOKUP(A73, EventsAll[Date], EventsAll[Event]),"")</f>
        <v/>
      </c>
      <c r="K73" s="4" t="str" cm="1">
        <f t="array" ref="K73">IF(SUMPRODUCT((A73&gt;=SchoolHols[Start])*(A73&lt;=SchoolHols[End]))&gt;0,"Y","N")</f>
        <v>N</v>
      </c>
    </row>
    <row r="74" spans="1:11">
      <c r="A74" s="6">
        <f t="shared" si="11"/>
        <v>43903</v>
      </c>
      <c r="B74" s="4" t="str">
        <f t="shared" si="6"/>
        <v>13</v>
      </c>
      <c r="C74" s="4" t="str">
        <f t="shared" si="7"/>
        <v>03</v>
      </c>
      <c r="D74" s="4" t="str">
        <f t="shared" si="8"/>
        <v>2020</v>
      </c>
      <c r="E74" s="3" t="str">
        <f t="shared" si="9"/>
        <v>Friday</v>
      </c>
      <c r="F74" s="4" t="str">
        <f t="shared" si="10"/>
        <v>N</v>
      </c>
      <c r="G74" s="4" t="str">
        <f>IF(COUNTIF(PublicHols[Date], A74)&gt;0, "Y", "N")</f>
        <v>N</v>
      </c>
      <c r="H74" s="3" t="str">
        <f>IFERROR(_xlfn.XLOOKUP(A74, PublicHols[Date], PublicHols[PH_Name]),"")</f>
        <v/>
      </c>
      <c r="I74" s="4" t="str">
        <f>IF(COUNTIF(EventsAll[Date], A74)&gt;0, "Y", "N")</f>
        <v>N</v>
      </c>
      <c r="J74" s="11" t="str">
        <f>IFERROR(_xlfn.XLOOKUP(A74, EventsAll[Date], EventsAll[Event]),"")</f>
        <v/>
      </c>
      <c r="K74" s="4" t="str" cm="1">
        <f t="array" ref="K74">IF(SUMPRODUCT((A74&gt;=SchoolHols[Start])*(A74&lt;=SchoolHols[End]))&gt;0,"Y","N")</f>
        <v>N</v>
      </c>
    </row>
    <row r="75" spans="1:11">
      <c r="A75" s="6">
        <f t="shared" si="11"/>
        <v>43904</v>
      </c>
      <c r="B75" s="4" t="str">
        <f t="shared" si="6"/>
        <v>14</v>
      </c>
      <c r="C75" s="4" t="str">
        <f t="shared" si="7"/>
        <v>03</v>
      </c>
      <c r="D75" s="4" t="str">
        <f t="shared" si="8"/>
        <v>2020</v>
      </c>
      <c r="E75" s="3" t="str">
        <f t="shared" si="9"/>
        <v>Saturday</v>
      </c>
      <c r="F75" s="4" t="str">
        <f t="shared" si="10"/>
        <v>N</v>
      </c>
      <c r="G75" s="4" t="str">
        <f>IF(COUNTIF(PublicHols[Date], A75)&gt;0, "Y", "N")</f>
        <v>N</v>
      </c>
      <c r="H75" s="3" t="str">
        <f>IFERROR(_xlfn.XLOOKUP(A75, PublicHols[Date], PublicHols[PH_Name]),"")</f>
        <v/>
      </c>
      <c r="I75" s="4" t="str">
        <f>IF(COUNTIF(EventsAll[Date], A75)&gt;0, "Y", "N")</f>
        <v>N</v>
      </c>
      <c r="J75" s="11" t="str">
        <f>IFERROR(_xlfn.XLOOKUP(A75, EventsAll[Date], EventsAll[Event]),"")</f>
        <v/>
      </c>
      <c r="K75" s="4" t="str" cm="1">
        <f t="array" ref="K75">IF(SUMPRODUCT((A75&gt;=SchoolHols[Start])*(A75&lt;=SchoolHols[End]))&gt;0,"Y","N")</f>
        <v>N</v>
      </c>
    </row>
    <row r="76" spans="1:11">
      <c r="A76" s="6">
        <f t="shared" si="11"/>
        <v>43905</v>
      </c>
      <c r="B76" s="4" t="str">
        <f t="shared" si="6"/>
        <v>15</v>
      </c>
      <c r="C76" s="4" t="str">
        <f t="shared" si="7"/>
        <v>03</v>
      </c>
      <c r="D76" s="4" t="str">
        <f t="shared" si="8"/>
        <v>2020</v>
      </c>
      <c r="E76" s="3" t="str">
        <f t="shared" si="9"/>
        <v>Sunday</v>
      </c>
      <c r="F76" s="4" t="str">
        <f t="shared" si="10"/>
        <v>Y</v>
      </c>
      <c r="G76" s="4" t="str">
        <f>IF(COUNTIF(PublicHols[Date], A76)&gt;0, "Y", "N")</f>
        <v>N</v>
      </c>
      <c r="H76" s="3" t="str">
        <f>IFERROR(_xlfn.XLOOKUP(A76, PublicHols[Date], PublicHols[PH_Name]),"")</f>
        <v/>
      </c>
      <c r="I76" s="4" t="str">
        <f>IF(COUNTIF(EventsAll[Date], A76)&gt;0, "Y", "N")</f>
        <v>N</v>
      </c>
      <c r="J76" s="11" t="str">
        <f>IFERROR(_xlfn.XLOOKUP(A76, EventsAll[Date], EventsAll[Event]),"")</f>
        <v/>
      </c>
      <c r="K76" s="4" t="str" cm="1">
        <f t="array" ref="K76">IF(SUMPRODUCT((A76&gt;=SchoolHols[Start])*(A76&lt;=SchoolHols[End]))&gt;0,"Y","N")</f>
        <v>Y</v>
      </c>
    </row>
    <row r="77" spans="1:11">
      <c r="A77" s="6">
        <f t="shared" si="11"/>
        <v>43906</v>
      </c>
      <c r="B77" s="4" t="str">
        <f t="shared" si="6"/>
        <v>16</v>
      </c>
      <c r="C77" s="4" t="str">
        <f t="shared" si="7"/>
        <v>03</v>
      </c>
      <c r="D77" s="4" t="str">
        <f t="shared" si="8"/>
        <v>2020</v>
      </c>
      <c r="E77" s="3" t="str">
        <f t="shared" si="9"/>
        <v>Monday</v>
      </c>
      <c r="F77" s="4" t="str">
        <f t="shared" si="10"/>
        <v>N</v>
      </c>
      <c r="G77" s="4" t="str">
        <f>IF(COUNTIF(PublicHols[Date], A77)&gt;0, "Y", "N")</f>
        <v>N</v>
      </c>
      <c r="H77" s="3" t="str">
        <f>IFERROR(_xlfn.XLOOKUP(A77, PublicHols[Date], PublicHols[PH_Name]),"")</f>
        <v/>
      </c>
      <c r="I77" s="4" t="str">
        <f>IF(COUNTIF(EventsAll[Date], A77)&gt;0, "Y", "N")</f>
        <v>N</v>
      </c>
      <c r="J77" s="11" t="str">
        <f>IFERROR(_xlfn.XLOOKUP(A77, EventsAll[Date], EventsAll[Event]),"")</f>
        <v/>
      </c>
      <c r="K77" s="4" t="str" cm="1">
        <f t="array" ref="K77">IF(SUMPRODUCT((A77&gt;=SchoolHols[Start])*(A77&lt;=SchoolHols[End]))&gt;0,"Y","N")</f>
        <v>Y</v>
      </c>
    </row>
    <row r="78" spans="1:11">
      <c r="A78" s="6">
        <f t="shared" si="11"/>
        <v>43907</v>
      </c>
      <c r="B78" s="4" t="str">
        <f t="shared" si="6"/>
        <v>17</v>
      </c>
      <c r="C78" s="4" t="str">
        <f t="shared" si="7"/>
        <v>03</v>
      </c>
      <c r="D78" s="4" t="str">
        <f t="shared" si="8"/>
        <v>2020</v>
      </c>
      <c r="E78" s="3" t="str">
        <f t="shared" si="9"/>
        <v>Tuesday</v>
      </c>
      <c r="F78" s="4" t="str">
        <f t="shared" si="10"/>
        <v>N</v>
      </c>
      <c r="G78" s="4" t="str">
        <f>IF(COUNTIF(PublicHols[Date], A78)&gt;0, "Y", "N")</f>
        <v>N</v>
      </c>
      <c r="H78" s="3" t="str">
        <f>IFERROR(_xlfn.XLOOKUP(A78, PublicHols[Date], PublicHols[PH_Name]),"")</f>
        <v/>
      </c>
      <c r="I78" s="4" t="str">
        <f>IF(COUNTIF(EventsAll[Date], A78)&gt;0, "Y", "N")</f>
        <v>N</v>
      </c>
      <c r="J78" s="11" t="str">
        <f>IFERROR(_xlfn.XLOOKUP(A78, EventsAll[Date], EventsAll[Event]),"")</f>
        <v/>
      </c>
      <c r="K78" s="4" t="str" cm="1">
        <f t="array" ref="K78">IF(SUMPRODUCT((A78&gt;=SchoolHols[Start])*(A78&lt;=SchoolHols[End]))&gt;0,"Y","N")</f>
        <v>Y</v>
      </c>
    </row>
    <row r="79" spans="1:11">
      <c r="A79" s="6">
        <f t="shared" si="11"/>
        <v>43908</v>
      </c>
      <c r="B79" s="4" t="str">
        <f t="shared" si="6"/>
        <v>18</v>
      </c>
      <c r="C79" s="4" t="str">
        <f t="shared" si="7"/>
        <v>03</v>
      </c>
      <c r="D79" s="4" t="str">
        <f t="shared" si="8"/>
        <v>2020</v>
      </c>
      <c r="E79" s="3" t="str">
        <f t="shared" si="9"/>
        <v>Wednesday</v>
      </c>
      <c r="F79" s="4" t="str">
        <f t="shared" si="10"/>
        <v>N</v>
      </c>
      <c r="G79" s="4" t="str">
        <f>IF(COUNTIF(PublicHols[Date], A79)&gt;0, "Y", "N")</f>
        <v>N</v>
      </c>
      <c r="H79" s="3" t="str">
        <f>IFERROR(_xlfn.XLOOKUP(A79, PublicHols[Date], PublicHols[PH_Name]),"")</f>
        <v/>
      </c>
      <c r="I79" s="4" t="str">
        <f>IF(COUNTIF(EventsAll[Date], A79)&gt;0, "Y", "N")</f>
        <v>N</v>
      </c>
      <c r="J79" s="11" t="str">
        <f>IFERROR(_xlfn.XLOOKUP(A79, EventsAll[Date], EventsAll[Event]),"")</f>
        <v/>
      </c>
      <c r="K79" s="4" t="str" cm="1">
        <f t="array" ref="K79">IF(SUMPRODUCT((A79&gt;=SchoolHols[Start])*(A79&lt;=SchoolHols[End]))&gt;0,"Y","N")</f>
        <v>Y</v>
      </c>
    </row>
    <row r="80" spans="1:11">
      <c r="A80" s="6">
        <f t="shared" si="11"/>
        <v>43909</v>
      </c>
      <c r="B80" s="4" t="str">
        <f t="shared" si="6"/>
        <v>19</v>
      </c>
      <c r="C80" s="4" t="str">
        <f t="shared" si="7"/>
        <v>03</v>
      </c>
      <c r="D80" s="4" t="str">
        <f t="shared" si="8"/>
        <v>2020</v>
      </c>
      <c r="E80" s="3" t="str">
        <f t="shared" si="9"/>
        <v>Thursday</v>
      </c>
      <c r="F80" s="4" t="str">
        <f t="shared" si="10"/>
        <v>N</v>
      </c>
      <c r="G80" s="4" t="str">
        <f>IF(COUNTIF(PublicHols[Date], A80)&gt;0, "Y", "N")</f>
        <v>N</v>
      </c>
      <c r="H80" s="3" t="str">
        <f>IFERROR(_xlfn.XLOOKUP(A80, PublicHols[Date], PublicHols[PH_Name]),"")</f>
        <v/>
      </c>
      <c r="I80" s="4" t="str">
        <f>IF(COUNTIF(EventsAll[Date], A80)&gt;0, "Y", "N")</f>
        <v>N</v>
      </c>
      <c r="J80" s="11" t="str">
        <f>IFERROR(_xlfn.XLOOKUP(A80, EventsAll[Date], EventsAll[Event]),"")</f>
        <v/>
      </c>
      <c r="K80" s="4" t="str" cm="1">
        <f t="array" ref="K80">IF(SUMPRODUCT((A80&gt;=SchoolHols[Start])*(A80&lt;=SchoolHols[End]))&gt;0,"Y","N")</f>
        <v>Y</v>
      </c>
    </row>
    <row r="81" spans="1:11">
      <c r="A81" s="6">
        <f t="shared" si="11"/>
        <v>43910</v>
      </c>
      <c r="B81" s="4" t="str">
        <f t="shared" si="6"/>
        <v>20</v>
      </c>
      <c r="C81" s="4" t="str">
        <f t="shared" si="7"/>
        <v>03</v>
      </c>
      <c r="D81" s="4" t="str">
        <f t="shared" si="8"/>
        <v>2020</v>
      </c>
      <c r="E81" s="3" t="str">
        <f t="shared" si="9"/>
        <v>Friday</v>
      </c>
      <c r="F81" s="4" t="str">
        <f t="shared" si="10"/>
        <v>N</v>
      </c>
      <c r="G81" s="4" t="str">
        <f>IF(COUNTIF(PublicHols[Date], A81)&gt;0, "Y", "N")</f>
        <v>N</v>
      </c>
      <c r="H81" s="3" t="str">
        <f>IFERROR(_xlfn.XLOOKUP(A81, PublicHols[Date], PublicHols[PH_Name]),"")</f>
        <v/>
      </c>
      <c r="I81" s="4" t="str">
        <f>IF(COUNTIF(EventsAll[Date], A81)&gt;0, "Y", "N")</f>
        <v>N</v>
      </c>
      <c r="J81" s="11" t="str">
        <f>IFERROR(_xlfn.XLOOKUP(A81, EventsAll[Date], EventsAll[Event]),"")</f>
        <v/>
      </c>
      <c r="K81" s="4" t="str" cm="1">
        <f t="array" ref="K81">IF(SUMPRODUCT((A81&gt;=SchoolHols[Start])*(A81&lt;=SchoolHols[End]))&gt;0,"Y","N")</f>
        <v>Y</v>
      </c>
    </row>
    <row r="82" spans="1:11">
      <c r="A82" s="6">
        <f t="shared" si="11"/>
        <v>43911</v>
      </c>
      <c r="B82" s="4" t="str">
        <f t="shared" si="6"/>
        <v>21</v>
      </c>
      <c r="C82" s="4" t="str">
        <f t="shared" si="7"/>
        <v>03</v>
      </c>
      <c r="D82" s="4" t="str">
        <f t="shared" si="8"/>
        <v>2020</v>
      </c>
      <c r="E82" s="3" t="str">
        <f t="shared" si="9"/>
        <v>Saturday</v>
      </c>
      <c r="F82" s="4" t="str">
        <f t="shared" si="10"/>
        <v>N</v>
      </c>
      <c r="G82" s="4" t="str">
        <f>IF(COUNTIF(PublicHols[Date], A82)&gt;0, "Y", "N")</f>
        <v>Y</v>
      </c>
      <c r="H82" s="3" t="str">
        <f>IFERROR(_xlfn.XLOOKUP(A82, PublicHols[Date], PublicHols[PH_Name]),"")</f>
        <v>Human Rights Day</v>
      </c>
      <c r="I82" s="4" t="str">
        <f>IF(COUNTIF(EventsAll[Date], A82)&gt;0, "Y", "N")</f>
        <v>N</v>
      </c>
      <c r="J82" s="11" t="str">
        <f>IFERROR(_xlfn.XLOOKUP(A82, EventsAll[Date], EventsAll[Event]),"")</f>
        <v/>
      </c>
      <c r="K82" s="4" t="str" cm="1">
        <f t="array" ref="K82">IF(SUMPRODUCT((A82&gt;=SchoolHols[Start])*(A82&lt;=SchoolHols[End]))&gt;0,"Y","N")</f>
        <v>Y</v>
      </c>
    </row>
    <row r="83" spans="1:11">
      <c r="A83" s="6">
        <f t="shared" si="11"/>
        <v>43912</v>
      </c>
      <c r="B83" s="4" t="str">
        <f t="shared" si="6"/>
        <v>22</v>
      </c>
      <c r="C83" s="4" t="str">
        <f t="shared" si="7"/>
        <v>03</v>
      </c>
      <c r="D83" s="4" t="str">
        <f t="shared" si="8"/>
        <v>2020</v>
      </c>
      <c r="E83" s="3" t="str">
        <f t="shared" si="9"/>
        <v>Sunday</v>
      </c>
      <c r="F83" s="4" t="str">
        <f t="shared" si="10"/>
        <v>Y</v>
      </c>
      <c r="G83" s="4" t="str">
        <f>IF(COUNTIF(PublicHols[Date], A83)&gt;0, "Y", "N")</f>
        <v>N</v>
      </c>
      <c r="H83" s="3" t="str">
        <f>IFERROR(_xlfn.XLOOKUP(A83, PublicHols[Date], PublicHols[PH_Name]),"")</f>
        <v/>
      </c>
      <c r="I83" s="4" t="str">
        <f>IF(COUNTIF(EventsAll[Date], A83)&gt;0, "Y", "N")</f>
        <v>N</v>
      </c>
      <c r="J83" s="11" t="str">
        <f>IFERROR(_xlfn.XLOOKUP(A83, EventsAll[Date], EventsAll[Event]),"")</f>
        <v/>
      </c>
      <c r="K83" s="4" t="str" cm="1">
        <f t="array" ref="K83">IF(SUMPRODUCT((A83&gt;=SchoolHols[Start])*(A83&lt;=SchoolHols[End]))&gt;0,"Y","N")</f>
        <v>Y</v>
      </c>
    </row>
    <row r="84" spans="1:11">
      <c r="A84" s="6">
        <f t="shared" si="11"/>
        <v>43913</v>
      </c>
      <c r="B84" s="4" t="str">
        <f t="shared" si="6"/>
        <v>23</v>
      </c>
      <c r="C84" s="4" t="str">
        <f t="shared" si="7"/>
        <v>03</v>
      </c>
      <c r="D84" s="4" t="str">
        <f t="shared" si="8"/>
        <v>2020</v>
      </c>
      <c r="E84" s="3" t="str">
        <f t="shared" si="9"/>
        <v>Monday</v>
      </c>
      <c r="F84" s="4" t="str">
        <f t="shared" si="10"/>
        <v>N</v>
      </c>
      <c r="G84" s="4" t="str">
        <f>IF(COUNTIF(PublicHols[Date], A84)&gt;0, "Y", "N")</f>
        <v>N</v>
      </c>
      <c r="H84" s="3" t="str">
        <f>IFERROR(_xlfn.XLOOKUP(A84, PublicHols[Date], PublicHols[PH_Name]),"")</f>
        <v/>
      </c>
      <c r="I84" s="4" t="str">
        <f>IF(COUNTIF(EventsAll[Date], A84)&gt;0, "Y", "N")</f>
        <v>N</v>
      </c>
      <c r="J84" s="11" t="str">
        <f>IFERROR(_xlfn.XLOOKUP(A84, EventsAll[Date], EventsAll[Event]),"")</f>
        <v/>
      </c>
      <c r="K84" s="4" t="str" cm="1">
        <f t="array" ref="K84">IF(SUMPRODUCT((A84&gt;=SchoolHols[Start])*(A84&lt;=SchoolHols[End]))&gt;0,"Y","N")</f>
        <v>Y</v>
      </c>
    </row>
    <row r="85" spans="1:11">
      <c r="A85" s="6">
        <f t="shared" si="11"/>
        <v>43914</v>
      </c>
      <c r="B85" s="4" t="str">
        <f t="shared" si="6"/>
        <v>24</v>
      </c>
      <c r="C85" s="4" t="str">
        <f t="shared" si="7"/>
        <v>03</v>
      </c>
      <c r="D85" s="4" t="str">
        <f t="shared" si="8"/>
        <v>2020</v>
      </c>
      <c r="E85" s="3" t="str">
        <f t="shared" si="9"/>
        <v>Tuesday</v>
      </c>
      <c r="F85" s="4" t="str">
        <f t="shared" si="10"/>
        <v>N</v>
      </c>
      <c r="G85" s="4" t="str">
        <f>IF(COUNTIF(PublicHols[Date], A85)&gt;0, "Y", "N")</f>
        <v>N</v>
      </c>
      <c r="H85" s="3" t="str">
        <f>IFERROR(_xlfn.XLOOKUP(A85, PublicHols[Date], PublicHols[PH_Name]),"")</f>
        <v/>
      </c>
      <c r="I85" s="4" t="str">
        <f>IF(COUNTIF(EventsAll[Date], A85)&gt;0, "Y", "N")</f>
        <v>N</v>
      </c>
      <c r="J85" s="11" t="str">
        <f>IFERROR(_xlfn.XLOOKUP(A85, EventsAll[Date], EventsAll[Event]),"")</f>
        <v/>
      </c>
      <c r="K85" s="4" t="str" cm="1">
        <f t="array" ref="K85">IF(SUMPRODUCT((A85&gt;=SchoolHols[Start])*(A85&lt;=SchoolHols[End]))&gt;0,"Y","N")</f>
        <v>Y</v>
      </c>
    </row>
    <row r="86" spans="1:11">
      <c r="A86" s="6">
        <f t="shared" si="11"/>
        <v>43915</v>
      </c>
      <c r="B86" s="4" t="str">
        <f t="shared" si="6"/>
        <v>25</v>
      </c>
      <c r="C86" s="4" t="str">
        <f t="shared" si="7"/>
        <v>03</v>
      </c>
      <c r="D86" s="4" t="str">
        <f t="shared" si="8"/>
        <v>2020</v>
      </c>
      <c r="E86" s="3" t="str">
        <f t="shared" si="9"/>
        <v>Wednesday</v>
      </c>
      <c r="F86" s="4" t="str">
        <f t="shared" si="10"/>
        <v>N</v>
      </c>
      <c r="G86" s="4" t="str">
        <f>IF(COUNTIF(PublicHols[Date], A86)&gt;0, "Y", "N")</f>
        <v>N</v>
      </c>
      <c r="H86" s="3" t="str">
        <f>IFERROR(_xlfn.XLOOKUP(A86, PublicHols[Date], PublicHols[PH_Name]),"")</f>
        <v/>
      </c>
      <c r="I86" s="4" t="str">
        <f>IF(COUNTIF(EventsAll[Date], A86)&gt;0, "Y", "N")</f>
        <v>N</v>
      </c>
      <c r="J86" s="11" t="str">
        <f>IFERROR(_xlfn.XLOOKUP(A86, EventsAll[Date], EventsAll[Event]),"")</f>
        <v/>
      </c>
      <c r="K86" s="4" t="str" cm="1">
        <f t="array" ref="K86">IF(SUMPRODUCT((A86&gt;=SchoolHols[Start])*(A86&lt;=SchoolHols[End]))&gt;0,"Y","N")</f>
        <v>Y</v>
      </c>
    </row>
    <row r="87" spans="1:11">
      <c r="A87" s="6">
        <f t="shared" si="11"/>
        <v>43916</v>
      </c>
      <c r="B87" s="4" t="str">
        <f t="shared" si="6"/>
        <v>26</v>
      </c>
      <c r="C87" s="4" t="str">
        <f t="shared" si="7"/>
        <v>03</v>
      </c>
      <c r="D87" s="4" t="str">
        <f t="shared" si="8"/>
        <v>2020</v>
      </c>
      <c r="E87" s="3" t="str">
        <f t="shared" si="9"/>
        <v>Thursday</v>
      </c>
      <c r="F87" s="4" t="str">
        <f t="shared" si="10"/>
        <v>N</v>
      </c>
      <c r="G87" s="4" t="str">
        <f>IF(COUNTIF(PublicHols[Date], A87)&gt;0, "Y", "N")</f>
        <v>N</v>
      </c>
      <c r="H87" s="3" t="str">
        <f>IFERROR(_xlfn.XLOOKUP(A87, PublicHols[Date], PublicHols[PH_Name]),"")</f>
        <v/>
      </c>
      <c r="I87" s="4" t="str">
        <f>IF(COUNTIF(EventsAll[Date], A87)&gt;0, "Y", "N")</f>
        <v>N</v>
      </c>
      <c r="J87" s="11" t="str">
        <f>IFERROR(_xlfn.XLOOKUP(A87, EventsAll[Date], EventsAll[Event]),"")</f>
        <v/>
      </c>
      <c r="K87" s="4" t="str" cm="1">
        <f t="array" ref="K87">IF(SUMPRODUCT((A87&gt;=SchoolHols[Start])*(A87&lt;=SchoolHols[End]))&gt;0,"Y","N")</f>
        <v>Y</v>
      </c>
    </row>
    <row r="88" spans="1:11">
      <c r="A88" s="6">
        <f t="shared" si="11"/>
        <v>43917</v>
      </c>
      <c r="B88" s="4" t="str">
        <f t="shared" si="6"/>
        <v>27</v>
      </c>
      <c r="C88" s="4" t="str">
        <f t="shared" si="7"/>
        <v>03</v>
      </c>
      <c r="D88" s="4" t="str">
        <f t="shared" si="8"/>
        <v>2020</v>
      </c>
      <c r="E88" s="3" t="str">
        <f t="shared" si="9"/>
        <v>Friday</v>
      </c>
      <c r="F88" s="4" t="str">
        <f t="shared" si="10"/>
        <v>N</v>
      </c>
      <c r="G88" s="4" t="str">
        <f>IF(COUNTIF(PublicHols[Date], A88)&gt;0, "Y", "N")</f>
        <v>N</v>
      </c>
      <c r="H88" s="3" t="str">
        <f>IFERROR(_xlfn.XLOOKUP(A88, PublicHols[Date], PublicHols[PH_Name]),"")</f>
        <v/>
      </c>
      <c r="I88" s="4" t="str">
        <f>IF(COUNTIF(EventsAll[Date], A88)&gt;0, "Y", "N")</f>
        <v>N</v>
      </c>
      <c r="J88" s="11" t="str">
        <f>IFERROR(_xlfn.XLOOKUP(A88, EventsAll[Date], EventsAll[Event]),"")</f>
        <v/>
      </c>
      <c r="K88" s="4" t="str" cm="1">
        <f t="array" ref="K88">IF(SUMPRODUCT((A88&gt;=SchoolHols[Start])*(A88&lt;=SchoolHols[End]))&gt;0,"Y","N")</f>
        <v>Y</v>
      </c>
    </row>
    <row r="89" spans="1:11">
      <c r="A89" s="6">
        <f t="shared" si="11"/>
        <v>43918</v>
      </c>
      <c r="B89" s="4" t="str">
        <f t="shared" si="6"/>
        <v>28</v>
      </c>
      <c r="C89" s="4" t="str">
        <f t="shared" si="7"/>
        <v>03</v>
      </c>
      <c r="D89" s="4" t="str">
        <f t="shared" si="8"/>
        <v>2020</v>
      </c>
      <c r="E89" s="3" t="str">
        <f t="shared" si="9"/>
        <v>Saturday</v>
      </c>
      <c r="F89" s="4" t="str">
        <f t="shared" si="10"/>
        <v>N</v>
      </c>
      <c r="G89" s="4" t="str">
        <f>IF(COUNTIF(PublicHols[Date], A89)&gt;0, "Y", "N")</f>
        <v>N</v>
      </c>
      <c r="H89" s="3" t="str">
        <f>IFERROR(_xlfn.XLOOKUP(A89, PublicHols[Date], PublicHols[PH_Name]),"")</f>
        <v/>
      </c>
      <c r="I89" s="4" t="str">
        <f>IF(COUNTIF(EventsAll[Date], A89)&gt;0, "Y", "N")</f>
        <v>N</v>
      </c>
      <c r="J89" s="11" t="str">
        <f>IFERROR(_xlfn.XLOOKUP(A89, EventsAll[Date], EventsAll[Event]),"")</f>
        <v/>
      </c>
      <c r="K89" s="4" t="str" cm="1">
        <f t="array" ref="K89">IF(SUMPRODUCT((A89&gt;=SchoolHols[Start])*(A89&lt;=SchoolHols[End]))&gt;0,"Y","N")</f>
        <v>Y</v>
      </c>
    </row>
    <row r="90" spans="1:11">
      <c r="A90" s="6">
        <f t="shared" si="11"/>
        <v>43919</v>
      </c>
      <c r="B90" s="4" t="str">
        <f t="shared" si="6"/>
        <v>29</v>
      </c>
      <c r="C90" s="4" t="str">
        <f t="shared" si="7"/>
        <v>03</v>
      </c>
      <c r="D90" s="4" t="str">
        <f t="shared" si="8"/>
        <v>2020</v>
      </c>
      <c r="E90" s="3" t="str">
        <f t="shared" si="9"/>
        <v>Sunday</v>
      </c>
      <c r="F90" s="4" t="str">
        <f t="shared" si="10"/>
        <v>Y</v>
      </c>
      <c r="G90" s="4" t="str">
        <f>IF(COUNTIF(PublicHols[Date], A90)&gt;0, "Y", "N")</f>
        <v>N</v>
      </c>
      <c r="H90" s="3" t="str">
        <f>IFERROR(_xlfn.XLOOKUP(A90, PublicHols[Date], PublicHols[PH_Name]),"")</f>
        <v/>
      </c>
      <c r="I90" s="4" t="str">
        <f>IF(COUNTIF(EventsAll[Date], A90)&gt;0, "Y", "N")</f>
        <v>N</v>
      </c>
      <c r="J90" s="11" t="str">
        <f>IFERROR(_xlfn.XLOOKUP(A90, EventsAll[Date], EventsAll[Event]),"")</f>
        <v/>
      </c>
      <c r="K90" s="4" t="str" cm="1">
        <f t="array" ref="K90">IF(SUMPRODUCT((A90&gt;=SchoolHols[Start])*(A90&lt;=SchoolHols[End]))&gt;0,"Y","N")</f>
        <v>Y</v>
      </c>
    </row>
    <row r="91" spans="1:11">
      <c r="A91" s="6">
        <f t="shared" si="11"/>
        <v>43920</v>
      </c>
      <c r="B91" s="4" t="str">
        <f t="shared" si="6"/>
        <v>30</v>
      </c>
      <c r="C91" s="4" t="str">
        <f t="shared" si="7"/>
        <v>03</v>
      </c>
      <c r="D91" s="4" t="str">
        <f t="shared" si="8"/>
        <v>2020</v>
      </c>
      <c r="E91" s="3" t="str">
        <f t="shared" si="9"/>
        <v>Monday</v>
      </c>
      <c r="F91" s="4" t="str">
        <f t="shared" si="10"/>
        <v>N</v>
      </c>
      <c r="G91" s="4" t="str">
        <f>IF(COUNTIF(PublicHols[Date], A91)&gt;0, "Y", "N")</f>
        <v>N</v>
      </c>
      <c r="H91" s="3" t="str">
        <f>IFERROR(_xlfn.XLOOKUP(A91, PublicHols[Date], PublicHols[PH_Name]),"")</f>
        <v/>
      </c>
      <c r="I91" s="4" t="str">
        <f>IF(COUNTIF(EventsAll[Date], A91)&gt;0, "Y", "N")</f>
        <v>N</v>
      </c>
      <c r="J91" s="11" t="str">
        <f>IFERROR(_xlfn.XLOOKUP(A91, EventsAll[Date], EventsAll[Event]),"")</f>
        <v/>
      </c>
      <c r="K91" s="4" t="str" cm="1">
        <f t="array" ref="K91">IF(SUMPRODUCT((A91&gt;=SchoolHols[Start])*(A91&lt;=SchoolHols[End]))&gt;0,"Y","N")</f>
        <v>Y</v>
      </c>
    </row>
    <row r="92" spans="1:11">
      <c r="A92" s="6">
        <f t="shared" si="11"/>
        <v>43921</v>
      </c>
      <c r="B92" s="4" t="str">
        <f t="shared" si="6"/>
        <v>31</v>
      </c>
      <c r="C92" s="4" t="str">
        <f t="shared" si="7"/>
        <v>03</v>
      </c>
      <c r="D92" s="4" t="str">
        <f t="shared" si="8"/>
        <v>2020</v>
      </c>
      <c r="E92" s="3" t="str">
        <f t="shared" si="9"/>
        <v>Tuesday</v>
      </c>
      <c r="F92" s="4" t="str">
        <f t="shared" si="10"/>
        <v>N</v>
      </c>
      <c r="G92" s="4" t="str">
        <f>IF(COUNTIF(PublicHols[Date], A92)&gt;0, "Y", "N")</f>
        <v>N</v>
      </c>
      <c r="H92" s="3" t="str">
        <f>IFERROR(_xlfn.XLOOKUP(A92, PublicHols[Date], PublicHols[PH_Name]),"")</f>
        <v/>
      </c>
      <c r="I92" s="4" t="str">
        <f>IF(COUNTIF(EventsAll[Date], A92)&gt;0, "Y", "N")</f>
        <v>N</v>
      </c>
      <c r="J92" s="11" t="str">
        <f>IFERROR(_xlfn.XLOOKUP(A92, EventsAll[Date], EventsAll[Event]),"")</f>
        <v/>
      </c>
      <c r="K92" s="4" t="str" cm="1">
        <f t="array" ref="K92">IF(SUMPRODUCT((A92&gt;=SchoolHols[Start])*(A92&lt;=SchoolHols[End]))&gt;0,"Y","N")</f>
        <v>Y</v>
      </c>
    </row>
    <row r="93" spans="1:11">
      <c r="A93" s="6">
        <f t="shared" si="11"/>
        <v>43922</v>
      </c>
      <c r="B93" s="4" t="str">
        <f t="shared" si="6"/>
        <v>01</v>
      </c>
      <c r="C93" s="4" t="str">
        <f t="shared" si="7"/>
        <v>04</v>
      </c>
      <c r="D93" s="4" t="str">
        <f t="shared" si="8"/>
        <v>2020</v>
      </c>
      <c r="E93" s="3" t="str">
        <f t="shared" si="9"/>
        <v>Wednesday</v>
      </c>
      <c r="F93" s="4" t="str">
        <f t="shared" si="10"/>
        <v>N</v>
      </c>
      <c r="G93" s="4" t="str">
        <f>IF(COUNTIF(PublicHols[Date], A93)&gt;0, "Y", "N")</f>
        <v>N</v>
      </c>
      <c r="H93" s="3" t="str">
        <f>IFERROR(_xlfn.XLOOKUP(A93, PublicHols[Date], PublicHols[PH_Name]),"")</f>
        <v/>
      </c>
      <c r="I93" s="4" t="str">
        <f>IF(COUNTIF(EventsAll[Date], A93)&gt;0, "Y", "N")</f>
        <v>N</v>
      </c>
      <c r="J93" s="11" t="str">
        <f>IFERROR(_xlfn.XLOOKUP(A93, EventsAll[Date], EventsAll[Event]),"")</f>
        <v/>
      </c>
      <c r="K93" s="4" t="str" cm="1">
        <f t="array" ref="K93">IF(SUMPRODUCT((A93&gt;=SchoolHols[Start])*(A93&lt;=SchoolHols[End]))&gt;0,"Y","N")</f>
        <v>N</v>
      </c>
    </row>
    <row r="94" spans="1:11">
      <c r="A94" s="6">
        <f t="shared" si="11"/>
        <v>43923</v>
      </c>
      <c r="B94" s="4" t="str">
        <f t="shared" si="6"/>
        <v>02</v>
      </c>
      <c r="C94" s="4" t="str">
        <f t="shared" si="7"/>
        <v>04</v>
      </c>
      <c r="D94" s="4" t="str">
        <f t="shared" si="8"/>
        <v>2020</v>
      </c>
      <c r="E94" s="3" t="str">
        <f t="shared" si="9"/>
        <v>Thursday</v>
      </c>
      <c r="F94" s="4" t="str">
        <f t="shared" si="10"/>
        <v>N</v>
      </c>
      <c r="G94" s="4" t="str">
        <f>IF(COUNTIF(PublicHols[Date], A94)&gt;0, "Y", "N")</f>
        <v>N</v>
      </c>
      <c r="H94" s="3" t="str">
        <f>IFERROR(_xlfn.XLOOKUP(A94, PublicHols[Date], PublicHols[PH_Name]),"")</f>
        <v/>
      </c>
      <c r="I94" s="4" t="str">
        <f>IF(COUNTIF(EventsAll[Date], A94)&gt;0, "Y", "N")</f>
        <v>N</v>
      </c>
      <c r="J94" s="11" t="str">
        <f>IFERROR(_xlfn.XLOOKUP(A94, EventsAll[Date], EventsAll[Event]),"")</f>
        <v/>
      </c>
      <c r="K94" s="4" t="str" cm="1">
        <f t="array" ref="K94">IF(SUMPRODUCT((A94&gt;=SchoolHols[Start])*(A94&lt;=SchoolHols[End]))&gt;0,"Y","N")</f>
        <v>N</v>
      </c>
    </row>
    <row r="95" spans="1:11">
      <c r="A95" s="6">
        <f t="shared" si="11"/>
        <v>43924</v>
      </c>
      <c r="B95" s="4" t="str">
        <f t="shared" si="6"/>
        <v>03</v>
      </c>
      <c r="C95" s="4" t="str">
        <f t="shared" si="7"/>
        <v>04</v>
      </c>
      <c r="D95" s="4" t="str">
        <f t="shared" si="8"/>
        <v>2020</v>
      </c>
      <c r="E95" s="3" t="str">
        <f t="shared" si="9"/>
        <v>Friday</v>
      </c>
      <c r="F95" s="4" t="str">
        <f t="shared" si="10"/>
        <v>N</v>
      </c>
      <c r="G95" s="4" t="str">
        <f>IF(COUNTIF(PublicHols[Date], A95)&gt;0, "Y", "N")</f>
        <v>N</v>
      </c>
      <c r="H95" s="3" t="str">
        <f>IFERROR(_xlfn.XLOOKUP(A95, PublicHols[Date], PublicHols[PH_Name]),"")</f>
        <v/>
      </c>
      <c r="I95" s="4" t="str">
        <f>IF(COUNTIF(EventsAll[Date], A95)&gt;0, "Y", "N")</f>
        <v>N</v>
      </c>
      <c r="J95" s="11" t="str">
        <f>IFERROR(_xlfn.XLOOKUP(A95, EventsAll[Date], EventsAll[Event]),"")</f>
        <v/>
      </c>
      <c r="K95" s="4" t="str" cm="1">
        <f t="array" ref="K95">IF(SUMPRODUCT((A95&gt;=SchoolHols[Start])*(A95&lt;=SchoolHols[End]))&gt;0,"Y","N")</f>
        <v>N</v>
      </c>
    </row>
    <row r="96" spans="1:11">
      <c r="A96" s="6">
        <f t="shared" si="11"/>
        <v>43925</v>
      </c>
      <c r="B96" s="4" t="str">
        <f t="shared" si="6"/>
        <v>04</v>
      </c>
      <c r="C96" s="4" t="str">
        <f t="shared" si="7"/>
        <v>04</v>
      </c>
      <c r="D96" s="4" t="str">
        <f t="shared" si="8"/>
        <v>2020</v>
      </c>
      <c r="E96" s="3" t="str">
        <f t="shared" si="9"/>
        <v>Saturday</v>
      </c>
      <c r="F96" s="4" t="str">
        <f t="shared" si="10"/>
        <v>N</v>
      </c>
      <c r="G96" s="4" t="str">
        <f>IF(COUNTIF(PublicHols[Date], A96)&gt;0, "Y", "N")</f>
        <v>N</v>
      </c>
      <c r="H96" s="3" t="str">
        <f>IFERROR(_xlfn.XLOOKUP(A96, PublicHols[Date], PublicHols[PH_Name]),"")</f>
        <v/>
      </c>
      <c r="I96" s="4" t="str">
        <f>IF(COUNTIF(EventsAll[Date], A96)&gt;0, "Y", "N")</f>
        <v>N</v>
      </c>
      <c r="J96" s="11" t="str">
        <f>IFERROR(_xlfn.XLOOKUP(A96, EventsAll[Date], EventsAll[Event]),"")</f>
        <v/>
      </c>
      <c r="K96" s="4" t="str" cm="1">
        <f t="array" ref="K96">IF(SUMPRODUCT((A96&gt;=SchoolHols[Start])*(A96&lt;=SchoolHols[End]))&gt;0,"Y","N")</f>
        <v>N</v>
      </c>
    </row>
    <row r="97" spans="1:11">
      <c r="A97" s="6">
        <f t="shared" si="11"/>
        <v>43926</v>
      </c>
      <c r="B97" s="4" t="str">
        <f t="shared" si="6"/>
        <v>05</v>
      </c>
      <c r="C97" s="4" t="str">
        <f t="shared" si="7"/>
        <v>04</v>
      </c>
      <c r="D97" s="4" t="str">
        <f t="shared" si="8"/>
        <v>2020</v>
      </c>
      <c r="E97" s="3" t="str">
        <f t="shared" si="9"/>
        <v>Sunday</v>
      </c>
      <c r="F97" s="4" t="str">
        <f t="shared" si="10"/>
        <v>Y</v>
      </c>
      <c r="G97" s="4" t="str">
        <f>IF(COUNTIF(PublicHols[Date], A97)&gt;0, "Y", "N")</f>
        <v>N</v>
      </c>
      <c r="H97" s="3" t="str">
        <f>IFERROR(_xlfn.XLOOKUP(A97, PublicHols[Date], PublicHols[PH_Name]),"")</f>
        <v/>
      </c>
      <c r="I97" s="4" t="str">
        <f>IF(COUNTIF(EventsAll[Date], A97)&gt;0, "Y", "N")</f>
        <v>N</v>
      </c>
      <c r="J97" s="11" t="str">
        <f>IFERROR(_xlfn.XLOOKUP(A97, EventsAll[Date], EventsAll[Event]),"")</f>
        <v/>
      </c>
      <c r="K97" s="4" t="str" cm="1">
        <f t="array" ref="K97">IF(SUMPRODUCT((A97&gt;=SchoolHols[Start])*(A97&lt;=SchoolHols[End]))&gt;0,"Y","N")</f>
        <v>N</v>
      </c>
    </row>
    <row r="98" spans="1:11">
      <c r="A98" s="6">
        <f t="shared" si="11"/>
        <v>43927</v>
      </c>
      <c r="B98" s="4" t="str">
        <f t="shared" si="6"/>
        <v>06</v>
      </c>
      <c r="C98" s="4" t="str">
        <f t="shared" si="7"/>
        <v>04</v>
      </c>
      <c r="D98" s="4" t="str">
        <f t="shared" si="8"/>
        <v>2020</v>
      </c>
      <c r="E98" s="3" t="str">
        <f t="shared" si="9"/>
        <v>Monday</v>
      </c>
      <c r="F98" s="4" t="str">
        <f t="shared" si="10"/>
        <v>N</v>
      </c>
      <c r="G98" s="4" t="str">
        <f>IF(COUNTIF(PublicHols[Date], A98)&gt;0, "Y", "N")</f>
        <v>N</v>
      </c>
      <c r="H98" s="3" t="str">
        <f>IFERROR(_xlfn.XLOOKUP(A98, PublicHols[Date], PublicHols[PH_Name]),"")</f>
        <v/>
      </c>
      <c r="I98" s="4" t="str">
        <f>IF(COUNTIF(EventsAll[Date], A98)&gt;0, "Y", "N")</f>
        <v>N</v>
      </c>
      <c r="J98" s="11" t="str">
        <f>IFERROR(_xlfn.XLOOKUP(A98, EventsAll[Date], EventsAll[Event]),"")</f>
        <v/>
      </c>
      <c r="K98" s="4" t="str" cm="1">
        <f t="array" ref="K98">IF(SUMPRODUCT((A98&gt;=SchoolHols[Start])*(A98&lt;=SchoolHols[End]))&gt;0,"Y","N")</f>
        <v>N</v>
      </c>
    </row>
    <row r="99" spans="1:11">
      <c r="A99" s="6">
        <f t="shared" si="11"/>
        <v>43928</v>
      </c>
      <c r="B99" s="4" t="str">
        <f t="shared" si="6"/>
        <v>07</v>
      </c>
      <c r="C99" s="4" t="str">
        <f t="shared" si="7"/>
        <v>04</v>
      </c>
      <c r="D99" s="4" t="str">
        <f t="shared" si="8"/>
        <v>2020</v>
      </c>
      <c r="E99" s="3" t="str">
        <f t="shared" si="9"/>
        <v>Tuesday</v>
      </c>
      <c r="F99" s="4" t="str">
        <f t="shared" si="10"/>
        <v>N</v>
      </c>
      <c r="G99" s="4" t="str">
        <f>IF(COUNTIF(PublicHols[Date], A99)&gt;0, "Y", "N")</f>
        <v>N</v>
      </c>
      <c r="H99" s="3" t="str">
        <f>IFERROR(_xlfn.XLOOKUP(A99, PublicHols[Date], PublicHols[PH_Name]),"")</f>
        <v/>
      </c>
      <c r="I99" s="4" t="str">
        <f>IF(COUNTIF(EventsAll[Date], A99)&gt;0, "Y", "N")</f>
        <v>N</v>
      </c>
      <c r="J99" s="11" t="str">
        <f>IFERROR(_xlfn.XLOOKUP(A99, EventsAll[Date], EventsAll[Event]),"")</f>
        <v/>
      </c>
      <c r="K99" s="4" t="str" cm="1">
        <f t="array" ref="K99">IF(SUMPRODUCT((A99&gt;=SchoolHols[Start])*(A99&lt;=SchoolHols[End]))&gt;0,"Y","N")</f>
        <v>N</v>
      </c>
    </row>
    <row r="100" spans="1:11">
      <c r="A100" s="6">
        <f t="shared" si="11"/>
        <v>43929</v>
      </c>
      <c r="B100" s="4" t="str">
        <f t="shared" si="6"/>
        <v>08</v>
      </c>
      <c r="C100" s="4" t="str">
        <f t="shared" si="7"/>
        <v>04</v>
      </c>
      <c r="D100" s="4" t="str">
        <f t="shared" si="8"/>
        <v>2020</v>
      </c>
      <c r="E100" s="3" t="str">
        <f t="shared" si="9"/>
        <v>Wednesday</v>
      </c>
      <c r="F100" s="4" t="str">
        <f t="shared" si="10"/>
        <v>N</v>
      </c>
      <c r="G100" s="4" t="str">
        <f>IF(COUNTIF(PublicHols[Date], A100)&gt;0, "Y", "N")</f>
        <v>N</v>
      </c>
      <c r="H100" s="3" t="str">
        <f>IFERROR(_xlfn.XLOOKUP(A100, PublicHols[Date], PublicHols[PH_Name]),"")</f>
        <v/>
      </c>
      <c r="I100" s="4" t="str">
        <f>IF(COUNTIF(EventsAll[Date], A100)&gt;0, "Y", "N")</f>
        <v>N</v>
      </c>
      <c r="J100" s="11" t="str">
        <f>IFERROR(_xlfn.XLOOKUP(A100, EventsAll[Date], EventsAll[Event]),"")</f>
        <v/>
      </c>
      <c r="K100" s="4" t="str" cm="1">
        <f t="array" ref="K100">IF(SUMPRODUCT((A100&gt;=SchoolHols[Start])*(A100&lt;=SchoolHols[End]))&gt;0,"Y","N")</f>
        <v>N</v>
      </c>
    </row>
    <row r="101" spans="1:11">
      <c r="A101" s="6">
        <f t="shared" si="11"/>
        <v>43930</v>
      </c>
      <c r="B101" s="4" t="str">
        <f t="shared" si="6"/>
        <v>09</v>
      </c>
      <c r="C101" s="4" t="str">
        <f t="shared" si="7"/>
        <v>04</v>
      </c>
      <c r="D101" s="4" t="str">
        <f t="shared" si="8"/>
        <v>2020</v>
      </c>
      <c r="E101" s="3" t="str">
        <f t="shared" si="9"/>
        <v>Thursday</v>
      </c>
      <c r="F101" s="4" t="str">
        <f t="shared" si="10"/>
        <v>N</v>
      </c>
      <c r="G101" s="4" t="str">
        <f>IF(COUNTIF(PublicHols[Date], A101)&gt;0, "Y", "N")</f>
        <v>N</v>
      </c>
      <c r="H101" s="3" t="str">
        <f>IFERROR(_xlfn.XLOOKUP(A101, PublicHols[Date], PublicHols[PH_Name]),"")</f>
        <v/>
      </c>
      <c r="I101" s="4" t="str">
        <f>IF(COUNTIF(EventsAll[Date], A101)&gt;0, "Y", "N")</f>
        <v>N</v>
      </c>
      <c r="J101" s="11" t="str">
        <f>IFERROR(_xlfn.XLOOKUP(A101, EventsAll[Date], EventsAll[Event]),"")</f>
        <v/>
      </c>
      <c r="K101" s="4" t="str" cm="1">
        <f t="array" ref="K101">IF(SUMPRODUCT((A101&gt;=SchoolHols[Start])*(A101&lt;=SchoolHols[End]))&gt;0,"Y","N")</f>
        <v>N</v>
      </c>
    </row>
    <row r="102" spans="1:11">
      <c r="A102" s="6">
        <f t="shared" si="11"/>
        <v>43931</v>
      </c>
      <c r="B102" s="4" t="str">
        <f t="shared" si="6"/>
        <v>10</v>
      </c>
      <c r="C102" s="4" t="str">
        <f t="shared" si="7"/>
        <v>04</v>
      </c>
      <c r="D102" s="4" t="str">
        <f t="shared" si="8"/>
        <v>2020</v>
      </c>
      <c r="E102" s="3" t="str">
        <f t="shared" si="9"/>
        <v>Friday</v>
      </c>
      <c r="F102" s="4" t="str">
        <f t="shared" si="10"/>
        <v>N</v>
      </c>
      <c r="G102" s="4" t="str">
        <f>IF(COUNTIF(PublicHols[Date], A102)&gt;0, "Y", "N")</f>
        <v>Y</v>
      </c>
      <c r="H102" s="3" t="str">
        <f>IFERROR(_xlfn.XLOOKUP(A102, PublicHols[Date], PublicHols[PH_Name]),"")</f>
        <v>Good Friday</v>
      </c>
      <c r="I102" s="4" t="str">
        <f>IF(COUNTIF(EventsAll[Date], A102)&gt;0, "Y", "N")</f>
        <v>Y</v>
      </c>
      <c r="J102" s="11" t="str">
        <f>IFERROR(_xlfn.XLOOKUP(A102, EventsAll[Date], EventsAll[Event]),"")</f>
        <v xml:space="preserve"> Good Friday</v>
      </c>
      <c r="K102" s="4" t="str" cm="1">
        <f t="array" ref="K102">IF(SUMPRODUCT((A102&gt;=SchoolHols[Start])*(A102&lt;=SchoolHols[End]))&gt;0,"Y","N")</f>
        <v>N</v>
      </c>
    </row>
    <row r="103" spans="1:11">
      <c r="A103" s="6">
        <f t="shared" si="11"/>
        <v>43932</v>
      </c>
      <c r="B103" s="4" t="str">
        <f t="shared" si="6"/>
        <v>11</v>
      </c>
      <c r="C103" s="4" t="str">
        <f t="shared" si="7"/>
        <v>04</v>
      </c>
      <c r="D103" s="4" t="str">
        <f t="shared" si="8"/>
        <v>2020</v>
      </c>
      <c r="E103" s="3" t="str">
        <f t="shared" si="9"/>
        <v>Saturday</v>
      </c>
      <c r="F103" s="4" t="str">
        <f t="shared" si="10"/>
        <v>N</v>
      </c>
      <c r="G103" s="4" t="str">
        <f>IF(COUNTIF(PublicHols[Date], A103)&gt;0, "Y", "N")</f>
        <v>N</v>
      </c>
      <c r="H103" s="3" t="str">
        <f>IFERROR(_xlfn.XLOOKUP(A103, PublicHols[Date], PublicHols[PH_Name]),"")</f>
        <v/>
      </c>
      <c r="I103" s="4" t="str">
        <f>IF(COUNTIF(EventsAll[Date], A103)&gt;0, "Y", "N")</f>
        <v>N</v>
      </c>
      <c r="J103" s="11" t="str">
        <f>IFERROR(_xlfn.XLOOKUP(A103, EventsAll[Date], EventsAll[Event]),"")</f>
        <v/>
      </c>
      <c r="K103" s="4" t="str" cm="1">
        <f t="array" ref="K103">IF(SUMPRODUCT((A103&gt;=SchoolHols[Start])*(A103&lt;=SchoolHols[End]))&gt;0,"Y","N")</f>
        <v>N</v>
      </c>
    </row>
    <row r="104" spans="1:11">
      <c r="A104" s="6">
        <f t="shared" si="11"/>
        <v>43933</v>
      </c>
      <c r="B104" s="4" t="str">
        <f t="shared" si="6"/>
        <v>12</v>
      </c>
      <c r="C104" s="4" t="str">
        <f t="shared" si="7"/>
        <v>04</v>
      </c>
      <c r="D104" s="4" t="str">
        <f t="shared" si="8"/>
        <v>2020</v>
      </c>
      <c r="E104" s="3" t="str">
        <f t="shared" si="9"/>
        <v>Sunday</v>
      </c>
      <c r="F104" s="4" t="str">
        <f t="shared" si="10"/>
        <v>Y</v>
      </c>
      <c r="G104" s="4" t="str">
        <f>IF(COUNTIF(PublicHols[Date], A104)&gt;0, "Y", "N")</f>
        <v>N</v>
      </c>
      <c r="H104" s="3" t="str">
        <f>IFERROR(_xlfn.XLOOKUP(A104, PublicHols[Date], PublicHols[PH_Name]),"")</f>
        <v/>
      </c>
      <c r="I104" s="4" t="str">
        <f>IF(COUNTIF(EventsAll[Date], A104)&gt;0, "Y", "N")</f>
        <v>N</v>
      </c>
      <c r="J104" s="11" t="str">
        <f>IFERROR(_xlfn.XLOOKUP(A104, EventsAll[Date], EventsAll[Event]),"")</f>
        <v/>
      </c>
      <c r="K104" s="4" t="str" cm="1">
        <f t="array" ref="K104">IF(SUMPRODUCT((A104&gt;=SchoolHols[Start])*(A104&lt;=SchoolHols[End]))&gt;0,"Y","N")</f>
        <v>N</v>
      </c>
    </row>
    <row r="105" spans="1:11">
      <c r="A105" s="6">
        <f t="shared" si="11"/>
        <v>43934</v>
      </c>
      <c r="B105" s="4" t="str">
        <f t="shared" si="6"/>
        <v>13</v>
      </c>
      <c r="C105" s="4" t="str">
        <f t="shared" si="7"/>
        <v>04</v>
      </c>
      <c r="D105" s="4" t="str">
        <f t="shared" si="8"/>
        <v>2020</v>
      </c>
      <c r="E105" s="3" t="str">
        <f t="shared" si="9"/>
        <v>Monday</v>
      </c>
      <c r="F105" s="4" t="str">
        <f t="shared" si="10"/>
        <v>N</v>
      </c>
      <c r="G105" s="4" t="str">
        <f>IF(COUNTIF(PublicHols[Date], A105)&gt;0, "Y", "N")</f>
        <v>Y</v>
      </c>
      <c r="H105" s="3" t="str">
        <f>IFERROR(_xlfn.XLOOKUP(A105, PublicHols[Date], PublicHols[PH_Name]),"")</f>
        <v>Family Day</v>
      </c>
      <c r="I105" s="4" t="str">
        <f>IF(COUNTIF(EventsAll[Date], A105)&gt;0, "Y", "N")</f>
        <v>Y</v>
      </c>
      <c r="J105" s="11" t="str">
        <f>IFERROR(_xlfn.XLOOKUP(A105, EventsAll[Date], EventsAll[Event]),"")</f>
        <v xml:space="preserve"> Family Day</v>
      </c>
      <c r="K105" s="4" t="str" cm="1">
        <f t="array" ref="K105">IF(SUMPRODUCT((A105&gt;=SchoolHols[Start])*(A105&lt;=SchoolHols[End]))&gt;0,"Y","N")</f>
        <v>N</v>
      </c>
    </row>
    <row r="106" spans="1:11">
      <c r="A106" s="6">
        <f t="shared" si="11"/>
        <v>43935</v>
      </c>
      <c r="B106" s="4" t="str">
        <f t="shared" si="6"/>
        <v>14</v>
      </c>
      <c r="C106" s="4" t="str">
        <f t="shared" si="7"/>
        <v>04</v>
      </c>
      <c r="D106" s="4" t="str">
        <f t="shared" si="8"/>
        <v>2020</v>
      </c>
      <c r="E106" s="3" t="str">
        <f t="shared" si="9"/>
        <v>Tuesday</v>
      </c>
      <c r="F106" s="4" t="str">
        <f t="shared" si="10"/>
        <v>N</v>
      </c>
      <c r="G106" s="4" t="str">
        <f>IF(COUNTIF(PublicHols[Date], A106)&gt;0, "Y", "N")</f>
        <v>N</v>
      </c>
      <c r="H106" s="3" t="str">
        <f>IFERROR(_xlfn.XLOOKUP(A106, PublicHols[Date], PublicHols[PH_Name]),"")</f>
        <v/>
      </c>
      <c r="I106" s="4" t="str">
        <f>IF(COUNTIF(EventsAll[Date], A106)&gt;0, "Y", "N")</f>
        <v>N</v>
      </c>
      <c r="J106" s="11" t="str">
        <f>IFERROR(_xlfn.XLOOKUP(A106, EventsAll[Date], EventsAll[Event]),"")</f>
        <v/>
      </c>
      <c r="K106" s="4" t="str" cm="1">
        <f t="array" ref="K106">IF(SUMPRODUCT((A106&gt;=SchoolHols[Start])*(A106&lt;=SchoolHols[End]))&gt;0,"Y","N")</f>
        <v>N</v>
      </c>
    </row>
    <row r="107" spans="1:11">
      <c r="A107" s="6">
        <f t="shared" si="11"/>
        <v>43936</v>
      </c>
      <c r="B107" s="4" t="str">
        <f t="shared" si="6"/>
        <v>15</v>
      </c>
      <c r="C107" s="4" t="str">
        <f t="shared" si="7"/>
        <v>04</v>
      </c>
      <c r="D107" s="4" t="str">
        <f t="shared" si="8"/>
        <v>2020</v>
      </c>
      <c r="E107" s="3" t="str">
        <f t="shared" si="9"/>
        <v>Wednesday</v>
      </c>
      <c r="F107" s="4" t="str">
        <f t="shared" si="10"/>
        <v>N</v>
      </c>
      <c r="G107" s="4" t="str">
        <f>IF(COUNTIF(PublicHols[Date], A107)&gt;0, "Y", "N")</f>
        <v>N</v>
      </c>
      <c r="H107" s="3" t="str">
        <f>IFERROR(_xlfn.XLOOKUP(A107, PublicHols[Date], PublicHols[PH_Name]),"")</f>
        <v/>
      </c>
      <c r="I107" s="4" t="str">
        <f>IF(COUNTIF(EventsAll[Date], A107)&gt;0, "Y", "N")</f>
        <v>N</v>
      </c>
      <c r="J107" s="11" t="str">
        <f>IFERROR(_xlfn.XLOOKUP(A107, EventsAll[Date], EventsAll[Event]),"")</f>
        <v/>
      </c>
      <c r="K107" s="4" t="str" cm="1">
        <f t="array" ref="K107">IF(SUMPRODUCT((A107&gt;=SchoolHols[Start])*(A107&lt;=SchoolHols[End]))&gt;0,"Y","N")</f>
        <v>N</v>
      </c>
    </row>
    <row r="108" spans="1:11">
      <c r="A108" s="6">
        <f t="shared" si="11"/>
        <v>43937</v>
      </c>
      <c r="B108" s="4" t="str">
        <f t="shared" si="6"/>
        <v>16</v>
      </c>
      <c r="C108" s="4" t="str">
        <f t="shared" si="7"/>
        <v>04</v>
      </c>
      <c r="D108" s="4" t="str">
        <f t="shared" si="8"/>
        <v>2020</v>
      </c>
      <c r="E108" s="3" t="str">
        <f t="shared" si="9"/>
        <v>Thursday</v>
      </c>
      <c r="F108" s="4" t="str">
        <f t="shared" si="10"/>
        <v>N</v>
      </c>
      <c r="G108" s="4" t="str">
        <f>IF(COUNTIF(PublicHols[Date], A108)&gt;0, "Y", "N")</f>
        <v>N</v>
      </c>
      <c r="H108" s="3" t="str">
        <f>IFERROR(_xlfn.XLOOKUP(A108, PublicHols[Date], PublicHols[PH_Name]),"")</f>
        <v/>
      </c>
      <c r="I108" s="4" t="str">
        <f>IF(COUNTIF(EventsAll[Date], A108)&gt;0, "Y", "N")</f>
        <v>N</v>
      </c>
      <c r="J108" s="11" t="str">
        <f>IFERROR(_xlfn.XLOOKUP(A108, EventsAll[Date], EventsAll[Event]),"")</f>
        <v/>
      </c>
      <c r="K108" s="4" t="str" cm="1">
        <f t="array" ref="K108">IF(SUMPRODUCT((A108&gt;=SchoolHols[Start])*(A108&lt;=SchoolHols[End]))&gt;0,"Y","N")</f>
        <v>N</v>
      </c>
    </row>
    <row r="109" spans="1:11">
      <c r="A109" s="6">
        <f t="shared" si="11"/>
        <v>43938</v>
      </c>
      <c r="B109" s="4" t="str">
        <f t="shared" si="6"/>
        <v>17</v>
      </c>
      <c r="C109" s="4" t="str">
        <f t="shared" si="7"/>
        <v>04</v>
      </c>
      <c r="D109" s="4" t="str">
        <f t="shared" si="8"/>
        <v>2020</v>
      </c>
      <c r="E109" s="3" t="str">
        <f t="shared" si="9"/>
        <v>Friday</v>
      </c>
      <c r="F109" s="4" t="str">
        <f t="shared" si="10"/>
        <v>N</v>
      </c>
      <c r="G109" s="4" t="str">
        <f>IF(COUNTIF(PublicHols[Date], A109)&gt;0, "Y", "N")</f>
        <v>N</v>
      </c>
      <c r="H109" s="3" t="str">
        <f>IFERROR(_xlfn.XLOOKUP(A109, PublicHols[Date], PublicHols[PH_Name]),"")</f>
        <v/>
      </c>
      <c r="I109" s="4" t="str">
        <f>IF(COUNTIF(EventsAll[Date], A109)&gt;0, "Y", "N")</f>
        <v>N</v>
      </c>
      <c r="J109" s="11" t="str">
        <f>IFERROR(_xlfn.XLOOKUP(A109, EventsAll[Date], EventsAll[Event]),"")</f>
        <v/>
      </c>
      <c r="K109" s="4" t="str" cm="1">
        <f t="array" ref="K109">IF(SUMPRODUCT((A109&gt;=SchoolHols[Start])*(A109&lt;=SchoolHols[End]))&gt;0,"Y","N")</f>
        <v>N</v>
      </c>
    </row>
    <row r="110" spans="1:11">
      <c r="A110" s="6">
        <f t="shared" si="11"/>
        <v>43939</v>
      </c>
      <c r="B110" s="4" t="str">
        <f t="shared" si="6"/>
        <v>18</v>
      </c>
      <c r="C110" s="4" t="str">
        <f t="shared" si="7"/>
        <v>04</v>
      </c>
      <c r="D110" s="4" t="str">
        <f t="shared" si="8"/>
        <v>2020</v>
      </c>
      <c r="E110" s="3" t="str">
        <f t="shared" si="9"/>
        <v>Saturday</v>
      </c>
      <c r="F110" s="4" t="str">
        <f t="shared" si="10"/>
        <v>N</v>
      </c>
      <c r="G110" s="4" t="str">
        <f>IF(COUNTIF(PublicHols[Date], A110)&gt;0, "Y", "N")</f>
        <v>N</v>
      </c>
      <c r="H110" s="3" t="str">
        <f>IFERROR(_xlfn.XLOOKUP(A110, PublicHols[Date], PublicHols[PH_Name]),"")</f>
        <v/>
      </c>
      <c r="I110" s="4" t="str">
        <f>IF(COUNTIF(EventsAll[Date], A110)&gt;0, "Y", "N")</f>
        <v>N</v>
      </c>
      <c r="J110" s="11" t="str">
        <f>IFERROR(_xlfn.XLOOKUP(A110, EventsAll[Date], EventsAll[Event]),"")</f>
        <v/>
      </c>
      <c r="K110" s="4" t="str" cm="1">
        <f t="array" ref="K110">IF(SUMPRODUCT((A110&gt;=SchoolHols[Start])*(A110&lt;=SchoolHols[End]))&gt;0,"Y","N")</f>
        <v>N</v>
      </c>
    </row>
    <row r="111" spans="1:11">
      <c r="A111" s="6">
        <f t="shared" si="11"/>
        <v>43940</v>
      </c>
      <c r="B111" s="4" t="str">
        <f t="shared" si="6"/>
        <v>19</v>
      </c>
      <c r="C111" s="4" t="str">
        <f t="shared" si="7"/>
        <v>04</v>
      </c>
      <c r="D111" s="4" t="str">
        <f t="shared" si="8"/>
        <v>2020</v>
      </c>
      <c r="E111" s="3" t="str">
        <f t="shared" si="9"/>
        <v>Sunday</v>
      </c>
      <c r="F111" s="4" t="str">
        <f t="shared" si="10"/>
        <v>Y</v>
      </c>
      <c r="G111" s="4" t="str">
        <f>IF(COUNTIF(PublicHols[Date], A111)&gt;0, "Y", "N")</f>
        <v>N</v>
      </c>
      <c r="H111" s="3" t="str">
        <f>IFERROR(_xlfn.XLOOKUP(A111, PublicHols[Date], PublicHols[PH_Name]),"")</f>
        <v/>
      </c>
      <c r="I111" s="4" t="str">
        <f>IF(COUNTIF(EventsAll[Date], A111)&gt;0, "Y", "N")</f>
        <v>N</v>
      </c>
      <c r="J111" s="11" t="str">
        <f>IFERROR(_xlfn.XLOOKUP(A111, EventsAll[Date], EventsAll[Event]),"")</f>
        <v/>
      </c>
      <c r="K111" s="4" t="str" cm="1">
        <f t="array" ref="K111">IF(SUMPRODUCT((A111&gt;=SchoolHols[Start])*(A111&lt;=SchoolHols[End]))&gt;0,"Y","N")</f>
        <v>N</v>
      </c>
    </row>
    <row r="112" spans="1:11">
      <c r="A112" s="6">
        <f t="shared" si="11"/>
        <v>43941</v>
      </c>
      <c r="B112" s="4" t="str">
        <f t="shared" si="6"/>
        <v>20</v>
      </c>
      <c r="C112" s="4" t="str">
        <f t="shared" si="7"/>
        <v>04</v>
      </c>
      <c r="D112" s="4" t="str">
        <f t="shared" si="8"/>
        <v>2020</v>
      </c>
      <c r="E112" s="3" t="str">
        <f t="shared" si="9"/>
        <v>Monday</v>
      </c>
      <c r="F112" s="4" t="str">
        <f t="shared" si="10"/>
        <v>N</v>
      </c>
      <c r="G112" s="4" t="str">
        <f>IF(COUNTIF(PublicHols[Date], A112)&gt;0, "Y", "N")</f>
        <v>N</v>
      </c>
      <c r="H112" s="3" t="str">
        <f>IFERROR(_xlfn.XLOOKUP(A112, PublicHols[Date], PublicHols[PH_Name]),"")</f>
        <v/>
      </c>
      <c r="I112" s="4" t="str">
        <f>IF(COUNTIF(EventsAll[Date], A112)&gt;0, "Y", "N")</f>
        <v>N</v>
      </c>
      <c r="J112" s="11" t="str">
        <f>IFERROR(_xlfn.XLOOKUP(A112, EventsAll[Date], EventsAll[Event]),"")</f>
        <v/>
      </c>
      <c r="K112" s="4" t="str" cm="1">
        <f t="array" ref="K112">IF(SUMPRODUCT((A112&gt;=SchoolHols[Start])*(A112&lt;=SchoolHols[End]))&gt;0,"Y","N")</f>
        <v>N</v>
      </c>
    </row>
    <row r="113" spans="1:11">
      <c r="A113" s="6">
        <f t="shared" si="11"/>
        <v>43942</v>
      </c>
      <c r="B113" s="4" t="str">
        <f t="shared" si="6"/>
        <v>21</v>
      </c>
      <c r="C113" s="4" t="str">
        <f t="shared" si="7"/>
        <v>04</v>
      </c>
      <c r="D113" s="4" t="str">
        <f t="shared" si="8"/>
        <v>2020</v>
      </c>
      <c r="E113" s="3" t="str">
        <f t="shared" si="9"/>
        <v>Tuesday</v>
      </c>
      <c r="F113" s="4" t="str">
        <f t="shared" si="10"/>
        <v>N</v>
      </c>
      <c r="G113" s="4" t="str">
        <f>IF(COUNTIF(PublicHols[Date], A113)&gt;0, "Y", "N")</f>
        <v>N</v>
      </c>
      <c r="H113" s="3" t="str">
        <f>IFERROR(_xlfn.XLOOKUP(A113, PublicHols[Date], PublicHols[PH_Name]),"")</f>
        <v/>
      </c>
      <c r="I113" s="4" t="str">
        <f>IF(COUNTIF(EventsAll[Date], A113)&gt;0, "Y", "N")</f>
        <v>N</v>
      </c>
      <c r="J113" s="11" t="str">
        <f>IFERROR(_xlfn.XLOOKUP(A113, EventsAll[Date], EventsAll[Event]),"")</f>
        <v/>
      </c>
      <c r="K113" s="4" t="str" cm="1">
        <f t="array" ref="K113">IF(SUMPRODUCT((A113&gt;=SchoolHols[Start])*(A113&lt;=SchoolHols[End]))&gt;0,"Y","N")</f>
        <v>N</v>
      </c>
    </row>
    <row r="114" spans="1:11">
      <c r="A114" s="6">
        <f t="shared" si="11"/>
        <v>43943</v>
      </c>
      <c r="B114" s="4" t="str">
        <f t="shared" si="6"/>
        <v>22</v>
      </c>
      <c r="C114" s="4" t="str">
        <f t="shared" si="7"/>
        <v>04</v>
      </c>
      <c r="D114" s="4" t="str">
        <f t="shared" si="8"/>
        <v>2020</v>
      </c>
      <c r="E114" s="3" t="str">
        <f t="shared" si="9"/>
        <v>Wednesday</v>
      </c>
      <c r="F114" s="4" t="str">
        <f t="shared" si="10"/>
        <v>N</v>
      </c>
      <c r="G114" s="4" t="str">
        <f>IF(COUNTIF(PublicHols[Date], A114)&gt;0, "Y", "N")</f>
        <v>N</v>
      </c>
      <c r="H114" s="3" t="str">
        <f>IFERROR(_xlfn.XLOOKUP(A114, PublicHols[Date], PublicHols[PH_Name]),"")</f>
        <v/>
      </c>
      <c r="I114" s="4" t="str">
        <f>IF(COUNTIF(EventsAll[Date], A114)&gt;0, "Y", "N")</f>
        <v>N</v>
      </c>
      <c r="J114" s="11" t="str">
        <f>IFERROR(_xlfn.XLOOKUP(A114, EventsAll[Date], EventsAll[Event]),"")</f>
        <v/>
      </c>
      <c r="K114" s="4" t="str" cm="1">
        <f t="array" ref="K114">IF(SUMPRODUCT((A114&gt;=SchoolHols[Start])*(A114&lt;=SchoolHols[End]))&gt;0,"Y","N")</f>
        <v>N</v>
      </c>
    </row>
    <row r="115" spans="1:11">
      <c r="A115" s="6">
        <f t="shared" si="11"/>
        <v>43944</v>
      </c>
      <c r="B115" s="4" t="str">
        <f t="shared" si="6"/>
        <v>23</v>
      </c>
      <c r="C115" s="4" t="str">
        <f t="shared" si="7"/>
        <v>04</v>
      </c>
      <c r="D115" s="4" t="str">
        <f t="shared" si="8"/>
        <v>2020</v>
      </c>
      <c r="E115" s="3" t="str">
        <f t="shared" si="9"/>
        <v>Thursday</v>
      </c>
      <c r="F115" s="4" t="str">
        <f t="shared" si="10"/>
        <v>N</v>
      </c>
      <c r="G115" s="4" t="str">
        <f>IF(COUNTIF(PublicHols[Date], A115)&gt;0, "Y", "N")</f>
        <v>N</v>
      </c>
      <c r="H115" s="3" t="str">
        <f>IFERROR(_xlfn.XLOOKUP(A115, PublicHols[Date], PublicHols[PH_Name]),"")</f>
        <v/>
      </c>
      <c r="I115" s="4" t="str">
        <f>IF(COUNTIF(EventsAll[Date], A115)&gt;0, "Y", "N")</f>
        <v>N</v>
      </c>
      <c r="J115" s="11" t="str">
        <f>IFERROR(_xlfn.XLOOKUP(A115, EventsAll[Date], EventsAll[Event]),"")</f>
        <v/>
      </c>
      <c r="K115" s="4" t="str" cm="1">
        <f t="array" ref="K115">IF(SUMPRODUCT((A115&gt;=SchoolHols[Start])*(A115&lt;=SchoolHols[End]))&gt;0,"Y","N")</f>
        <v>N</v>
      </c>
    </row>
    <row r="116" spans="1:11">
      <c r="A116" s="6">
        <f t="shared" si="11"/>
        <v>43945</v>
      </c>
      <c r="B116" s="4" t="str">
        <f t="shared" si="6"/>
        <v>24</v>
      </c>
      <c r="C116" s="4" t="str">
        <f t="shared" si="7"/>
        <v>04</v>
      </c>
      <c r="D116" s="4" t="str">
        <f t="shared" si="8"/>
        <v>2020</v>
      </c>
      <c r="E116" s="3" t="str">
        <f t="shared" si="9"/>
        <v>Friday</v>
      </c>
      <c r="F116" s="4" t="str">
        <f t="shared" si="10"/>
        <v>N</v>
      </c>
      <c r="G116" s="4" t="str">
        <f>IF(COUNTIF(PublicHols[Date], A116)&gt;0, "Y", "N")</f>
        <v>N</v>
      </c>
      <c r="H116" s="3" t="str">
        <f>IFERROR(_xlfn.XLOOKUP(A116, PublicHols[Date], PublicHols[PH_Name]),"")</f>
        <v/>
      </c>
      <c r="I116" s="4" t="str">
        <f>IF(COUNTIF(EventsAll[Date], A116)&gt;0, "Y", "N")</f>
        <v>N</v>
      </c>
      <c r="J116" s="11" t="str">
        <f>IFERROR(_xlfn.XLOOKUP(A116, EventsAll[Date], EventsAll[Event]),"")</f>
        <v/>
      </c>
      <c r="K116" s="4" t="str" cm="1">
        <f t="array" ref="K116">IF(SUMPRODUCT((A116&gt;=SchoolHols[Start])*(A116&lt;=SchoolHols[End]))&gt;0,"Y","N")</f>
        <v>N</v>
      </c>
    </row>
    <row r="117" spans="1:11">
      <c r="A117" s="6">
        <f t="shared" si="11"/>
        <v>43946</v>
      </c>
      <c r="B117" s="4" t="str">
        <f t="shared" si="6"/>
        <v>25</v>
      </c>
      <c r="C117" s="4" t="str">
        <f t="shared" si="7"/>
        <v>04</v>
      </c>
      <c r="D117" s="4" t="str">
        <f t="shared" si="8"/>
        <v>2020</v>
      </c>
      <c r="E117" s="3" t="str">
        <f t="shared" si="9"/>
        <v>Saturday</v>
      </c>
      <c r="F117" s="4" t="str">
        <f t="shared" si="10"/>
        <v>N</v>
      </c>
      <c r="G117" s="4" t="str">
        <f>IF(COUNTIF(PublicHols[Date], A117)&gt;0, "Y", "N")</f>
        <v>N</v>
      </c>
      <c r="H117" s="3" t="str">
        <f>IFERROR(_xlfn.XLOOKUP(A117, PublicHols[Date], PublicHols[PH_Name]),"")</f>
        <v/>
      </c>
      <c r="I117" s="4" t="str">
        <f>IF(COUNTIF(EventsAll[Date], A117)&gt;0, "Y", "N")</f>
        <v>N</v>
      </c>
      <c r="J117" s="11" t="str">
        <f>IFERROR(_xlfn.XLOOKUP(A117, EventsAll[Date], EventsAll[Event]),"")</f>
        <v/>
      </c>
      <c r="K117" s="4" t="str" cm="1">
        <f t="array" ref="K117">IF(SUMPRODUCT((A117&gt;=SchoolHols[Start])*(A117&lt;=SchoolHols[End]))&gt;0,"Y","N")</f>
        <v>N</v>
      </c>
    </row>
    <row r="118" spans="1:11">
      <c r="A118" s="6">
        <f t="shared" si="11"/>
        <v>43947</v>
      </c>
      <c r="B118" s="4" t="str">
        <f t="shared" si="6"/>
        <v>26</v>
      </c>
      <c r="C118" s="4" t="str">
        <f t="shared" si="7"/>
        <v>04</v>
      </c>
      <c r="D118" s="4" t="str">
        <f t="shared" si="8"/>
        <v>2020</v>
      </c>
      <c r="E118" s="3" t="str">
        <f t="shared" si="9"/>
        <v>Sunday</v>
      </c>
      <c r="F118" s="4" t="str">
        <f t="shared" si="10"/>
        <v>Y</v>
      </c>
      <c r="G118" s="4" t="str">
        <f>IF(COUNTIF(PublicHols[Date], A118)&gt;0, "Y", "N")</f>
        <v>N</v>
      </c>
      <c r="H118" s="3" t="str">
        <f>IFERROR(_xlfn.XLOOKUP(A118, PublicHols[Date], PublicHols[PH_Name]),"")</f>
        <v/>
      </c>
      <c r="I118" s="4" t="str">
        <f>IF(COUNTIF(EventsAll[Date], A118)&gt;0, "Y", "N")</f>
        <v>N</v>
      </c>
      <c r="J118" s="11" t="str">
        <f>IFERROR(_xlfn.XLOOKUP(A118, EventsAll[Date], EventsAll[Event]),"")</f>
        <v/>
      </c>
      <c r="K118" s="4" t="str" cm="1">
        <f t="array" ref="K118">IF(SUMPRODUCT((A118&gt;=SchoolHols[Start])*(A118&lt;=SchoolHols[End]))&gt;0,"Y","N")</f>
        <v>N</v>
      </c>
    </row>
    <row r="119" spans="1:11">
      <c r="A119" s="6">
        <f t="shared" si="11"/>
        <v>43948</v>
      </c>
      <c r="B119" s="4" t="str">
        <f t="shared" si="6"/>
        <v>27</v>
      </c>
      <c r="C119" s="4" t="str">
        <f t="shared" si="7"/>
        <v>04</v>
      </c>
      <c r="D119" s="4" t="str">
        <f t="shared" si="8"/>
        <v>2020</v>
      </c>
      <c r="E119" s="3" t="str">
        <f t="shared" si="9"/>
        <v>Monday</v>
      </c>
      <c r="F119" s="4" t="str">
        <f t="shared" si="10"/>
        <v>N</v>
      </c>
      <c r="G119" s="4" t="str">
        <f>IF(COUNTIF(PublicHols[Date], A119)&gt;0, "Y", "N")</f>
        <v>Y</v>
      </c>
      <c r="H119" s="3" t="str">
        <f>IFERROR(_xlfn.XLOOKUP(A119, PublicHols[Date], PublicHols[PH_Name]),"")</f>
        <v>Freedom Day</v>
      </c>
      <c r="I119" s="4" t="str">
        <f>IF(COUNTIF(EventsAll[Date], A119)&gt;0, "Y", "N")</f>
        <v>N</v>
      </c>
      <c r="J119" s="11" t="str">
        <f>IFERROR(_xlfn.XLOOKUP(A119, EventsAll[Date], EventsAll[Event]),"")</f>
        <v/>
      </c>
      <c r="K119" s="4" t="str" cm="1">
        <f t="array" ref="K119">IF(SUMPRODUCT((A119&gt;=SchoolHols[Start])*(A119&lt;=SchoolHols[End]))&gt;0,"Y","N")</f>
        <v>N</v>
      </c>
    </row>
    <row r="120" spans="1:11">
      <c r="A120" s="6">
        <f t="shared" si="11"/>
        <v>43949</v>
      </c>
      <c r="B120" s="4" t="str">
        <f t="shared" si="6"/>
        <v>28</v>
      </c>
      <c r="C120" s="4" t="str">
        <f t="shared" si="7"/>
        <v>04</v>
      </c>
      <c r="D120" s="4" t="str">
        <f t="shared" si="8"/>
        <v>2020</v>
      </c>
      <c r="E120" s="3" t="str">
        <f t="shared" si="9"/>
        <v>Tuesday</v>
      </c>
      <c r="F120" s="4" t="str">
        <f t="shared" si="10"/>
        <v>N</v>
      </c>
      <c r="G120" s="4" t="str">
        <f>IF(COUNTIF(PublicHols[Date], A120)&gt;0, "Y", "N")</f>
        <v>N</v>
      </c>
      <c r="H120" s="3" t="str">
        <f>IFERROR(_xlfn.XLOOKUP(A120, PublicHols[Date], PublicHols[PH_Name]),"")</f>
        <v/>
      </c>
      <c r="I120" s="4" t="str">
        <f>IF(COUNTIF(EventsAll[Date], A120)&gt;0, "Y", "N")</f>
        <v>N</v>
      </c>
      <c r="J120" s="11" t="str">
        <f>IFERROR(_xlfn.XLOOKUP(A120, EventsAll[Date], EventsAll[Event]),"")</f>
        <v/>
      </c>
      <c r="K120" s="4" t="str" cm="1">
        <f t="array" ref="K120">IF(SUMPRODUCT((A120&gt;=SchoolHols[Start])*(A120&lt;=SchoolHols[End]))&gt;0,"Y","N")</f>
        <v>N</v>
      </c>
    </row>
    <row r="121" spans="1:11">
      <c r="A121" s="6">
        <f t="shared" si="11"/>
        <v>43950</v>
      </c>
      <c r="B121" s="4" t="str">
        <f t="shared" si="6"/>
        <v>29</v>
      </c>
      <c r="C121" s="4" t="str">
        <f t="shared" si="7"/>
        <v>04</v>
      </c>
      <c r="D121" s="4" t="str">
        <f t="shared" si="8"/>
        <v>2020</v>
      </c>
      <c r="E121" s="3" t="str">
        <f t="shared" si="9"/>
        <v>Wednesday</v>
      </c>
      <c r="F121" s="4" t="str">
        <f t="shared" si="10"/>
        <v>N</v>
      </c>
      <c r="G121" s="4" t="str">
        <f>IF(COUNTIF(PublicHols[Date], A121)&gt;0, "Y", "N")</f>
        <v>N</v>
      </c>
      <c r="H121" s="3" t="str">
        <f>IFERROR(_xlfn.XLOOKUP(A121, PublicHols[Date], PublicHols[PH_Name]),"")</f>
        <v/>
      </c>
      <c r="I121" s="4" t="str">
        <f>IF(COUNTIF(EventsAll[Date], A121)&gt;0, "Y", "N")</f>
        <v>N</v>
      </c>
      <c r="J121" s="11" t="str">
        <f>IFERROR(_xlfn.XLOOKUP(A121, EventsAll[Date], EventsAll[Event]),"")</f>
        <v/>
      </c>
      <c r="K121" s="4" t="str" cm="1">
        <f t="array" ref="K121">IF(SUMPRODUCT((A121&gt;=SchoolHols[Start])*(A121&lt;=SchoolHols[End]))&gt;0,"Y","N")</f>
        <v>N</v>
      </c>
    </row>
    <row r="122" spans="1:11">
      <c r="A122" s="6">
        <f t="shared" si="11"/>
        <v>43951</v>
      </c>
      <c r="B122" s="4" t="str">
        <f t="shared" si="6"/>
        <v>30</v>
      </c>
      <c r="C122" s="4" t="str">
        <f t="shared" si="7"/>
        <v>04</v>
      </c>
      <c r="D122" s="4" t="str">
        <f t="shared" si="8"/>
        <v>2020</v>
      </c>
      <c r="E122" s="3" t="str">
        <f t="shared" si="9"/>
        <v>Thursday</v>
      </c>
      <c r="F122" s="4" t="str">
        <f t="shared" si="10"/>
        <v>N</v>
      </c>
      <c r="G122" s="4" t="str">
        <f>IF(COUNTIF(PublicHols[Date], A122)&gt;0, "Y", "N")</f>
        <v>N</v>
      </c>
      <c r="H122" s="3" t="str">
        <f>IFERROR(_xlfn.XLOOKUP(A122, PublicHols[Date], PublicHols[PH_Name]),"")</f>
        <v/>
      </c>
      <c r="I122" s="4" t="str">
        <f>IF(COUNTIF(EventsAll[Date], A122)&gt;0, "Y", "N")</f>
        <v>N</v>
      </c>
      <c r="J122" s="11" t="str">
        <f>IFERROR(_xlfn.XLOOKUP(A122, EventsAll[Date], EventsAll[Event]),"")</f>
        <v/>
      </c>
      <c r="K122" s="4" t="str" cm="1">
        <f t="array" ref="K122">IF(SUMPRODUCT((A122&gt;=SchoolHols[Start])*(A122&lt;=SchoolHols[End]))&gt;0,"Y","N")</f>
        <v>N</v>
      </c>
    </row>
    <row r="123" spans="1:11">
      <c r="A123" s="6">
        <f t="shared" si="11"/>
        <v>43952</v>
      </c>
      <c r="B123" s="4" t="str">
        <f t="shared" si="6"/>
        <v>01</v>
      </c>
      <c r="C123" s="4" t="str">
        <f t="shared" si="7"/>
        <v>05</v>
      </c>
      <c r="D123" s="4" t="str">
        <f t="shared" si="8"/>
        <v>2020</v>
      </c>
      <c r="E123" s="3" t="str">
        <f t="shared" si="9"/>
        <v>Friday</v>
      </c>
      <c r="F123" s="4" t="str">
        <f t="shared" si="10"/>
        <v>N</v>
      </c>
      <c r="G123" s="4" t="str">
        <f>IF(COUNTIF(PublicHols[Date], A123)&gt;0, "Y", "N")</f>
        <v>Y</v>
      </c>
      <c r="H123" s="3" t="str">
        <f>IFERROR(_xlfn.XLOOKUP(A123, PublicHols[Date], PublicHols[PH_Name]),"")</f>
        <v>Workers' Day</v>
      </c>
      <c r="I123" s="4" t="str">
        <f>IF(COUNTIF(EventsAll[Date], A123)&gt;0, "Y", "N")</f>
        <v>N</v>
      </c>
      <c r="J123" s="11" t="str">
        <f>IFERROR(_xlfn.XLOOKUP(A123, EventsAll[Date], EventsAll[Event]),"")</f>
        <v/>
      </c>
      <c r="K123" s="4" t="str" cm="1">
        <f t="array" ref="K123">IF(SUMPRODUCT((A123&gt;=SchoolHols[Start])*(A123&lt;=SchoolHols[End]))&gt;0,"Y","N")</f>
        <v>N</v>
      </c>
    </row>
    <row r="124" spans="1:11">
      <c r="A124" s="6">
        <f t="shared" si="11"/>
        <v>43953</v>
      </c>
      <c r="B124" s="4" t="str">
        <f t="shared" si="6"/>
        <v>02</v>
      </c>
      <c r="C124" s="4" t="str">
        <f t="shared" si="7"/>
        <v>05</v>
      </c>
      <c r="D124" s="4" t="str">
        <f t="shared" si="8"/>
        <v>2020</v>
      </c>
      <c r="E124" s="3" t="str">
        <f t="shared" si="9"/>
        <v>Saturday</v>
      </c>
      <c r="F124" s="4" t="str">
        <f t="shared" si="10"/>
        <v>N</v>
      </c>
      <c r="G124" s="4" t="str">
        <f>IF(COUNTIF(PublicHols[Date], A124)&gt;0, "Y", "N")</f>
        <v>N</v>
      </c>
      <c r="H124" s="3" t="str">
        <f>IFERROR(_xlfn.XLOOKUP(A124, PublicHols[Date], PublicHols[PH_Name]),"")</f>
        <v/>
      </c>
      <c r="I124" s="4" t="str">
        <f>IF(COUNTIF(EventsAll[Date], A124)&gt;0, "Y", "N")</f>
        <v>N</v>
      </c>
      <c r="J124" s="11" t="str">
        <f>IFERROR(_xlfn.XLOOKUP(A124, EventsAll[Date], EventsAll[Event]),"")</f>
        <v/>
      </c>
      <c r="K124" s="4" t="str" cm="1">
        <f t="array" ref="K124">IF(SUMPRODUCT((A124&gt;=SchoolHols[Start])*(A124&lt;=SchoolHols[End]))&gt;0,"Y","N")</f>
        <v>N</v>
      </c>
    </row>
    <row r="125" spans="1:11">
      <c r="A125" s="6">
        <f t="shared" si="11"/>
        <v>43954</v>
      </c>
      <c r="B125" s="4" t="str">
        <f t="shared" si="6"/>
        <v>03</v>
      </c>
      <c r="C125" s="4" t="str">
        <f t="shared" si="7"/>
        <v>05</v>
      </c>
      <c r="D125" s="4" t="str">
        <f t="shared" si="8"/>
        <v>2020</v>
      </c>
      <c r="E125" s="3" t="str">
        <f t="shared" si="9"/>
        <v>Sunday</v>
      </c>
      <c r="F125" s="4" t="str">
        <f t="shared" si="10"/>
        <v>Y</v>
      </c>
      <c r="G125" s="4" t="str">
        <f>IF(COUNTIF(PublicHols[Date], A125)&gt;0, "Y", "N")</f>
        <v>N</v>
      </c>
      <c r="H125" s="3" t="str">
        <f>IFERROR(_xlfn.XLOOKUP(A125, PublicHols[Date], PublicHols[PH_Name]),"")</f>
        <v/>
      </c>
      <c r="I125" s="4" t="str">
        <f>IF(COUNTIF(EventsAll[Date], A125)&gt;0, "Y", "N")</f>
        <v>N</v>
      </c>
      <c r="J125" s="11" t="str">
        <f>IFERROR(_xlfn.XLOOKUP(A125, EventsAll[Date], EventsAll[Event]),"")</f>
        <v/>
      </c>
      <c r="K125" s="4" t="str" cm="1">
        <f t="array" ref="K125">IF(SUMPRODUCT((A125&gt;=SchoolHols[Start])*(A125&lt;=SchoolHols[End]))&gt;0,"Y","N")</f>
        <v>N</v>
      </c>
    </row>
    <row r="126" spans="1:11">
      <c r="A126" s="6">
        <f t="shared" si="11"/>
        <v>43955</v>
      </c>
      <c r="B126" s="4" t="str">
        <f t="shared" si="6"/>
        <v>04</v>
      </c>
      <c r="C126" s="4" t="str">
        <f t="shared" si="7"/>
        <v>05</v>
      </c>
      <c r="D126" s="4" t="str">
        <f t="shared" si="8"/>
        <v>2020</v>
      </c>
      <c r="E126" s="3" t="str">
        <f t="shared" si="9"/>
        <v>Monday</v>
      </c>
      <c r="F126" s="4" t="str">
        <f t="shared" si="10"/>
        <v>N</v>
      </c>
      <c r="G126" s="4" t="str">
        <f>IF(COUNTIF(PublicHols[Date], A126)&gt;0, "Y", "N")</f>
        <v>N</v>
      </c>
      <c r="H126" s="3" t="str">
        <f>IFERROR(_xlfn.XLOOKUP(A126, PublicHols[Date], PublicHols[PH_Name]),"")</f>
        <v/>
      </c>
      <c r="I126" s="4" t="str">
        <f>IF(COUNTIF(EventsAll[Date], A126)&gt;0, "Y", "N")</f>
        <v>N</v>
      </c>
      <c r="J126" s="11" t="str">
        <f>IFERROR(_xlfn.XLOOKUP(A126, EventsAll[Date], EventsAll[Event]),"")</f>
        <v/>
      </c>
      <c r="K126" s="4" t="str" cm="1">
        <f t="array" ref="K126">IF(SUMPRODUCT((A126&gt;=SchoolHols[Start])*(A126&lt;=SchoolHols[End]))&gt;0,"Y","N")</f>
        <v>N</v>
      </c>
    </row>
    <row r="127" spans="1:11">
      <c r="A127" s="6">
        <f t="shared" si="11"/>
        <v>43956</v>
      </c>
      <c r="B127" s="4" t="str">
        <f t="shared" si="6"/>
        <v>05</v>
      </c>
      <c r="C127" s="4" t="str">
        <f t="shared" si="7"/>
        <v>05</v>
      </c>
      <c r="D127" s="4" t="str">
        <f t="shared" si="8"/>
        <v>2020</v>
      </c>
      <c r="E127" s="3" t="str">
        <f t="shared" si="9"/>
        <v>Tuesday</v>
      </c>
      <c r="F127" s="4" t="str">
        <f t="shared" si="10"/>
        <v>N</v>
      </c>
      <c r="G127" s="4" t="str">
        <f>IF(COUNTIF(PublicHols[Date], A127)&gt;0, "Y", "N")</f>
        <v>N</v>
      </c>
      <c r="H127" s="3" t="str">
        <f>IFERROR(_xlfn.XLOOKUP(A127, PublicHols[Date], PublicHols[PH_Name]),"")</f>
        <v/>
      </c>
      <c r="I127" s="4" t="str">
        <f>IF(COUNTIF(EventsAll[Date], A127)&gt;0, "Y", "N")</f>
        <v>N</v>
      </c>
      <c r="J127" s="11" t="str">
        <f>IFERROR(_xlfn.XLOOKUP(A127, EventsAll[Date], EventsAll[Event]),"")</f>
        <v/>
      </c>
      <c r="K127" s="4" t="str" cm="1">
        <f t="array" ref="K127">IF(SUMPRODUCT((A127&gt;=SchoolHols[Start])*(A127&lt;=SchoolHols[End]))&gt;0,"Y","N")</f>
        <v>N</v>
      </c>
    </row>
    <row r="128" spans="1:11">
      <c r="A128" s="6">
        <f t="shared" si="11"/>
        <v>43957</v>
      </c>
      <c r="B128" s="4" t="str">
        <f t="shared" si="6"/>
        <v>06</v>
      </c>
      <c r="C128" s="4" t="str">
        <f t="shared" si="7"/>
        <v>05</v>
      </c>
      <c r="D128" s="4" t="str">
        <f t="shared" si="8"/>
        <v>2020</v>
      </c>
      <c r="E128" s="3" t="str">
        <f t="shared" si="9"/>
        <v>Wednesday</v>
      </c>
      <c r="F128" s="4" t="str">
        <f t="shared" si="10"/>
        <v>N</v>
      </c>
      <c r="G128" s="4" t="str">
        <f>IF(COUNTIF(PublicHols[Date], A128)&gt;0, "Y", "N")</f>
        <v>N</v>
      </c>
      <c r="H128" s="3" t="str">
        <f>IFERROR(_xlfn.XLOOKUP(A128, PublicHols[Date], PublicHols[PH_Name]),"")</f>
        <v/>
      </c>
      <c r="I128" s="4" t="str">
        <f>IF(COUNTIF(EventsAll[Date], A128)&gt;0, "Y", "N")</f>
        <v>N</v>
      </c>
      <c r="J128" s="11" t="str">
        <f>IFERROR(_xlfn.XLOOKUP(A128, EventsAll[Date], EventsAll[Event]),"")</f>
        <v/>
      </c>
      <c r="K128" s="4" t="str" cm="1">
        <f t="array" ref="K128">IF(SUMPRODUCT((A128&gt;=SchoolHols[Start])*(A128&lt;=SchoolHols[End]))&gt;0,"Y","N")</f>
        <v>N</v>
      </c>
    </row>
    <row r="129" spans="1:11">
      <c r="A129" s="6">
        <f t="shared" si="11"/>
        <v>43958</v>
      </c>
      <c r="B129" s="4" t="str">
        <f t="shared" si="6"/>
        <v>07</v>
      </c>
      <c r="C129" s="4" t="str">
        <f t="shared" si="7"/>
        <v>05</v>
      </c>
      <c r="D129" s="4" t="str">
        <f t="shared" si="8"/>
        <v>2020</v>
      </c>
      <c r="E129" s="3" t="str">
        <f t="shared" si="9"/>
        <v>Thursday</v>
      </c>
      <c r="F129" s="4" t="str">
        <f t="shared" si="10"/>
        <v>N</v>
      </c>
      <c r="G129" s="4" t="str">
        <f>IF(COUNTIF(PublicHols[Date], A129)&gt;0, "Y", "N")</f>
        <v>N</v>
      </c>
      <c r="H129" s="3" t="str">
        <f>IFERROR(_xlfn.XLOOKUP(A129, PublicHols[Date], PublicHols[PH_Name]),"")</f>
        <v/>
      </c>
      <c r="I129" s="4" t="str">
        <f>IF(COUNTIF(EventsAll[Date], A129)&gt;0, "Y", "N")</f>
        <v>N</v>
      </c>
      <c r="J129" s="11" t="str">
        <f>IFERROR(_xlfn.XLOOKUP(A129, EventsAll[Date], EventsAll[Event]),"")</f>
        <v/>
      </c>
      <c r="K129" s="4" t="str" cm="1">
        <f t="array" ref="K129">IF(SUMPRODUCT((A129&gt;=SchoolHols[Start])*(A129&lt;=SchoolHols[End]))&gt;0,"Y","N")</f>
        <v>N</v>
      </c>
    </row>
    <row r="130" spans="1:11">
      <c r="A130" s="6">
        <f t="shared" si="11"/>
        <v>43959</v>
      </c>
      <c r="B130" s="4" t="str">
        <f t="shared" si="6"/>
        <v>08</v>
      </c>
      <c r="C130" s="4" t="str">
        <f t="shared" si="7"/>
        <v>05</v>
      </c>
      <c r="D130" s="4" t="str">
        <f t="shared" si="8"/>
        <v>2020</v>
      </c>
      <c r="E130" s="3" t="str">
        <f t="shared" si="9"/>
        <v>Friday</v>
      </c>
      <c r="F130" s="4" t="str">
        <f t="shared" si="10"/>
        <v>N</v>
      </c>
      <c r="G130" s="4" t="str">
        <f>IF(COUNTIF(PublicHols[Date], A130)&gt;0, "Y", "N")</f>
        <v>N</v>
      </c>
      <c r="H130" s="3" t="str">
        <f>IFERROR(_xlfn.XLOOKUP(A130, PublicHols[Date], PublicHols[PH_Name]),"")</f>
        <v/>
      </c>
      <c r="I130" s="4" t="str">
        <f>IF(COUNTIF(EventsAll[Date], A130)&gt;0, "Y", "N")</f>
        <v>N</v>
      </c>
      <c r="J130" s="11" t="str">
        <f>IFERROR(_xlfn.XLOOKUP(A130, EventsAll[Date], EventsAll[Event]),"")</f>
        <v/>
      </c>
      <c r="K130" s="4" t="str" cm="1">
        <f t="array" ref="K130">IF(SUMPRODUCT((A130&gt;=SchoolHols[Start])*(A130&lt;=SchoolHols[End]))&gt;0,"Y","N")</f>
        <v>N</v>
      </c>
    </row>
    <row r="131" spans="1:11">
      <c r="A131" s="6">
        <f t="shared" si="11"/>
        <v>43960</v>
      </c>
      <c r="B131" s="4" t="str">
        <f t="shared" ref="B131:B194" si="12">TEXT($A131, "dd")</f>
        <v>09</v>
      </c>
      <c r="C131" s="4" t="str">
        <f t="shared" ref="C131:C194" si="13">TEXT($A131, "mm")</f>
        <v>05</v>
      </c>
      <c r="D131" s="4" t="str">
        <f t="shared" ref="D131:D194" si="14">TEXT($A131, "yyyy")</f>
        <v>2020</v>
      </c>
      <c r="E131" s="3" t="str">
        <f t="shared" ref="E131:E194" si="15">TEXT($A131, "dddd")</f>
        <v>Saturday</v>
      </c>
      <c r="F131" s="4" t="str">
        <f t="shared" ref="F131:F194" si="16">IF($E131="Sunday", "Y", "N")</f>
        <v>N</v>
      </c>
      <c r="G131" s="4" t="str">
        <f>IF(COUNTIF(PublicHols[Date], A131)&gt;0, "Y", "N")</f>
        <v>N</v>
      </c>
      <c r="H131" s="3" t="str">
        <f>IFERROR(_xlfn.XLOOKUP(A131, PublicHols[Date], PublicHols[PH_Name]),"")</f>
        <v/>
      </c>
      <c r="I131" s="4" t="str">
        <f>IF(COUNTIF(EventsAll[Date], A131)&gt;0, "Y", "N")</f>
        <v>N</v>
      </c>
      <c r="J131" s="11" t="str">
        <f>IFERROR(_xlfn.XLOOKUP(A131, EventsAll[Date], EventsAll[Event]),"")</f>
        <v/>
      </c>
      <c r="K131" s="4" t="str" cm="1">
        <f t="array" ref="K131">IF(SUMPRODUCT((A131&gt;=SchoolHols[Start])*(A131&lt;=SchoolHols[End]))&gt;0,"Y","N")</f>
        <v>N</v>
      </c>
    </row>
    <row r="132" spans="1:11">
      <c r="A132" s="6">
        <f t="shared" ref="A132:A195" si="17">$A131+1</f>
        <v>43961</v>
      </c>
      <c r="B132" s="4" t="str">
        <f t="shared" si="12"/>
        <v>10</v>
      </c>
      <c r="C132" s="4" t="str">
        <f t="shared" si="13"/>
        <v>05</v>
      </c>
      <c r="D132" s="4" t="str">
        <f t="shared" si="14"/>
        <v>2020</v>
      </c>
      <c r="E132" s="3" t="str">
        <f t="shared" si="15"/>
        <v>Sunday</v>
      </c>
      <c r="F132" s="4" t="str">
        <f t="shared" si="16"/>
        <v>Y</v>
      </c>
      <c r="G132" s="4" t="str">
        <f>IF(COUNTIF(PublicHols[Date], A132)&gt;0, "Y", "N")</f>
        <v>N</v>
      </c>
      <c r="H132" s="3" t="str">
        <f>IFERROR(_xlfn.XLOOKUP(A132, PublicHols[Date], PublicHols[PH_Name]),"")</f>
        <v/>
      </c>
      <c r="I132" s="4" t="str">
        <f>IF(COUNTIF(EventsAll[Date], A132)&gt;0, "Y", "N")</f>
        <v>Y</v>
      </c>
      <c r="J132" s="11" t="str">
        <f>IFERROR(_xlfn.XLOOKUP(A132, EventsAll[Date], EventsAll[Event]),"")</f>
        <v xml:space="preserve"> Mother's Day</v>
      </c>
      <c r="K132" s="4" t="str" cm="1">
        <f t="array" ref="K132">IF(SUMPRODUCT((A132&gt;=SchoolHols[Start])*(A132&lt;=SchoolHols[End]))&gt;0,"Y","N")</f>
        <v>N</v>
      </c>
    </row>
    <row r="133" spans="1:11">
      <c r="A133" s="6">
        <f t="shared" si="17"/>
        <v>43962</v>
      </c>
      <c r="B133" s="4" t="str">
        <f t="shared" si="12"/>
        <v>11</v>
      </c>
      <c r="C133" s="4" t="str">
        <f t="shared" si="13"/>
        <v>05</v>
      </c>
      <c r="D133" s="4" t="str">
        <f t="shared" si="14"/>
        <v>2020</v>
      </c>
      <c r="E133" s="3" t="str">
        <f t="shared" si="15"/>
        <v>Monday</v>
      </c>
      <c r="F133" s="4" t="str">
        <f t="shared" si="16"/>
        <v>N</v>
      </c>
      <c r="G133" s="4" t="str">
        <f>IF(COUNTIF(PublicHols[Date], A133)&gt;0, "Y", "N")</f>
        <v>N</v>
      </c>
      <c r="H133" s="3" t="str">
        <f>IFERROR(_xlfn.XLOOKUP(A133, PublicHols[Date], PublicHols[PH_Name]),"")</f>
        <v/>
      </c>
      <c r="I133" s="4" t="str">
        <f>IF(COUNTIF(EventsAll[Date], A133)&gt;0, "Y", "N")</f>
        <v>N</v>
      </c>
      <c r="J133" s="11" t="str">
        <f>IFERROR(_xlfn.XLOOKUP(A133, EventsAll[Date], EventsAll[Event]),"")</f>
        <v/>
      </c>
      <c r="K133" s="4" t="str" cm="1">
        <f t="array" ref="K133">IF(SUMPRODUCT((A133&gt;=SchoolHols[Start])*(A133&lt;=SchoolHols[End]))&gt;0,"Y","N")</f>
        <v>N</v>
      </c>
    </row>
    <row r="134" spans="1:11">
      <c r="A134" s="6">
        <f t="shared" si="17"/>
        <v>43963</v>
      </c>
      <c r="B134" s="4" t="str">
        <f t="shared" si="12"/>
        <v>12</v>
      </c>
      <c r="C134" s="4" t="str">
        <f t="shared" si="13"/>
        <v>05</v>
      </c>
      <c r="D134" s="4" t="str">
        <f t="shared" si="14"/>
        <v>2020</v>
      </c>
      <c r="E134" s="3" t="str">
        <f t="shared" si="15"/>
        <v>Tuesday</v>
      </c>
      <c r="F134" s="4" t="str">
        <f t="shared" si="16"/>
        <v>N</v>
      </c>
      <c r="G134" s="4" t="str">
        <f>IF(COUNTIF(PublicHols[Date], A134)&gt;0, "Y", "N")</f>
        <v>N</v>
      </c>
      <c r="H134" s="3" t="str">
        <f>IFERROR(_xlfn.XLOOKUP(A134, PublicHols[Date], PublicHols[PH_Name]),"")</f>
        <v/>
      </c>
      <c r="I134" s="4" t="str">
        <f>IF(COUNTIF(EventsAll[Date], A134)&gt;0, "Y", "N")</f>
        <v>N</v>
      </c>
      <c r="J134" s="11" t="str">
        <f>IFERROR(_xlfn.XLOOKUP(A134, EventsAll[Date], EventsAll[Event]),"")</f>
        <v/>
      </c>
      <c r="K134" s="4" t="str" cm="1">
        <f t="array" ref="K134">IF(SUMPRODUCT((A134&gt;=SchoolHols[Start])*(A134&lt;=SchoolHols[End]))&gt;0,"Y","N")</f>
        <v>N</v>
      </c>
    </row>
    <row r="135" spans="1:11">
      <c r="A135" s="6">
        <f t="shared" si="17"/>
        <v>43964</v>
      </c>
      <c r="B135" s="4" t="str">
        <f t="shared" si="12"/>
        <v>13</v>
      </c>
      <c r="C135" s="4" t="str">
        <f t="shared" si="13"/>
        <v>05</v>
      </c>
      <c r="D135" s="4" t="str">
        <f t="shared" si="14"/>
        <v>2020</v>
      </c>
      <c r="E135" s="3" t="str">
        <f t="shared" si="15"/>
        <v>Wednesday</v>
      </c>
      <c r="F135" s="4" t="str">
        <f t="shared" si="16"/>
        <v>N</v>
      </c>
      <c r="G135" s="4" t="str">
        <f>IF(COUNTIF(PublicHols[Date], A135)&gt;0, "Y", "N")</f>
        <v>N</v>
      </c>
      <c r="H135" s="3" t="str">
        <f>IFERROR(_xlfn.XLOOKUP(A135, PublicHols[Date], PublicHols[PH_Name]),"")</f>
        <v/>
      </c>
      <c r="I135" s="4" t="str">
        <f>IF(COUNTIF(EventsAll[Date], A135)&gt;0, "Y", "N")</f>
        <v>N</v>
      </c>
      <c r="J135" s="11" t="str">
        <f>IFERROR(_xlfn.XLOOKUP(A135, EventsAll[Date], EventsAll[Event]),"")</f>
        <v/>
      </c>
      <c r="K135" s="4" t="str" cm="1">
        <f t="array" ref="K135">IF(SUMPRODUCT((A135&gt;=SchoolHols[Start])*(A135&lt;=SchoolHols[End]))&gt;0,"Y","N")</f>
        <v>N</v>
      </c>
    </row>
    <row r="136" spans="1:11">
      <c r="A136" s="6">
        <f t="shared" si="17"/>
        <v>43965</v>
      </c>
      <c r="B136" s="4" t="str">
        <f t="shared" si="12"/>
        <v>14</v>
      </c>
      <c r="C136" s="4" t="str">
        <f t="shared" si="13"/>
        <v>05</v>
      </c>
      <c r="D136" s="4" t="str">
        <f t="shared" si="14"/>
        <v>2020</v>
      </c>
      <c r="E136" s="3" t="str">
        <f t="shared" si="15"/>
        <v>Thursday</v>
      </c>
      <c r="F136" s="4" t="str">
        <f t="shared" si="16"/>
        <v>N</v>
      </c>
      <c r="G136" s="4" t="str">
        <f>IF(COUNTIF(PublicHols[Date], A136)&gt;0, "Y", "N")</f>
        <v>N</v>
      </c>
      <c r="H136" s="3" t="str">
        <f>IFERROR(_xlfn.XLOOKUP(A136, PublicHols[Date], PublicHols[PH_Name]),"")</f>
        <v/>
      </c>
      <c r="I136" s="4" t="str">
        <f>IF(COUNTIF(EventsAll[Date], A136)&gt;0, "Y", "N")</f>
        <v>N</v>
      </c>
      <c r="J136" s="11" t="str">
        <f>IFERROR(_xlfn.XLOOKUP(A136, EventsAll[Date], EventsAll[Event]),"")</f>
        <v/>
      </c>
      <c r="K136" s="4" t="str" cm="1">
        <f t="array" ref="K136">IF(SUMPRODUCT((A136&gt;=SchoolHols[Start])*(A136&lt;=SchoolHols[End]))&gt;0,"Y","N")</f>
        <v>N</v>
      </c>
    </row>
    <row r="137" spans="1:11">
      <c r="A137" s="6">
        <f t="shared" si="17"/>
        <v>43966</v>
      </c>
      <c r="B137" s="4" t="str">
        <f t="shared" si="12"/>
        <v>15</v>
      </c>
      <c r="C137" s="4" t="str">
        <f t="shared" si="13"/>
        <v>05</v>
      </c>
      <c r="D137" s="4" t="str">
        <f t="shared" si="14"/>
        <v>2020</v>
      </c>
      <c r="E137" s="3" t="str">
        <f t="shared" si="15"/>
        <v>Friday</v>
      </c>
      <c r="F137" s="4" t="str">
        <f t="shared" si="16"/>
        <v>N</v>
      </c>
      <c r="G137" s="4" t="str">
        <f>IF(COUNTIF(PublicHols[Date], A137)&gt;0, "Y", "N")</f>
        <v>N</v>
      </c>
      <c r="H137" s="3" t="str">
        <f>IFERROR(_xlfn.XLOOKUP(A137, PublicHols[Date], PublicHols[PH_Name]),"")</f>
        <v/>
      </c>
      <c r="I137" s="4" t="str">
        <f>IF(COUNTIF(EventsAll[Date], A137)&gt;0, "Y", "N")</f>
        <v>N</v>
      </c>
      <c r="J137" s="11" t="str">
        <f>IFERROR(_xlfn.XLOOKUP(A137, EventsAll[Date], EventsAll[Event]),"")</f>
        <v/>
      </c>
      <c r="K137" s="4" t="str" cm="1">
        <f t="array" ref="K137">IF(SUMPRODUCT((A137&gt;=SchoolHols[Start])*(A137&lt;=SchoolHols[End]))&gt;0,"Y","N")</f>
        <v>N</v>
      </c>
    </row>
    <row r="138" spans="1:11">
      <c r="A138" s="6">
        <f t="shared" si="17"/>
        <v>43967</v>
      </c>
      <c r="B138" s="4" t="str">
        <f t="shared" si="12"/>
        <v>16</v>
      </c>
      <c r="C138" s="4" t="str">
        <f t="shared" si="13"/>
        <v>05</v>
      </c>
      <c r="D138" s="4" t="str">
        <f t="shared" si="14"/>
        <v>2020</v>
      </c>
      <c r="E138" s="3" t="str">
        <f t="shared" si="15"/>
        <v>Saturday</v>
      </c>
      <c r="F138" s="4" t="str">
        <f t="shared" si="16"/>
        <v>N</v>
      </c>
      <c r="G138" s="4" t="str">
        <f>IF(COUNTIF(PublicHols[Date], A138)&gt;0, "Y", "N")</f>
        <v>N</v>
      </c>
      <c r="H138" s="3" t="str">
        <f>IFERROR(_xlfn.XLOOKUP(A138, PublicHols[Date], PublicHols[PH_Name]),"")</f>
        <v/>
      </c>
      <c r="I138" s="4" t="str">
        <f>IF(COUNTIF(EventsAll[Date], A138)&gt;0, "Y", "N")</f>
        <v>N</v>
      </c>
      <c r="J138" s="11" t="str">
        <f>IFERROR(_xlfn.XLOOKUP(A138, EventsAll[Date], EventsAll[Event]),"")</f>
        <v/>
      </c>
      <c r="K138" s="4" t="str" cm="1">
        <f t="array" ref="K138">IF(SUMPRODUCT((A138&gt;=SchoolHols[Start])*(A138&lt;=SchoolHols[End]))&gt;0,"Y","N")</f>
        <v>N</v>
      </c>
    </row>
    <row r="139" spans="1:11">
      <c r="A139" s="6">
        <f t="shared" si="17"/>
        <v>43968</v>
      </c>
      <c r="B139" s="4" t="str">
        <f t="shared" si="12"/>
        <v>17</v>
      </c>
      <c r="C139" s="4" t="str">
        <f t="shared" si="13"/>
        <v>05</v>
      </c>
      <c r="D139" s="4" t="str">
        <f t="shared" si="14"/>
        <v>2020</v>
      </c>
      <c r="E139" s="3" t="str">
        <f t="shared" si="15"/>
        <v>Sunday</v>
      </c>
      <c r="F139" s="4" t="str">
        <f t="shared" si="16"/>
        <v>Y</v>
      </c>
      <c r="G139" s="4" t="str">
        <f>IF(COUNTIF(PublicHols[Date], A139)&gt;0, "Y", "N")</f>
        <v>N</v>
      </c>
      <c r="H139" s="3" t="str">
        <f>IFERROR(_xlfn.XLOOKUP(A139, PublicHols[Date], PublicHols[PH_Name]),"")</f>
        <v/>
      </c>
      <c r="I139" s="4" t="str">
        <f>IF(COUNTIF(EventsAll[Date], A139)&gt;0, "Y", "N")</f>
        <v>N</v>
      </c>
      <c r="J139" s="11" t="str">
        <f>IFERROR(_xlfn.XLOOKUP(A139, EventsAll[Date], EventsAll[Event]),"")</f>
        <v/>
      </c>
      <c r="K139" s="4" t="str" cm="1">
        <f t="array" ref="K139">IF(SUMPRODUCT((A139&gt;=SchoolHols[Start])*(A139&lt;=SchoolHols[End]))&gt;0,"Y","N")</f>
        <v>N</v>
      </c>
    </row>
    <row r="140" spans="1:11">
      <c r="A140" s="6">
        <f t="shared" si="17"/>
        <v>43969</v>
      </c>
      <c r="B140" s="4" t="str">
        <f t="shared" si="12"/>
        <v>18</v>
      </c>
      <c r="C140" s="4" t="str">
        <f t="shared" si="13"/>
        <v>05</v>
      </c>
      <c r="D140" s="4" t="str">
        <f t="shared" si="14"/>
        <v>2020</v>
      </c>
      <c r="E140" s="3" t="str">
        <f t="shared" si="15"/>
        <v>Monday</v>
      </c>
      <c r="F140" s="4" t="str">
        <f t="shared" si="16"/>
        <v>N</v>
      </c>
      <c r="G140" s="4" t="str">
        <f>IF(COUNTIF(PublicHols[Date], A140)&gt;0, "Y", "N")</f>
        <v>N</v>
      </c>
      <c r="H140" s="3" t="str">
        <f>IFERROR(_xlfn.XLOOKUP(A140, PublicHols[Date], PublicHols[PH_Name]),"")</f>
        <v/>
      </c>
      <c r="I140" s="4" t="str">
        <f>IF(COUNTIF(EventsAll[Date], A140)&gt;0, "Y", "N")</f>
        <v>N</v>
      </c>
      <c r="J140" s="11" t="str">
        <f>IFERROR(_xlfn.XLOOKUP(A140, EventsAll[Date], EventsAll[Event]),"")</f>
        <v/>
      </c>
      <c r="K140" s="4" t="str" cm="1">
        <f t="array" ref="K140">IF(SUMPRODUCT((A140&gt;=SchoolHols[Start])*(A140&lt;=SchoolHols[End]))&gt;0,"Y","N")</f>
        <v>N</v>
      </c>
    </row>
    <row r="141" spans="1:11">
      <c r="A141" s="6">
        <f t="shared" si="17"/>
        <v>43970</v>
      </c>
      <c r="B141" s="4" t="str">
        <f t="shared" si="12"/>
        <v>19</v>
      </c>
      <c r="C141" s="4" t="str">
        <f t="shared" si="13"/>
        <v>05</v>
      </c>
      <c r="D141" s="4" t="str">
        <f t="shared" si="14"/>
        <v>2020</v>
      </c>
      <c r="E141" s="3" t="str">
        <f t="shared" si="15"/>
        <v>Tuesday</v>
      </c>
      <c r="F141" s="4" t="str">
        <f t="shared" si="16"/>
        <v>N</v>
      </c>
      <c r="G141" s="4" t="str">
        <f>IF(COUNTIF(PublicHols[Date], A141)&gt;0, "Y", "N")</f>
        <v>N</v>
      </c>
      <c r="H141" s="3" t="str">
        <f>IFERROR(_xlfn.XLOOKUP(A141, PublicHols[Date], PublicHols[PH_Name]),"")</f>
        <v/>
      </c>
      <c r="I141" s="4" t="str">
        <f>IF(COUNTIF(EventsAll[Date], A141)&gt;0, "Y", "N")</f>
        <v>N</v>
      </c>
      <c r="J141" s="11" t="str">
        <f>IFERROR(_xlfn.XLOOKUP(A141, EventsAll[Date], EventsAll[Event]),"")</f>
        <v/>
      </c>
      <c r="K141" s="4" t="str" cm="1">
        <f t="array" ref="K141">IF(SUMPRODUCT((A141&gt;=SchoolHols[Start])*(A141&lt;=SchoolHols[End]))&gt;0,"Y","N")</f>
        <v>N</v>
      </c>
    </row>
    <row r="142" spans="1:11">
      <c r="A142" s="6">
        <f t="shared" si="17"/>
        <v>43971</v>
      </c>
      <c r="B142" s="4" t="str">
        <f t="shared" si="12"/>
        <v>20</v>
      </c>
      <c r="C142" s="4" t="str">
        <f t="shared" si="13"/>
        <v>05</v>
      </c>
      <c r="D142" s="4" t="str">
        <f t="shared" si="14"/>
        <v>2020</v>
      </c>
      <c r="E142" s="3" t="str">
        <f t="shared" si="15"/>
        <v>Wednesday</v>
      </c>
      <c r="F142" s="4" t="str">
        <f t="shared" si="16"/>
        <v>N</v>
      </c>
      <c r="G142" s="4" t="str">
        <f>IF(COUNTIF(PublicHols[Date], A142)&gt;0, "Y", "N")</f>
        <v>N</v>
      </c>
      <c r="H142" s="3" t="str">
        <f>IFERROR(_xlfn.XLOOKUP(A142, PublicHols[Date], PublicHols[PH_Name]),"")</f>
        <v/>
      </c>
      <c r="I142" s="4" t="str">
        <f>IF(COUNTIF(EventsAll[Date], A142)&gt;0, "Y", "N")</f>
        <v>N</v>
      </c>
      <c r="J142" s="11" t="str">
        <f>IFERROR(_xlfn.XLOOKUP(A142, EventsAll[Date], EventsAll[Event]),"")</f>
        <v/>
      </c>
      <c r="K142" s="4" t="str" cm="1">
        <f t="array" ref="K142">IF(SUMPRODUCT((A142&gt;=SchoolHols[Start])*(A142&lt;=SchoolHols[End]))&gt;0,"Y","N")</f>
        <v>N</v>
      </c>
    </row>
    <row r="143" spans="1:11">
      <c r="A143" s="6">
        <f t="shared" si="17"/>
        <v>43972</v>
      </c>
      <c r="B143" s="4" t="str">
        <f t="shared" si="12"/>
        <v>21</v>
      </c>
      <c r="C143" s="4" t="str">
        <f t="shared" si="13"/>
        <v>05</v>
      </c>
      <c r="D143" s="4" t="str">
        <f t="shared" si="14"/>
        <v>2020</v>
      </c>
      <c r="E143" s="3" t="str">
        <f t="shared" si="15"/>
        <v>Thursday</v>
      </c>
      <c r="F143" s="4" t="str">
        <f t="shared" si="16"/>
        <v>N</v>
      </c>
      <c r="G143" s="4" t="str">
        <f>IF(COUNTIF(PublicHols[Date], A143)&gt;0, "Y", "N")</f>
        <v>N</v>
      </c>
      <c r="H143" s="3" t="str">
        <f>IFERROR(_xlfn.XLOOKUP(A143, PublicHols[Date], PublicHols[PH_Name]),"")</f>
        <v/>
      </c>
      <c r="I143" s="4" t="str">
        <f>IF(COUNTIF(EventsAll[Date], A143)&gt;0, "Y", "N")</f>
        <v>N</v>
      </c>
      <c r="J143" s="11" t="str">
        <f>IFERROR(_xlfn.XLOOKUP(A143, EventsAll[Date], EventsAll[Event]),"")</f>
        <v/>
      </c>
      <c r="K143" s="4" t="str" cm="1">
        <f t="array" ref="K143">IF(SUMPRODUCT((A143&gt;=SchoolHols[Start])*(A143&lt;=SchoolHols[End]))&gt;0,"Y","N")</f>
        <v>N</v>
      </c>
    </row>
    <row r="144" spans="1:11">
      <c r="A144" s="6">
        <f t="shared" si="17"/>
        <v>43973</v>
      </c>
      <c r="B144" s="4" t="str">
        <f t="shared" si="12"/>
        <v>22</v>
      </c>
      <c r="C144" s="4" t="str">
        <f t="shared" si="13"/>
        <v>05</v>
      </c>
      <c r="D144" s="4" t="str">
        <f t="shared" si="14"/>
        <v>2020</v>
      </c>
      <c r="E144" s="3" t="str">
        <f t="shared" si="15"/>
        <v>Friday</v>
      </c>
      <c r="F144" s="4" t="str">
        <f t="shared" si="16"/>
        <v>N</v>
      </c>
      <c r="G144" s="4" t="str">
        <f>IF(COUNTIF(PublicHols[Date], A144)&gt;0, "Y", "N")</f>
        <v>N</v>
      </c>
      <c r="H144" s="3" t="str">
        <f>IFERROR(_xlfn.XLOOKUP(A144, PublicHols[Date], PublicHols[PH_Name]),"")</f>
        <v/>
      </c>
      <c r="I144" s="4" t="str">
        <f>IF(COUNTIF(EventsAll[Date], A144)&gt;0, "Y", "N")</f>
        <v>N</v>
      </c>
      <c r="J144" s="11" t="str">
        <f>IFERROR(_xlfn.XLOOKUP(A144, EventsAll[Date], EventsAll[Event]),"")</f>
        <v/>
      </c>
      <c r="K144" s="4" t="str" cm="1">
        <f t="array" ref="K144">IF(SUMPRODUCT((A144&gt;=SchoolHols[Start])*(A144&lt;=SchoolHols[End]))&gt;0,"Y","N")</f>
        <v>N</v>
      </c>
    </row>
    <row r="145" spans="1:11">
      <c r="A145" s="6">
        <f t="shared" si="17"/>
        <v>43974</v>
      </c>
      <c r="B145" s="4" t="str">
        <f t="shared" si="12"/>
        <v>23</v>
      </c>
      <c r="C145" s="4" t="str">
        <f t="shared" si="13"/>
        <v>05</v>
      </c>
      <c r="D145" s="4" t="str">
        <f t="shared" si="14"/>
        <v>2020</v>
      </c>
      <c r="E145" s="3" t="str">
        <f t="shared" si="15"/>
        <v>Saturday</v>
      </c>
      <c r="F145" s="4" t="str">
        <f t="shared" si="16"/>
        <v>N</v>
      </c>
      <c r="G145" s="4" t="str">
        <f>IF(COUNTIF(PublicHols[Date], A145)&gt;0, "Y", "N")</f>
        <v>N</v>
      </c>
      <c r="H145" s="3" t="str">
        <f>IFERROR(_xlfn.XLOOKUP(A145, PublicHols[Date], PublicHols[PH_Name]),"")</f>
        <v/>
      </c>
      <c r="I145" s="4" t="str">
        <f>IF(COUNTIF(EventsAll[Date], A145)&gt;0, "Y", "N")</f>
        <v>N</v>
      </c>
      <c r="J145" s="11" t="str">
        <f>IFERROR(_xlfn.XLOOKUP(A145, EventsAll[Date], EventsAll[Event]),"")</f>
        <v/>
      </c>
      <c r="K145" s="4" t="str" cm="1">
        <f t="array" ref="K145">IF(SUMPRODUCT((A145&gt;=SchoolHols[Start])*(A145&lt;=SchoolHols[End]))&gt;0,"Y","N")</f>
        <v>N</v>
      </c>
    </row>
    <row r="146" spans="1:11">
      <c r="A146" s="6">
        <f t="shared" si="17"/>
        <v>43975</v>
      </c>
      <c r="B146" s="4" t="str">
        <f t="shared" si="12"/>
        <v>24</v>
      </c>
      <c r="C146" s="4" t="str">
        <f t="shared" si="13"/>
        <v>05</v>
      </c>
      <c r="D146" s="4" t="str">
        <f t="shared" si="14"/>
        <v>2020</v>
      </c>
      <c r="E146" s="3" t="str">
        <f t="shared" si="15"/>
        <v>Sunday</v>
      </c>
      <c r="F146" s="4" t="str">
        <f t="shared" si="16"/>
        <v>Y</v>
      </c>
      <c r="G146" s="4" t="str">
        <f>IF(COUNTIF(PublicHols[Date], A146)&gt;0, "Y", "N")</f>
        <v>N</v>
      </c>
      <c r="H146" s="3" t="str">
        <f>IFERROR(_xlfn.XLOOKUP(A146, PublicHols[Date], PublicHols[PH_Name]),"")</f>
        <v/>
      </c>
      <c r="I146" s="4" t="str">
        <f>IF(COUNTIF(EventsAll[Date], A146)&gt;0, "Y", "N")</f>
        <v>N</v>
      </c>
      <c r="J146" s="11" t="str">
        <f>IFERROR(_xlfn.XLOOKUP(A146, EventsAll[Date], EventsAll[Event]),"")</f>
        <v/>
      </c>
      <c r="K146" s="4" t="str" cm="1">
        <f t="array" ref="K146">IF(SUMPRODUCT((A146&gt;=SchoolHols[Start])*(A146&lt;=SchoolHols[End]))&gt;0,"Y","N")</f>
        <v>N</v>
      </c>
    </row>
    <row r="147" spans="1:11">
      <c r="A147" s="6">
        <f t="shared" si="17"/>
        <v>43976</v>
      </c>
      <c r="B147" s="4" t="str">
        <f t="shared" si="12"/>
        <v>25</v>
      </c>
      <c r="C147" s="4" t="str">
        <f t="shared" si="13"/>
        <v>05</v>
      </c>
      <c r="D147" s="4" t="str">
        <f t="shared" si="14"/>
        <v>2020</v>
      </c>
      <c r="E147" s="3" t="str">
        <f t="shared" si="15"/>
        <v>Monday</v>
      </c>
      <c r="F147" s="4" t="str">
        <f t="shared" si="16"/>
        <v>N</v>
      </c>
      <c r="G147" s="4" t="str">
        <f>IF(COUNTIF(PublicHols[Date], A147)&gt;0, "Y", "N")</f>
        <v>N</v>
      </c>
      <c r="H147" s="3" t="str">
        <f>IFERROR(_xlfn.XLOOKUP(A147, PublicHols[Date], PublicHols[PH_Name]),"")</f>
        <v/>
      </c>
      <c r="I147" s="4" t="str">
        <f>IF(COUNTIF(EventsAll[Date], A147)&gt;0, "Y", "N")</f>
        <v>N</v>
      </c>
      <c r="J147" s="11" t="str">
        <f>IFERROR(_xlfn.XLOOKUP(A147, EventsAll[Date], EventsAll[Event]),"")</f>
        <v/>
      </c>
      <c r="K147" s="4" t="str" cm="1">
        <f t="array" ref="K147">IF(SUMPRODUCT((A147&gt;=SchoolHols[Start])*(A147&lt;=SchoolHols[End]))&gt;0,"Y","N")</f>
        <v>N</v>
      </c>
    </row>
    <row r="148" spans="1:11">
      <c r="A148" s="6">
        <f t="shared" si="17"/>
        <v>43977</v>
      </c>
      <c r="B148" s="4" t="str">
        <f t="shared" si="12"/>
        <v>26</v>
      </c>
      <c r="C148" s="4" t="str">
        <f t="shared" si="13"/>
        <v>05</v>
      </c>
      <c r="D148" s="4" t="str">
        <f t="shared" si="14"/>
        <v>2020</v>
      </c>
      <c r="E148" s="3" t="str">
        <f t="shared" si="15"/>
        <v>Tuesday</v>
      </c>
      <c r="F148" s="4" t="str">
        <f t="shared" si="16"/>
        <v>N</v>
      </c>
      <c r="G148" s="4" t="str">
        <f>IF(COUNTIF(PublicHols[Date], A148)&gt;0, "Y", "N")</f>
        <v>N</v>
      </c>
      <c r="H148" s="3" t="str">
        <f>IFERROR(_xlfn.XLOOKUP(A148, PublicHols[Date], PublicHols[PH_Name]),"")</f>
        <v/>
      </c>
      <c r="I148" s="4" t="str">
        <f>IF(COUNTIF(EventsAll[Date], A148)&gt;0, "Y", "N")</f>
        <v>N</v>
      </c>
      <c r="J148" s="11" t="str">
        <f>IFERROR(_xlfn.XLOOKUP(A148, EventsAll[Date], EventsAll[Event]),"")</f>
        <v/>
      </c>
      <c r="K148" s="4" t="str" cm="1">
        <f t="array" ref="K148">IF(SUMPRODUCT((A148&gt;=SchoolHols[Start])*(A148&lt;=SchoolHols[End]))&gt;0,"Y","N")</f>
        <v>N</v>
      </c>
    </row>
    <row r="149" spans="1:11">
      <c r="A149" s="6">
        <f t="shared" si="17"/>
        <v>43978</v>
      </c>
      <c r="B149" s="4" t="str">
        <f t="shared" si="12"/>
        <v>27</v>
      </c>
      <c r="C149" s="4" t="str">
        <f t="shared" si="13"/>
        <v>05</v>
      </c>
      <c r="D149" s="4" t="str">
        <f t="shared" si="14"/>
        <v>2020</v>
      </c>
      <c r="E149" s="3" t="str">
        <f t="shared" si="15"/>
        <v>Wednesday</v>
      </c>
      <c r="F149" s="4" t="str">
        <f t="shared" si="16"/>
        <v>N</v>
      </c>
      <c r="G149" s="4" t="str">
        <f>IF(COUNTIF(PublicHols[Date], A149)&gt;0, "Y", "N")</f>
        <v>N</v>
      </c>
      <c r="H149" s="3" t="str">
        <f>IFERROR(_xlfn.XLOOKUP(A149, PublicHols[Date], PublicHols[PH_Name]),"")</f>
        <v/>
      </c>
      <c r="I149" s="4" t="str">
        <f>IF(COUNTIF(EventsAll[Date], A149)&gt;0, "Y", "N")</f>
        <v>N</v>
      </c>
      <c r="J149" s="11" t="str">
        <f>IFERROR(_xlfn.XLOOKUP(A149, EventsAll[Date], EventsAll[Event]),"")</f>
        <v/>
      </c>
      <c r="K149" s="4" t="str" cm="1">
        <f t="array" ref="K149">IF(SUMPRODUCT((A149&gt;=SchoolHols[Start])*(A149&lt;=SchoolHols[End]))&gt;0,"Y","N")</f>
        <v>N</v>
      </c>
    </row>
    <row r="150" spans="1:11">
      <c r="A150" s="6">
        <f t="shared" si="17"/>
        <v>43979</v>
      </c>
      <c r="B150" s="4" t="str">
        <f t="shared" si="12"/>
        <v>28</v>
      </c>
      <c r="C150" s="4" t="str">
        <f t="shared" si="13"/>
        <v>05</v>
      </c>
      <c r="D150" s="4" t="str">
        <f t="shared" si="14"/>
        <v>2020</v>
      </c>
      <c r="E150" s="3" t="str">
        <f t="shared" si="15"/>
        <v>Thursday</v>
      </c>
      <c r="F150" s="4" t="str">
        <f t="shared" si="16"/>
        <v>N</v>
      </c>
      <c r="G150" s="4" t="str">
        <f>IF(COUNTIF(PublicHols[Date], A150)&gt;0, "Y", "N")</f>
        <v>N</v>
      </c>
      <c r="H150" s="3" t="str">
        <f>IFERROR(_xlfn.XLOOKUP(A150, PublicHols[Date], PublicHols[PH_Name]),"")</f>
        <v/>
      </c>
      <c r="I150" s="4" t="str">
        <f>IF(COUNTIF(EventsAll[Date], A150)&gt;0, "Y", "N")</f>
        <v>N</v>
      </c>
      <c r="J150" s="11" t="str">
        <f>IFERROR(_xlfn.XLOOKUP(A150, EventsAll[Date], EventsAll[Event]),"")</f>
        <v/>
      </c>
      <c r="K150" s="4" t="str" cm="1">
        <f t="array" ref="K150">IF(SUMPRODUCT((A150&gt;=SchoolHols[Start])*(A150&lt;=SchoolHols[End]))&gt;0,"Y","N")</f>
        <v>N</v>
      </c>
    </row>
    <row r="151" spans="1:11">
      <c r="A151" s="6">
        <f t="shared" si="17"/>
        <v>43980</v>
      </c>
      <c r="B151" s="4" t="str">
        <f t="shared" si="12"/>
        <v>29</v>
      </c>
      <c r="C151" s="4" t="str">
        <f t="shared" si="13"/>
        <v>05</v>
      </c>
      <c r="D151" s="4" t="str">
        <f t="shared" si="14"/>
        <v>2020</v>
      </c>
      <c r="E151" s="3" t="str">
        <f t="shared" si="15"/>
        <v>Friday</v>
      </c>
      <c r="F151" s="4" t="str">
        <f t="shared" si="16"/>
        <v>N</v>
      </c>
      <c r="G151" s="4" t="str">
        <f>IF(COUNTIF(PublicHols[Date], A151)&gt;0, "Y", "N")</f>
        <v>N</v>
      </c>
      <c r="H151" s="3" t="str">
        <f>IFERROR(_xlfn.XLOOKUP(A151, PublicHols[Date], PublicHols[PH_Name]),"")</f>
        <v/>
      </c>
      <c r="I151" s="4" t="str">
        <f>IF(COUNTIF(EventsAll[Date], A151)&gt;0, "Y", "N")</f>
        <v>N</v>
      </c>
      <c r="J151" s="11" t="str">
        <f>IFERROR(_xlfn.XLOOKUP(A151, EventsAll[Date], EventsAll[Event]),"")</f>
        <v/>
      </c>
      <c r="K151" s="4" t="str" cm="1">
        <f t="array" ref="K151">IF(SUMPRODUCT((A151&gt;=SchoolHols[Start])*(A151&lt;=SchoolHols[End]))&gt;0,"Y","N")</f>
        <v>N</v>
      </c>
    </row>
    <row r="152" spans="1:11">
      <c r="A152" s="6">
        <f t="shared" si="17"/>
        <v>43981</v>
      </c>
      <c r="B152" s="4" t="str">
        <f t="shared" si="12"/>
        <v>30</v>
      </c>
      <c r="C152" s="4" t="str">
        <f t="shared" si="13"/>
        <v>05</v>
      </c>
      <c r="D152" s="4" t="str">
        <f t="shared" si="14"/>
        <v>2020</v>
      </c>
      <c r="E152" s="3" t="str">
        <f t="shared" si="15"/>
        <v>Saturday</v>
      </c>
      <c r="F152" s="4" t="str">
        <f t="shared" si="16"/>
        <v>N</v>
      </c>
      <c r="G152" s="4" t="str">
        <f>IF(COUNTIF(PublicHols[Date], A152)&gt;0, "Y", "N")</f>
        <v>N</v>
      </c>
      <c r="H152" s="3" t="str">
        <f>IFERROR(_xlfn.XLOOKUP(A152, PublicHols[Date], PublicHols[PH_Name]),"")</f>
        <v/>
      </c>
      <c r="I152" s="4" t="str">
        <f>IF(COUNTIF(EventsAll[Date], A152)&gt;0, "Y", "N")</f>
        <v>N</v>
      </c>
      <c r="J152" s="11" t="str">
        <f>IFERROR(_xlfn.XLOOKUP(A152, EventsAll[Date], EventsAll[Event]),"")</f>
        <v/>
      </c>
      <c r="K152" s="4" t="str" cm="1">
        <f t="array" ref="K152">IF(SUMPRODUCT((A152&gt;=SchoolHols[Start])*(A152&lt;=SchoolHols[End]))&gt;0,"Y","N")</f>
        <v>N</v>
      </c>
    </row>
    <row r="153" spans="1:11">
      <c r="A153" s="6">
        <f t="shared" si="17"/>
        <v>43982</v>
      </c>
      <c r="B153" s="4" t="str">
        <f t="shared" si="12"/>
        <v>31</v>
      </c>
      <c r="C153" s="4" t="str">
        <f t="shared" si="13"/>
        <v>05</v>
      </c>
      <c r="D153" s="4" t="str">
        <f t="shared" si="14"/>
        <v>2020</v>
      </c>
      <c r="E153" s="3" t="str">
        <f t="shared" si="15"/>
        <v>Sunday</v>
      </c>
      <c r="F153" s="4" t="str">
        <f t="shared" si="16"/>
        <v>Y</v>
      </c>
      <c r="G153" s="4" t="str">
        <f>IF(COUNTIF(PublicHols[Date], A153)&gt;0, "Y", "N")</f>
        <v>N</v>
      </c>
      <c r="H153" s="3" t="str">
        <f>IFERROR(_xlfn.XLOOKUP(A153, PublicHols[Date], PublicHols[PH_Name]),"")</f>
        <v/>
      </c>
      <c r="I153" s="4" t="str">
        <f>IF(COUNTIF(EventsAll[Date], A153)&gt;0, "Y", "N")</f>
        <v>N</v>
      </c>
      <c r="J153" s="11" t="str">
        <f>IFERROR(_xlfn.XLOOKUP(A153, EventsAll[Date], EventsAll[Event]),"")</f>
        <v/>
      </c>
      <c r="K153" s="4" t="str" cm="1">
        <f t="array" ref="K153">IF(SUMPRODUCT((A153&gt;=SchoolHols[Start])*(A153&lt;=SchoolHols[End]))&gt;0,"Y","N")</f>
        <v>N</v>
      </c>
    </row>
    <row r="154" spans="1:11">
      <c r="A154" s="6">
        <f t="shared" si="17"/>
        <v>43983</v>
      </c>
      <c r="B154" s="4" t="str">
        <f t="shared" si="12"/>
        <v>01</v>
      </c>
      <c r="C154" s="4" t="str">
        <f t="shared" si="13"/>
        <v>06</v>
      </c>
      <c r="D154" s="4" t="str">
        <f t="shared" si="14"/>
        <v>2020</v>
      </c>
      <c r="E154" s="3" t="str">
        <f t="shared" si="15"/>
        <v>Monday</v>
      </c>
      <c r="F154" s="4" t="str">
        <f t="shared" si="16"/>
        <v>N</v>
      </c>
      <c r="G154" s="4" t="str">
        <f>IF(COUNTIF(PublicHols[Date], A154)&gt;0, "Y", "N")</f>
        <v>N</v>
      </c>
      <c r="H154" s="3" t="str">
        <f>IFERROR(_xlfn.XLOOKUP(A154, PublicHols[Date], PublicHols[PH_Name]),"")</f>
        <v/>
      </c>
      <c r="I154" s="4" t="str">
        <f>IF(COUNTIF(EventsAll[Date], A154)&gt;0, "Y", "N")</f>
        <v>N</v>
      </c>
      <c r="J154" s="11" t="str">
        <f>IFERROR(_xlfn.XLOOKUP(A154, EventsAll[Date], EventsAll[Event]),"")</f>
        <v/>
      </c>
      <c r="K154" s="4" t="str" cm="1">
        <f t="array" ref="K154">IF(SUMPRODUCT((A154&gt;=SchoolHols[Start])*(A154&lt;=SchoolHols[End]))&gt;0,"Y","N")</f>
        <v>N</v>
      </c>
    </row>
    <row r="155" spans="1:11">
      <c r="A155" s="6">
        <f t="shared" si="17"/>
        <v>43984</v>
      </c>
      <c r="B155" s="4" t="str">
        <f t="shared" si="12"/>
        <v>02</v>
      </c>
      <c r="C155" s="4" t="str">
        <f t="shared" si="13"/>
        <v>06</v>
      </c>
      <c r="D155" s="4" t="str">
        <f t="shared" si="14"/>
        <v>2020</v>
      </c>
      <c r="E155" s="3" t="str">
        <f t="shared" si="15"/>
        <v>Tuesday</v>
      </c>
      <c r="F155" s="4" t="str">
        <f t="shared" si="16"/>
        <v>N</v>
      </c>
      <c r="G155" s="4" t="str">
        <f>IF(COUNTIF(PublicHols[Date], A155)&gt;0, "Y", "N")</f>
        <v>N</v>
      </c>
      <c r="H155" s="3" t="str">
        <f>IFERROR(_xlfn.XLOOKUP(A155, PublicHols[Date], PublicHols[PH_Name]),"")</f>
        <v/>
      </c>
      <c r="I155" s="4" t="str">
        <f>IF(COUNTIF(EventsAll[Date], A155)&gt;0, "Y", "N")</f>
        <v>N</v>
      </c>
      <c r="J155" s="11" t="str">
        <f>IFERROR(_xlfn.XLOOKUP(A155, EventsAll[Date], EventsAll[Event]),"")</f>
        <v/>
      </c>
      <c r="K155" s="4" t="str" cm="1">
        <f t="array" ref="K155">IF(SUMPRODUCT((A155&gt;=SchoolHols[Start])*(A155&lt;=SchoolHols[End]))&gt;0,"Y","N")</f>
        <v>N</v>
      </c>
    </row>
    <row r="156" spans="1:11">
      <c r="A156" s="6">
        <f t="shared" si="17"/>
        <v>43985</v>
      </c>
      <c r="B156" s="4" t="str">
        <f t="shared" si="12"/>
        <v>03</v>
      </c>
      <c r="C156" s="4" t="str">
        <f t="shared" si="13"/>
        <v>06</v>
      </c>
      <c r="D156" s="4" t="str">
        <f t="shared" si="14"/>
        <v>2020</v>
      </c>
      <c r="E156" s="3" t="str">
        <f t="shared" si="15"/>
        <v>Wednesday</v>
      </c>
      <c r="F156" s="4" t="str">
        <f t="shared" si="16"/>
        <v>N</v>
      </c>
      <c r="G156" s="4" t="str">
        <f>IF(COUNTIF(PublicHols[Date], A156)&gt;0, "Y", "N")</f>
        <v>N</v>
      </c>
      <c r="H156" s="3" t="str">
        <f>IFERROR(_xlfn.XLOOKUP(A156, PublicHols[Date], PublicHols[PH_Name]),"")</f>
        <v/>
      </c>
      <c r="I156" s="4" t="str">
        <f>IF(COUNTIF(EventsAll[Date], A156)&gt;0, "Y", "N")</f>
        <v>N</v>
      </c>
      <c r="J156" s="11" t="str">
        <f>IFERROR(_xlfn.XLOOKUP(A156, EventsAll[Date], EventsAll[Event]),"")</f>
        <v/>
      </c>
      <c r="K156" s="4" t="str" cm="1">
        <f t="array" ref="K156">IF(SUMPRODUCT((A156&gt;=SchoolHols[Start])*(A156&lt;=SchoolHols[End]))&gt;0,"Y","N")</f>
        <v>N</v>
      </c>
    </row>
    <row r="157" spans="1:11">
      <c r="A157" s="6">
        <f t="shared" si="17"/>
        <v>43986</v>
      </c>
      <c r="B157" s="4" t="str">
        <f t="shared" si="12"/>
        <v>04</v>
      </c>
      <c r="C157" s="4" t="str">
        <f t="shared" si="13"/>
        <v>06</v>
      </c>
      <c r="D157" s="4" t="str">
        <f t="shared" si="14"/>
        <v>2020</v>
      </c>
      <c r="E157" s="3" t="str">
        <f t="shared" si="15"/>
        <v>Thursday</v>
      </c>
      <c r="F157" s="4" t="str">
        <f t="shared" si="16"/>
        <v>N</v>
      </c>
      <c r="G157" s="4" t="str">
        <f>IF(COUNTIF(PublicHols[Date], A157)&gt;0, "Y", "N")</f>
        <v>N</v>
      </c>
      <c r="H157" s="3" t="str">
        <f>IFERROR(_xlfn.XLOOKUP(A157, PublicHols[Date], PublicHols[PH_Name]),"")</f>
        <v/>
      </c>
      <c r="I157" s="4" t="str">
        <f>IF(COUNTIF(EventsAll[Date], A157)&gt;0, "Y", "N")</f>
        <v>N</v>
      </c>
      <c r="J157" s="11" t="str">
        <f>IFERROR(_xlfn.XLOOKUP(A157, EventsAll[Date], EventsAll[Event]),"")</f>
        <v/>
      </c>
      <c r="K157" s="4" t="str" cm="1">
        <f t="array" ref="K157">IF(SUMPRODUCT((A157&gt;=SchoolHols[Start])*(A157&lt;=SchoolHols[End]))&gt;0,"Y","N")</f>
        <v>N</v>
      </c>
    </row>
    <row r="158" spans="1:11">
      <c r="A158" s="6">
        <f t="shared" si="17"/>
        <v>43987</v>
      </c>
      <c r="B158" s="4" t="str">
        <f t="shared" si="12"/>
        <v>05</v>
      </c>
      <c r="C158" s="4" t="str">
        <f t="shared" si="13"/>
        <v>06</v>
      </c>
      <c r="D158" s="4" t="str">
        <f t="shared" si="14"/>
        <v>2020</v>
      </c>
      <c r="E158" s="3" t="str">
        <f t="shared" si="15"/>
        <v>Friday</v>
      </c>
      <c r="F158" s="4" t="str">
        <f t="shared" si="16"/>
        <v>N</v>
      </c>
      <c r="G158" s="4" t="str">
        <f>IF(COUNTIF(PublicHols[Date], A158)&gt;0, "Y", "N")</f>
        <v>N</v>
      </c>
      <c r="H158" s="3" t="str">
        <f>IFERROR(_xlfn.XLOOKUP(A158, PublicHols[Date], PublicHols[PH_Name]),"")</f>
        <v/>
      </c>
      <c r="I158" s="4" t="str">
        <f>IF(COUNTIF(EventsAll[Date], A158)&gt;0, "Y", "N")</f>
        <v>N</v>
      </c>
      <c r="J158" s="11" t="str">
        <f>IFERROR(_xlfn.XLOOKUP(A158, EventsAll[Date], EventsAll[Event]),"")</f>
        <v/>
      </c>
      <c r="K158" s="4" t="str" cm="1">
        <f t="array" ref="K158">IF(SUMPRODUCT((A158&gt;=SchoolHols[Start])*(A158&lt;=SchoolHols[End]))&gt;0,"Y","N")</f>
        <v>N</v>
      </c>
    </row>
    <row r="159" spans="1:11">
      <c r="A159" s="6">
        <f t="shared" si="17"/>
        <v>43988</v>
      </c>
      <c r="B159" s="4" t="str">
        <f t="shared" si="12"/>
        <v>06</v>
      </c>
      <c r="C159" s="4" t="str">
        <f t="shared" si="13"/>
        <v>06</v>
      </c>
      <c r="D159" s="4" t="str">
        <f t="shared" si="14"/>
        <v>2020</v>
      </c>
      <c r="E159" s="3" t="str">
        <f t="shared" si="15"/>
        <v>Saturday</v>
      </c>
      <c r="F159" s="4" t="str">
        <f t="shared" si="16"/>
        <v>N</v>
      </c>
      <c r="G159" s="4" t="str">
        <f>IF(COUNTIF(PublicHols[Date], A159)&gt;0, "Y", "N")</f>
        <v>N</v>
      </c>
      <c r="H159" s="3" t="str">
        <f>IFERROR(_xlfn.XLOOKUP(A159, PublicHols[Date], PublicHols[PH_Name]),"")</f>
        <v/>
      </c>
      <c r="I159" s="4" t="str">
        <f>IF(COUNTIF(EventsAll[Date], A159)&gt;0, "Y", "N")</f>
        <v>N</v>
      </c>
      <c r="J159" s="11" t="str">
        <f>IFERROR(_xlfn.XLOOKUP(A159, EventsAll[Date], EventsAll[Event]),"")</f>
        <v/>
      </c>
      <c r="K159" s="4" t="str" cm="1">
        <f t="array" ref="K159">IF(SUMPRODUCT((A159&gt;=SchoolHols[Start])*(A159&lt;=SchoolHols[End]))&gt;0,"Y","N")</f>
        <v>N</v>
      </c>
    </row>
    <row r="160" spans="1:11">
      <c r="A160" s="6">
        <f t="shared" si="17"/>
        <v>43989</v>
      </c>
      <c r="B160" s="4" t="str">
        <f t="shared" si="12"/>
        <v>07</v>
      </c>
      <c r="C160" s="4" t="str">
        <f t="shared" si="13"/>
        <v>06</v>
      </c>
      <c r="D160" s="4" t="str">
        <f t="shared" si="14"/>
        <v>2020</v>
      </c>
      <c r="E160" s="3" t="str">
        <f t="shared" si="15"/>
        <v>Sunday</v>
      </c>
      <c r="F160" s="4" t="str">
        <f t="shared" si="16"/>
        <v>Y</v>
      </c>
      <c r="G160" s="4" t="str">
        <f>IF(COUNTIF(PublicHols[Date], A160)&gt;0, "Y", "N")</f>
        <v>N</v>
      </c>
      <c r="H160" s="3" t="str">
        <f>IFERROR(_xlfn.XLOOKUP(A160, PublicHols[Date], PublicHols[PH_Name]),"")</f>
        <v/>
      </c>
      <c r="I160" s="4" t="str">
        <f>IF(COUNTIF(EventsAll[Date], A160)&gt;0, "Y", "N")</f>
        <v>N</v>
      </c>
      <c r="J160" s="11" t="str">
        <f>IFERROR(_xlfn.XLOOKUP(A160, EventsAll[Date], EventsAll[Event]),"")</f>
        <v/>
      </c>
      <c r="K160" s="4" t="str" cm="1">
        <f t="array" ref="K160">IF(SUMPRODUCT((A160&gt;=SchoolHols[Start])*(A160&lt;=SchoolHols[End]))&gt;0,"Y","N")</f>
        <v>N</v>
      </c>
    </row>
    <row r="161" spans="1:11">
      <c r="A161" s="6">
        <f t="shared" si="17"/>
        <v>43990</v>
      </c>
      <c r="B161" s="4" t="str">
        <f t="shared" si="12"/>
        <v>08</v>
      </c>
      <c r="C161" s="4" t="str">
        <f t="shared" si="13"/>
        <v>06</v>
      </c>
      <c r="D161" s="4" t="str">
        <f t="shared" si="14"/>
        <v>2020</v>
      </c>
      <c r="E161" s="3" t="str">
        <f t="shared" si="15"/>
        <v>Monday</v>
      </c>
      <c r="F161" s="4" t="str">
        <f t="shared" si="16"/>
        <v>N</v>
      </c>
      <c r="G161" s="4" t="str">
        <f>IF(COUNTIF(PublicHols[Date], A161)&gt;0, "Y", "N")</f>
        <v>N</v>
      </c>
      <c r="H161" s="3" t="str">
        <f>IFERROR(_xlfn.XLOOKUP(A161, PublicHols[Date], PublicHols[PH_Name]),"")</f>
        <v/>
      </c>
      <c r="I161" s="4" t="str">
        <f>IF(COUNTIF(EventsAll[Date], A161)&gt;0, "Y", "N")</f>
        <v>N</v>
      </c>
      <c r="J161" s="11" t="str">
        <f>IFERROR(_xlfn.XLOOKUP(A161, EventsAll[Date], EventsAll[Event]),"")</f>
        <v/>
      </c>
      <c r="K161" s="4" t="str" cm="1">
        <f t="array" ref="K161">IF(SUMPRODUCT((A161&gt;=SchoolHols[Start])*(A161&lt;=SchoolHols[End]))&gt;0,"Y","N")</f>
        <v>N</v>
      </c>
    </row>
    <row r="162" spans="1:11">
      <c r="A162" s="6">
        <f t="shared" si="17"/>
        <v>43991</v>
      </c>
      <c r="B162" s="4" t="str">
        <f t="shared" si="12"/>
        <v>09</v>
      </c>
      <c r="C162" s="4" t="str">
        <f t="shared" si="13"/>
        <v>06</v>
      </c>
      <c r="D162" s="4" t="str">
        <f t="shared" si="14"/>
        <v>2020</v>
      </c>
      <c r="E162" s="3" t="str">
        <f t="shared" si="15"/>
        <v>Tuesday</v>
      </c>
      <c r="F162" s="4" t="str">
        <f t="shared" si="16"/>
        <v>N</v>
      </c>
      <c r="G162" s="4" t="str">
        <f>IF(COUNTIF(PublicHols[Date], A162)&gt;0, "Y", "N")</f>
        <v>N</v>
      </c>
      <c r="H162" s="3" t="str">
        <f>IFERROR(_xlfn.XLOOKUP(A162, PublicHols[Date], PublicHols[PH_Name]),"")</f>
        <v/>
      </c>
      <c r="I162" s="4" t="str">
        <f>IF(COUNTIF(EventsAll[Date], A162)&gt;0, "Y", "N")</f>
        <v>N</v>
      </c>
      <c r="J162" s="11" t="str">
        <f>IFERROR(_xlfn.XLOOKUP(A162, EventsAll[Date], EventsAll[Event]),"")</f>
        <v/>
      </c>
      <c r="K162" s="4" t="str" cm="1">
        <f t="array" ref="K162">IF(SUMPRODUCT((A162&gt;=SchoolHols[Start])*(A162&lt;=SchoolHols[End]))&gt;0,"Y","N")</f>
        <v>N</v>
      </c>
    </row>
    <row r="163" spans="1:11">
      <c r="A163" s="6">
        <f t="shared" si="17"/>
        <v>43992</v>
      </c>
      <c r="B163" s="4" t="str">
        <f t="shared" si="12"/>
        <v>10</v>
      </c>
      <c r="C163" s="4" t="str">
        <f t="shared" si="13"/>
        <v>06</v>
      </c>
      <c r="D163" s="4" t="str">
        <f t="shared" si="14"/>
        <v>2020</v>
      </c>
      <c r="E163" s="3" t="str">
        <f t="shared" si="15"/>
        <v>Wednesday</v>
      </c>
      <c r="F163" s="4" t="str">
        <f t="shared" si="16"/>
        <v>N</v>
      </c>
      <c r="G163" s="4" t="str">
        <f>IF(COUNTIF(PublicHols[Date], A163)&gt;0, "Y", "N")</f>
        <v>N</v>
      </c>
      <c r="H163" s="3" t="str">
        <f>IFERROR(_xlfn.XLOOKUP(A163, PublicHols[Date], PublicHols[PH_Name]),"")</f>
        <v/>
      </c>
      <c r="I163" s="4" t="str">
        <f>IF(COUNTIF(EventsAll[Date], A163)&gt;0, "Y", "N")</f>
        <v>N</v>
      </c>
      <c r="J163" s="11" t="str">
        <f>IFERROR(_xlfn.XLOOKUP(A163, EventsAll[Date], EventsAll[Event]),"")</f>
        <v/>
      </c>
      <c r="K163" s="4" t="str" cm="1">
        <f t="array" ref="K163">IF(SUMPRODUCT((A163&gt;=SchoolHols[Start])*(A163&lt;=SchoolHols[End]))&gt;0,"Y","N")</f>
        <v>N</v>
      </c>
    </row>
    <row r="164" spans="1:11">
      <c r="A164" s="6">
        <f t="shared" si="17"/>
        <v>43993</v>
      </c>
      <c r="B164" s="4" t="str">
        <f t="shared" si="12"/>
        <v>11</v>
      </c>
      <c r="C164" s="4" t="str">
        <f t="shared" si="13"/>
        <v>06</v>
      </c>
      <c r="D164" s="4" t="str">
        <f t="shared" si="14"/>
        <v>2020</v>
      </c>
      <c r="E164" s="3" t="str">
        <f t="shared" si="15"/>
        <v>Thursday</v>
      </c>
      <c r="F164" s="4" t="str">
        <f t="shared" si="16"/>
        <v>N</v>
      </c>
      <c r="G164" s="4" t="str">
        <f>IF(COUNTIF(PublicHols[Date], A164)&gt;0, "Y", "N")</f>
        <v>N</v>
      </c>
      <c r="H164" s="3" t="str">
        <f>IFERROR(_xlfn.XLOOKUP(A164, PublicHols[Date], PublicHols[PH_Name]),"")</f>
        <v/>
      </c>
      <c r="I164" s="4" t="str">
        <f>IF(COUNTIF(EventsAll[Date], A164)&gt;0, "Y", "N")</f>
        <v>N</v>
      </c>
      <c r="J164" s="11" t="str">
        <f>IFERROR(_xlfn.XLOOKUP(A164, EventsAll[Date], EventsAll[Event]),"")</f>
        <v/>
      </c>
      <c r="K164" s="4" t="str" cm="1">
        <f t="array" ref="K164">IF(SUMPRODUCT((A164&gt;=SchoolHols[Start])*(A164&lt;=SchoolHols[End]))&gt;0,"Y","N")</f>
        <v>N</v>
      </c>
    </row>
    <row r="165" spans="1:11">
      <c r="A165" s="6">
        <f t="shared" si="17"/>
        <v>43994</v>
      </c>
      <c r="B165" s="4" t="str">
        <f t="shared" si="12"/>
        <v>12</v>
      </c>
      <c r="C165" s="4" t="str">
        <f t="shared" si="13"/>
        <v>06</v>
      </c>
      <c r="D165" s="4" t="str">
        <f t="shared" si="14"/>
        <v>2020</v>
      </c>
      <c r="E165" s="3" t="str">
        <f t="shared" si="15"/>
        <v>Friday</v>
      </c>
      <c r="F165" s="4" t="str">
        <f t="shared" si="16"/>
        <v>N</v>
      </c>
      <c r="G165" s="4" t="str">
        <f>IF(COUNTIF(PublicHols[Date], A165)&gt;0, "Y", "N")</f>
        <v>N</v>
      </c>
      <c r="H165" s="3" t="str">
        <f>IFERROR(_xlfn.XLOOKUP(A165, PublicHols[Date], PublicHols[PH_Name]),"")</f>
        <v/>
      </c>
      <c r="I165" s="4" t="str">
        <f>IF(COUNTIF(EventsAll[Date], A165)&gt;0, "Y", "N")</f>
        <v>N</v>
      </c>
      <c r="J165" s="11" t="str">
        <f>IFERROR(_xlfn.XLOOKUP(A165, EventsAll[Date], EventsAll[Event]),"")</f>
        <v/>
      </c>
      <c r="K165" s="4" t="str" cm="1">
        <f t="array" ref="K165">IF(SUMPRODUCT((A165&gt;=SchoolHols[Start])*(A165&lt;=SchoolHols[End]))&gt;0,"Y","N")</f>
        <v>N</v>
      </c>
    </row>
    <row r="166" spans="1:11">
      <c r="A166" s="6">
        <f t="shared" si="17"/>
        <v>43995</v>
      </c>
      <c r="B166" s="4" t="str">
        <f t="shared" si="12"/>
        <v>13</v>
      </c>
      <c r="C166" s="4" t="str">
        <f t="shared" si="13"/>
        <v>06</v>
      </c>
      <c r="D166" s="4" t="str">
        <f t="shared" si="14"/>
        <v>2020</v>
      </c>
      <c r="E166" s="3" t="str">
        <f t="shared" si="15"/>
        <v>Saturday</v>
      </c>
      <c r="F166" s="4" t="str">
        <f t="shared" si="16"/>
        <v>N</v>
      </c>
      <c r="G166" s="4" t="str">
        <f>IF(COUNTIF(PublicHols[Date], A166)&gt;0, "Y", "N")</f>
        <v>N</v>
      </c>
      <c r="H166" s="3" t="str">
        <f>IFERROR(_xlfn.XLOOKUP(A166, PublicHols[Date], PublicHols[PH_Name]),"")</f>
        <v/>
      </c>
      <c r="I166" s="4" t="str">
        <f>IF(COUNTIF(EventsAll[Date], A166)&gt;0, "Y", "N")</f>
        <v>N</v>
      </c>
      <c r="J166" s="11" t="str">
        <f>IFERROR(_xlfn.XLOOKUP(A166, EventsAll[Date], EventsAll[Event]),"")</f>
        <v/>
      </c>
      <c r="K166" s="4" t="str" cm="1">
        <f t="array" ref="K166">IF(SUMPRODUCT((A166&gt;=SchoolHols[Start])*(A166&lt;=SchoolHols[End]))&gt;0,"Y","N")</f>
        <v>N</v>
      </c>
    </row>
    <row r="167" spans="1:11">
      <c r="A167" s="6">
        <f t="shared" si="17"/>
        <v>43996</v>
      </c>
      <c r="B167" s="4" t="str">
        <f t="shared" si="12"/>
        <v>14</v>
      </c>
      <c r="C167" s="4" t="str">
        <f t="shared" si="13"/>
        <v>06</v>
      </c>
      <c r="D167" s="4" t="str">
        <f t="shared" si="14"/>
        <v>2020</v>
      </c>
      <c r="E167" s="3" t="str">
        <f t="shared" si="15"/>
        <v>Sunday</v>
      </c>
      <c r="F167" s="4" t="str">
        <f t="shared" si="16"/>
        <v>Y</v>
      </c>
      <c r="G167" s="4" t="str">
        <f>IF(COUNTIF(PublicHols[Date], A167)&gt;0, "Y", "N")</f>
        <v>N</v>
      </c>
      <c r="H167" s="3" t="str">
        <f>IFERROR(_xlfn.XLOOKUP(A167, PublicHols[Date], PublicHols[PH_Name]),"")</f>
        <v/>
      </c>
      <c r="I167" s="4" t="str">
        <f>IF(COUNTIF(EventsAll[Date], A167)&gt;0, "Y", "N")</f>
        <v>N</v>
      </c>
      <c r="J167" s="11" t="str">
        <f>IFERROR(_xlfn.XLOOKUP(A167, EventsAll[Date], EventsAll[Event]),"")</f>
        <v/>
      </c>
      <c r="K167" s="4" t="str" cm="1">
        <f t="array" ref="K167">IF(SUMPRODUCT((A167&gt;=SchoolHols[Start])*(A167&lt;=SchoolHols[End]))&gt;0,"Y","N")</f>
        <v>N</v>
      </c>
    </row>
    <row r="168" spans="1:11">
      <c r="A168" s="6">
        <f t="shared" si="17"/>
        <v>43997</v>
      </c>
      <c r="B168" s="4" t="str">
        <f t="shared" si="12"/>
        <v>15</v>
      </c>
      <c r="C168" s="4" t="str">
        <f t="shared" si="13"/>
        <v>06</v>
      </c>
      <c r="D168" s="4" t="str">
        <f t="shared" si="14"/>
        <v>2020</v>
      </c>
      <c r="E168" s="3" t="str">
        <f t="shared" si="15"/>
        <v>Monday</v>
      </c>
      <c r="F168" s="4" t="str">
        <f t="shared" si="16"/>
        <v>N</v>
      </c>
      <c r="G168" s="4" t="str">
        <f>IF(COUNTIF(PublicHols[Date], A168)&gt;0, "Y", "N")</f>
        <v>N</v>
      </c>
      <c r="H168" s="3" t="str">
        <f>IFERROR(_xlfn.XLOOKUP(A168, PublicHols[Date], PublicHols[PH_Name]),"")</f>
        <v/>
      </c>
      <c r="I168" s="4" t="str">
        <f>IF(COUNTIF(EventsAll[Date], A168)&gt;0, "Y", "N")</f>
        <v>N</v>
      </c>
      <c r="J168" s="11" t="str">
        <f>IFERROR(_xlfn.XLOOKUP(A168, EventsAll[Date], EventsAll[Event]),"")</f>
        <v/>
      </c>
      <c r="K168" s="4" t="str" cm="1">
        <f t="array" ref="K168">IF(SUMPRODUCT((A168&gt;=SchoolHols[Start])*(A168&lt;=SchoolHols[End]))&gt;0,"Y","N")</f>
        <v>N</v>
      </c>
    </row>
    <row r="169" spans="1:11">
      <c r="A169" s="6">
        <f t="shared" si="17"/>
        <v>43998</v>
      </c>
      <c r="B169" s="4" t="str">
        <f t="shared" si="12"/>
        <v>16</v>
      </c>
      <c r="C169" s="4" t="str">
        <f t="shared" si="13"/>
        <v>06</v>
      </c>
      <c r="D169" s="4" t="str">
        <f t="shared" si="14"/>
        <v>2020</v>
      </c>
      <c r="E169" s="3" t="str">
        <f t="shared" si="15"/>
        <v>Tuesday</v>
      </c>
      <c r="F169" s="4" t="str">
        <f t="shared" si="16"/>
        <v>N</v>
      </c>
      <c r="G169" s="4" t="str">
        <f>IF(COUNTIF(PublicHols[Date], A169)&gt;0, "Y", "N")</f>
        <v>Y</v>
      </c>
      <c r="H169" s="3" t="str">
        <f>IFERROR(_xlfn.XLOOKUP(A169, PublicHols[Date], PublicHols[PH_Name]),"")</f>
        <v>Youth Day</v>
      </c>
      <c r="I169" s="4" t="str">
        <f>IF(COUNTIF(EventsAll[Date], A169)&gt;0, "Y", "N")</f>
        <v>N</v>
      </c>
      <c r="J169" s="11" t="str">
        <f>IFERROR(_xlfn.XLOOKUP(A169, EventsAll[Date], EventsAll[Event]),"")</f>
        <v/>
      </c>
      <c r="K169" s="4" t="str" cm="1">
        <f t="array" ref="K169">IF(SUMPRODUCT((A169&gt;=SchoolHols[Start])*(A169&lt;=SchoolHols[End]))&gt;0,"Y","N")</f>
        <v>N</v>
      </c>
    </row>
    <row r="170" spans="1:11">
      <c r="A170" s="6">
        <f t="shared" si="17"/>
        <v>43999</v>
      </c>
      <c r="B170" s="4" t="str">
        <f t="shared" si="12"/>
        <v>17</v>
      </c>
      <c r="C170" s="4" t="str">
        <f t="shared" si="13"/>
        <v>06</v>
      </c>
      <c r="D170" s="4" t="str">
        <f t="shared" si="14"/>
        <v>2020</v>
      </c>
      <c r="E170" s="3" t="str">
        <f t="shared" si="15"/>
        <v>Wednesday</v>
      </c>
      <c r="F170" s="4" t="str">
        <f t="shared" si="16"/>
        <v>N</v>
      </c>
      <c r="G170" s="4" t="str">
        <f>IF(COUNTIF(PublicHols[Date], A170)&gt;0, "Y", "N")</f>
        <v>N</v>
      </c>
      <c r="H170" s="3" t="str">
        <f>IFERROR(_xlfn.XLOOKUP(A170, PublicHols[Date], PublicHols[PH_Name]),"")</f>
        <v/>
      </c>
      <c r="I170" s="4" t="str">
        <f>IF(COUNTIF(EventsAll[Date], A170)&gt;0, "Y", "N")</f>
        <v>N</v>
      </c>
      <c r="J170" s="11" t="str">
        <f>IFERROR(_xlfn.XLOOKUP(A170, EventsAll[Date], EventsAll[Event]),"")</f>
        <v/>
      </c>
      <c r="K170" s="4" t="str" cm="1">
        <f t="array" ref="K170">IF(SUMPRODUCT((A170&gt;=SchoolHols[Start])*(A170&lt;=SchoolHols[End]))&gt;0,"Y","N")</f>
        <v>N</v>
      </c>
    </row>
    <row r="171" spans="1:11">
      <c r="A171" s="6">
        <f t="shared" si="17"/>
        <v>44000</v>
      </c>
      <c r="B171" s="4" t="str">
        <f t="shared" si="12"/>
        <v>18</v>
      </c>
      <c r="C171" s="4" t="str">
        <f t="shared" si="13"/>
        <v>06</v>
      </c>
      <c r="D171" s="4" t="str">
        <f t="shared" si="14"/>
        <v>2020</v>
      </c>
      <c r="E171" s="3" t="str">
        <f t="shared" si="15"/>
        <v>Thursday</v>
      </c>
      <c r="F171" s="4" t="str">
        <f t="shared" si="16"/>
        <v>N</v>
      </c>
      <c r="G171" s="4" t="str">
        <f>IF(COUNTIF(PublicHols[Date], A171)&gt;0, "Y", "N")</f>
        <v>N</v>
      </c>
      <c r="H171" s="3" t="str">
        <f>IFERROR(_xlfn.XLOOKUP(A171, PublicHols[Date], PublicHols[PH_Name]),"")</f>
        <v/>
      </c>
      <c r="I171" s="4" t="str">
        <f>IF(COUNTIF(EventsAll[Date], A171)&gt;0, "Y", "N")</f>
        <v>N</v>
      </c>
      <c r="J171" s="11" t="str">
        <f>IFERROR(_xlfn.XLOOKUP(A171, EventsAll[Date], EventsAll[Event]),"")</f>
        <v/>
      </c>
      <c r="K171" s="4" t="str" cm="1">
        <f t="array" ref="K171">IF(SUMPRODUCT((A171&gt;=SchoolHols[Start])*(A171&lt;=SchoolHols[End]))&gt;0,"Y","N")</f>
        <v>N</v>
      </c>
    </row>
    <row r="172" spans="1:11">
      <c r="A172" s="6">
        <f t="shared" si="17"/>
        <v>44001</v>
      </c>
      <c r="B172" s="4" t="str">
        <f t="shared" si="12"/>
        <v>19</v>
      </c>
      <c r="C172" s="4" t="str">
        <f t="shared" si="13"/>
        <v>06</v>
      </c>
      <c r="D172" s="4" t="str">
        <f t="shared" si="14"/>
        <v>2020</v>
      </c>
      <c r="E172" s="3" t="str">
        <f t="shared" si="15"/>
        <v>Friday</v>
      </c>
      <c r="F172" s="4" t="str">
        <f t="shared" si="16"/>
        <v>N</v>
      </c>
      <c r="G172" s="4" t="str">
        <f>IF(COUNTIF(PublicHols[Date], A172)&gt;0, "Y", "N")</f>
        <v>N</v>
      </c>
      <c r="H172" s="3" t="str">
        <f>IFERROR(_xlfn.XLOOKUP(A172, PublicHols[Date], PublicHols[PH_Name]),"")</f>
        <v/>
      </c>
      <c r="I172" s="4" t="str">
        <f>IF(COUNTIF(EventsAll[Date], A172)&gt;0, "Y", "N")</f>
        <v>N</v>
      </c>
      <c r="J172" s="11" t="str">
        <f>IFERROR(_xlfn.XLOOKUP(A172, EventsAll[Date], EventsAll[Event]),"")</f>
        <v/>
      </c>
      <c r="K172" s="4" t="str" cm="1">
        <f t="array" ref="K172">IF(SUMPRODUCT((A172&gt;=SchoolHols[Start])*(A172&lt;=SchoolHols[End]))&gt;0,"Y","N")</f>
        <v>N</v>
      </c>
    </row>
    <row r="173" spans="1:11">
      <c r="A173" s="6">
        <f t="shared" si="17"/>
        <v>44002</v>
      </c>
      <c r="B173" s="4" t="str">
        <f t="shared" si="12"/>
        <v>20</v>
      </c>
      <c r="C173" s="4" t="str">
        <f t="shared" si="13"/>
        <v>06</v>
      </c>
      <c r="D173" s="4" t="str">
        <f t="shared" si="14"/>
        <v>2020</v>
      </c>
      <c r="E173" s="3" t="str">
        <f t="shared" si="15"/>
        <v>Saturday</v>
      </c>
      <c r="F173" s="4" t="str">
        <f t="shared" si="16"/>
        <v>N</v>
      </c>
      <c r="G173" s="4" t="str">
        <f>IF(COUNTIF(PublicHols[Date], A173)&gt;0, "Y", "N")</f>
        <v>N</v>
      </c>
      <c r="H173" s="3" t="str">
        <f>IFERROR(_xlfn.XLOOKUP(A173, PublicHols[Date], PublicHols[PH_Name]),"")</f>
        <v/>
      </c>
      <c r="I173" s="4" t="str">
        <f>IF(COUNTIF(EventsAll[Date], A173)&gt;0, "Y", "N")</f>
        <v>N</v>
      </c>
      <c r="J173" s="11" t="str">
        <f>IFERROR(_xlfn.XLOOKUP(A173, EventsAll[Date], EventsAll[Event]),"")</f>
        <v/>
      </c>
      <c r="K173" s="4" t="str" cm="1">
        <f t="array" ref="K173">IF(SUMPRODUCT((A173&gt;=SchoolHols[Start])*(A173&lt;=SchoolHols[End]))&gt;0,"Y","N")</f>
        <v>N</v>
      </c>
    </row>
    <row r="174" spans="1:11">
      <c r="A174" s="6">
        <f t="shared" si="17"/>
        <v>44003</v>
      </c>
      <c r="B174" s="4" t="str">
        <f t="shared" si="12"/>
        <v>21</v>
      </c>
      <c r="C174" s="4" t="str">
        <f t="shared" si="13"/>
        <v>06</v>
      </c>
      <c r="D174" s="4" t="str">
        <f t="shared" si="14"/>
        <v>2020</v>
      </c>
      <c r="E174" s="3" t="str">
        <f t="shared" si="15"/>
        <v>Sunday</v>
      </c>
      <c r="F174" s="4" t="str">
        <f t="shared" si="16"/>
        <v>Y</v>
      </c>
      <c r="G174" s="4" t="str">
        <f>IF(COUNTIF(PublicHols[Date], A174)&gt;0, "Y", "N")</f>
        <v>N</v>
      </c>
      <c r="H174" s="3" t="str">
        <f>IFERROR(_xlfn.XLOOKUP(A174, PublicHols[Date], PublicHols[PH_Name]),"")</f>
        <v/>
      </c>
      <c r="I174" s="4" t="str">
        <f>IF(COUNTIF(EventsAll[Date], A174)&gt;0, "Y", "N")</f>
        <v>Y</v>
      </c>
      <c r="J174" s="11" t="str">
        <f>IFERROR(_xlfn.XLOOKUP(A174, EventsAll[Date], EventsAll[Event]),"")</f>
        <v xml:space="preserve"> Father's Day</v>
      </c>
      <c r="K174" s="4" t="str" cm="1">
        <f t="array" ref="K174">IF(SUMPRODUCT((A174&gt;=SchoolHols[Start])*(A174&lt;=SchoolHols[End]))&gt;0,"Y","N")</f>
        <v>N</v>
      </c>
    </row>
    <row r="175" spans="1:11">
      <c r="A175" s="6">
        <f t="shared" si="17"/>
        <v>44004</v>
      </c>
      <c r="B175" s="4" t="str">
        <f t="shared" si="12"/>
        <v>22</v>
      </c>
      <c r="C175" s="4" t="str">
        <f t="shared" si="13"/>
        <v>06</v>
      </c>
      <c r="D175" s="4" t="str">
        <f t="shared" si="14"/>
        <v>2020</v>
      </c>
      <c r="E175" s="3" t="str">
        <f t="shared" si="15"/>
        <v>Monday</v>
      </c>
      <c r="F175" s="4" t="str">
        <f t="shared" si="16"/>
        <v>N</v>
      </c>
      <c r="G175" s="4" t="str">
        <f>IF(COUNTIF(PublicHols[Date], A175)&gt;0, "Y", "N")</f>
        <v>N</v>
      </c>
      <c r="H175" s="3" t="str">
        <f>IFERROR(_xlfn.XLOOKUP(A175, PublicHols[Date], PublicHols[PH_Name]),"")</f>
        <v/>
      </c>
      <c r="I175" s="4" t="str">
        <f>IF(COUNTIF(EventsAll[Date], A175)&gt;0, "Y", "N")</f>
        <v>N</v>
      </c>
      <c r="J175" s="11" t="str">
        <f>IFERROR(_xlfn.XLOOKUP(A175, EventsAll[Date], EventsAll[Event]),"")</f>
        <v/>
      </c>
      <c r="K175" s="4" t="str" cm="1">
        <f t="array" ref="K175">IF(SUMPRODUCT((A175&gt;=SchoolHols[Start])*(A175&lt;=SchoolHols[End]))&gt;0,"Y","N")</f>
        <v>N</v>
      </c>
    </row>
    <row r="176" spans="1:11">
      <c r="A176" s="6">
        <f t="shared" si="17"/>
        <v>44005</v>
      </c>
      <c r="B176" s="4" t="str">
        <f t="shared" si="12"/>
        <v>23</v>
      </c>
      <c r="C176" s="4" t="str">
        <f t="shared" si="13"/>
        <v>06</v>
      </c>
      <c r="D176" s="4" t="str">
        <f t="shared" si="14"/>
        <v>2020</v>
      </c>
      <c r="E176" s="3" t="str">
        <f t="shared" si="15"/>
        <v>Tuesday</v>
      </c>
      <c r="F176" s="4" t="str">
        <f t="shared" si="16"/>
        <v>N</v>
      </c>
      <c r="G176" s="4" t="str">
        <f>IF(COUNTIF(PublicHols[Date], A176)&gt;0, "Y", "N")</f>
        <v>N</v>
      </c>
      <c r="H176" s="3" t="str">
        <f>IFERROR(_xlfn.XLOOKUP(A176, PublicHols[Date], PublicHols[PH_Name]),"")</f>
        <v/>
      </c>
      <c r="I176" s="4" t="str">
        <f>IF(COUNTIF(EventsAll[Date], A176)&gt;0, "Y", "N")</f>
        <v>N</v>
      </c>
      <c r="J176" s="11" t="str">
        <f>IFERROR(_xlfn.XLOOKUP(A176, EventsAll[Date], EventsAll[Event]),"")</f>
        <v/>
      </c>
      <c r="K176" s="4" t="str" cm="1">
        <f t="array" ref="K176">IF(SUMPRODUCT((A176&gt;=SchoolHols[Start])*(A176&lt;=SchoolHols[End]))&gt;0,"Y","N")</f>
        <v>N</v>
      </c>
    </row>
    <row r="177" spans="1:11">
      <c r="A177" s="6">
        <f t="shared" si="17"/>
        <v>44006</v>
      </c>
      <c r="B177" s="4" t="str">
        <f t="shared" si="12"/>
        <v>24</v>
      </c>
      <c r="C177" s="4" t="str">
        <f t="shared" si="13"/>
        <v>06</v>
      </c>
      <c r="D177" s="4" t="str">
        <f t="shared" si="14"/>
        <v>2020</v>
      </c>
      <c r="E177" s="3" t="str">
        <f t="shared" si="15"/>
        <v>Wednesday</v>
      </c>
      <c r="F177" s="4" t="str">
        <f t="shared" si="16"/>
        <v>N</v>
      </c>
      <c r="G177" s="4" t="str">
        <f>IF(COUNTIF(PublicHols[Date], A177)&gt;0, "Y", "N")</f>
        <v>N</v>
      </c>
      <c r="H177" s="3" t="str">
        <f>IFERROR(_xlfn.XLOOKUP(A177, PublicHols[Date], PublicHols[PH_Name]),"")</f>
        <v/>
      </c>
      <c r="I177" s="4" t="str">
        <f>IF(COUNTIF(EventsAll[Date], A177)&gt;0, "Y", "N")</f>
        <v>N</v>
      </c>
      <c r="J177" s="11" t="str">
        <f>IFERROR(_xlfn.XLOOKUP(A177, EventsAll[Date], EventsAll[Event]),"")</f>
        <v/>
      </c>
      <c r="K177" s="4" t="str" cm="1">
        <f t="array" ref="K177">IF(SUMPRODUCT((A177&gt;=SchoolHols[Start])*(A177&lt;=SchoolHols[End]))&gt;0,"Y","N")</f>
        <v>N</v>
      </c>
    </row>
    <row r="178" spans="1:11">
      <c r="A178" s="6">
        <f t="shared" si="17"/>
        <v>44007</v>
      </c>
      <c r="B178" s="4" t="str">
        <f t="shared" si="12"/>
        <v>25</v>
      </c>
      <c r="C178" s="4" t="str">
        <f t="shared" si="13"/>
        <v>06</v>
      </c>
      <c r="D178" s="4" t="str">
        <f t="shared" si="14"/>
        <v>2020</v>
      </c>
      <c r="E178" s="3" t="str">
        <f t="shared" si="15"/>
        <v>Thursday</v>
      </c>
      <c r="F178" s="4" t="str">
        <f t="shared" si="16"/>
        <v>N</v>
      </c>
      <c r="G178" s="4" t="str">
        <f>IF(COUNTIF(PublicHols[Date], A178)&gt;0, "Y", "N")</f>
        <v>N</v>
      </c>
      <c r="H178" s="3" t="str">
        <f>IFERROR(_xlfn.XLOOKUP(A178, PublicHols[Date], PublicHols[PH_Name]),"")</f>
        <v/>
      </c>
      <c r="I178" s="4" t="str">
        <f>IF(COUNTIF(EventsAll[Date], A178)&gt;0, "Y", "N")</f>
        <v>N</v>
      </c>
      <c r="J178" s="11" t="str">
        <f>IFERROR(_xlfn.XLOOKUP(A178, EventsAll[Date], EventsAll[Event]),"")</f>
        <v/>
      </c>
      <c r="K178" s="4" t="str" cm="1">
        <f t="array" ref="K178">IF(SUMPRODUCT((A178&gt;=SchoolHols[Start])*(A178&lt;=SchoolHols[End]))&gt;0,"Y","N")</f>
        <v>N</v>
      </c>
    </row>
    <row r="179" spans="1:11">
      <c r="A179" s="6">
        <f t="shared" si="17"/>
        <v>44008</v>
      </c>
      <c r="B179" s="4" t="str">
        <f t="shared" si="12"/>
        <v>26</v>
      </c>
      <c r="C179" s="4" t="str">
        <f t="shared" si="13"/>
        <v>06</v>
      </c>
      <c r="D179" s="4" t="str">
        <f t="shared" si="14"/>
        <v>2020</v>
      </c>
      <c r="E179" s="3" t="str">
        <f t="shared" si="15"/>
        <v>Friday</v>
      </c>
      <c r="F179" s="4" t="str">
        <f t="shared" si="16"/>
        <v>N</v>
      </c>
      <c r="G179" s="4" t="str">
        <f>IF(COUNTIF(PublicHols[Date], A179)&gt;0, "Y", "N")</f>
        <v>N</v>
      </c>
      <c r="H179" s="3" t="str">
        <f>IFERROR(_xlfn.XLOOKUP(A179, PublicHols[Date], PublicHols[PH_Name]),"")</f>
        <v/>
      </c>
      <c r="I179" s="4" t="str">
        <f>IF(COUNTIF(EventsAll[Date], A179)&gt;0, "Y", "N")</f>
        <v>N</v>
      </c>
      <c r="J179" s="11" t="str">
        <f>IFERROR(_xlfn.XLOOKUP(A179, EventsAll[Date], EventsAll[Event]),"")</f>
        <v/>
      </c>
      <c r="K179" s="4" t="str" cm="1">
        <f t="array" ref="K179">IF(SUMPRODUCT((A179&gt;=SchoolHols[Start])*(A179&lt;=SchoolHols[End]))&gt;0,"Y","N")</f>
        <v>N</v>
      </c>
    </row>
    <row r="180" spans="1:11">
      <c r="A180" s="6">
        <f t="shared" si="17"/>
        <v>44009</v>
      </c>
      <c r="B180" s="4" t="str">
        <f t="shared" si="12"/>
        <v>27</v>
      </c>
      <c r="C180" s="4" t="str">
        <f t="shared" si="13"/>
        <v>06</v>
      </c>
      <c r="D180" s="4" t="str">
        <f t="shared" si="14"/>
        <v>2020</v>
      </c>
      <c r="E180" s="3" t="str">
        <f t="shared" si="15"/>
        <v>Saturday</v>
      </c>
      <c r="F180" s="4" t="str">
        <f t="shared" si="16"/>
        <v>N</v>
      </c>
      <c r="G180" s="4" t="str">
        <f>IF(COUNTIF(PublicHols[Date], A180)&gt;0, "Y", "N")</f>
        <v>N</v>
      </c>
      <c r="H180" s="3" t="str">
        <f>IFERROR(_xlfn.XLOOKUP(A180, PublicHols[Date], PublicHols[PH_Name]),"")</f>
        <v/>
      </c>
      <c r="I180" s="4" t="str">
        <f>IF(COUNTIF(EventsAll[Date], A180)&gt;0, "Y", "N")</f>
        <v>N</v>
      </c>
      <c r="J180" s="11" t="str">
        <f>IFERROR(_xlfn.XLOOKUP(A180, EventsAll[Date], EventsAll[Event]),"")</f>
        <v/>
      </c>
      <c r="K180" s="4" t="str" cm="1">
        <f t="array" ref="K180">IF(SUMPRODUCT((A180&gt;=SchoolHols[Start])*(A180&lt;=SchoolHols[End]))&gt;0,"Y","N")</f>
        <v>Y</v>
      </c>
    </row>
    <row r="181" spans="1:11">
      <c r="A181" s="6">
        <f t="shared" si="17"/>
        <v>44010</v>
      </c>
      <c r="B181" s="4" t="str">
        <f t="shared" si="12"/>
        <v>28</v>
      </c>
      <c r="C181" s="4" t="str">
        <f t="shared" si="13"/>
        <v>06</v>
      </c>
      <c r="D181" s="4" t="str">
        <f t="shared" si="14"/>
        <v>2020</v>
      </c>
      <c r="E181" s="3" t="str">
        <f t="shared" si="15"/>
        <v>Sunday</v>
      </c>
      <c r="F181" s="4" t="str">
        <f t="shared" si="16"/>
        <v>Y</v>
      </c>
      <c r="G181" s="4" t="str">
        <f>IF(COUNTIF(PublicHols[Date], A181)&gt;0, "Y", "N")</f>
        <v>N</v>
      </c>
      <c r="H181" s="3" t="str">
        <f>IFERROR(_xlfn.XLOOKUP(A181, PublicHols[Date], PublicHols[PH_Name]),"")</f>
        <v/>
      </c>
      <c r="I181" s="4" t="str">
        <f>IF(COUNTIF(EventsAll[Date], A181)&gt;0, "Y", "N")</f>
        <v>N</v>
      </c>
      <c r="J181" s="11" t="str">
        <f>IFERROR(_xlfn.XLOOKUP(A181, EventsAll[Date], EventsAll[Event]),"")</f>
        <v/>
      </c>
      <c r="K181" s="4" t="str" cm="1">
        <f t="array" ref="K181">IF(SUMPRODUCT((A181&gt;=SchoolHols[Start])*(A181&lt;=SchoolHols[End]))&gt;0,"Y","N")</f>
        <v>Y</v>
      </c>
    </row>
    <row r="182" spans="1:11">
      <c r="A182" s="6">
        <f t="shared" si="17"/>
        <v>44011</v>
      </c>
      <c r="B182" s="4" t="str">
        <f t="shared" si="12"/>
        <v>29</v>
      </c>
      <c r="C182" s="4" t="str">
        <f t="shared" si="13"/>
        <v>06</v>
      </c>
      <c r="D182" s="4" t="str">
        <f t="shared" si="14"/>
        <v>2020</v>
      </c>
      <c r="E182" s="3" t="str">
        <f t="shared" si="15"/>
        <v>Monday</v>
      </c>
      <c r="F182" s="4" t="str">
        <f t="shared" si="16"/>
        <v>N</v>
      </c>
      <c r="G182" s="4" t="str">
        <f>IF(COUNTIF(PublicHols[Date], A182)&gt;0, "Y", "N")</f>
        <v>N</v>
      </c>
      <c r="H182" s="3" t="str">
        <f>IFERROR(_xlfn.XLOOKUP(A182, PublicHols[Date], PublicHols[PH_Name]),"")</f>
        <v/>
      </c>
      <c r="I182" s="4" t="str">
        <f>IF(COUNTIF(EventsAll[Date], A182)&gt;0, "Y", "N")</f>
        <v>N</v>
      </c>
      <c r="J182" s="11" t="str">
        <f>IFERROR(_xlfn.XLOOKUP(A182, EventsAll[Date], EventsAll[Event]),"")</f>
        <v/>
      </c>
      <c r="K182" s="4" t="str" cm="1">
        <f t="array" ref="K182">IF(SUMPRODUCT((A182&gt;=SchoolHols[Start])*(A182&lt;=SchoolHols[End]))&gt;0,"Y","N")</f>
        <v>Y</v>
      </c>
    </row>
    <row r="183" spans="1:11">
      <c r="A183" s="6">
        <f t="shared" si="17"/>
        <v>44012</v>
      </c>
      <c r="B183" s="4" t="str">
        <f t="shared" si="12"/>
        <v>30</v>
      </c>
      <c r="C183" s="4" t="str">
        <f t="shared" si="13"/>
        <v>06</v>
      </c>
      <c r="D183" s="4" t="str">
        <f t="shared" si="14"/>
        <v>2020</v>
      </c>
      <c r="E183" s="3" t="str">
        <f t="shared" si="15"/>
        <v>Tuesday</v>
      </c>
      <c r="F183" s="4" t="str">
        <f t="shared" si="16"/>
        <v>N</v>
      </c>
      <c r="G183" s="4" t="str">
        <f>IF(COUNTIF(PublicHols[Date], A183)&gt;0, "Y", "N")</f>
        <v>N</v>
      </c>
      <c r="H183" s="3" t="str">
        <f>IFERROR(_xlfn.XLOOKUP(A183, PublicHols[Date], PublicHols[PH_Name]),"")</f>
        <v/>
      </c>
      <c r="I183" s="4" t="str">
        <f>IF(COUNTIF(EventsAll[Date], A183)&gt;0, "Y", "N")</f>
        <v>N</v>
      </c>
      <c r="J183" s="11" t="str">
        <f>IFERROR(_xlfn.XLOOKUP(A183, EventsAll[Date], EventsAll[Event]),"")</f>
        <v/>
      </c>
      <c r="K183" s="4" t="str" cm="1">
        <f t="array" ref="K183">IF(SUMPRODUCT((A183&gt;=SchoolHols[Start])*(A183&lt;=SchoolHols[End]))&gt;0,"Y","N")</f>
        <v>Y</v>
      </c>
    </row>
    <row r="184" spans="1:11">
      <c r="A184" s="6">
        <f t="shared" si="17"/>
        <v>44013</v>
      </c>
      <c r="B184" s="4" t="str">
        <f t="shared" si="12"/>
        <v>01</v>
      </c>
      <c r="C184" s="4" t="str">
        <f t="shared" si="13"/>
        <v>07</v>
      </c>
      <c r="D184" s="4" t="str">
        <f t="shared" si="14"/>
        <v>2020</v>
      </c>
      <c r="E184" s="3" t="str">
        <f t="shared" si="15"/>
        <v>Wednesday</v>
      </c>
      <c r="F184" s="4" t="str">
        <f t="shared" si="16"/>
        <v>N</v>
      </c>
      <c r="G184" s="4" t="str">
        <f>IF(COUNTIF(PublicHols[Date], A184)&gt;0, "Y", "N")</f>
        <v>N</v>
      </c>
      <c r="H184" s="3" t="str">
        <f>IFERROR(_xlfn.XLOOKUP(A184, PublicHols[Date], PublicHols[PH_Name]),"")</f>
        <v/>
      </c>
      <c r="I184" s="4" t="str">
        <f>IF(COUNTIF(EventsAll[Date], A184)&gt;0, "Y", "N")</f>
        <v>N</v>
      </c>
      <c r="J184" s="11" t="str">
        <f>IFERROR(_xlfn.XLOOKUP(A184, EventsAll[Date], EventsAll[Event]),"")</f>
        <v/>
      </c>
      <c r="K184" s="4" t="str" cm="1">
        <f t="array" ref="K184">IF(SUMPRODUCT((A184&gt;=SchoolHols[Start])*(A184&lt;=SchoolHols[End]))&gt;0,"Y","N")</f>
        <v>Y</v>
      </c>
    </row>
    <row r="185" spans="1:11">
      <c r="A185" s="6">
        <f t="shared" si="17"/>
        <v>44014</v>
      </c>
      <c r="B185" s="4" t="str">
        <f t="shared" si="12"/>
        <v>02</v>
      </c>
      <c r="C185" s="4" t="str">
        <f t="shared" si="13"/>
        <v>07</v>
      </c>
      <c r="D185" s="4" t="str">
        <f t="shared" si="14"/>
        <v>2020</v>
      </c>
      <c r="E185" s="3" t="str">
        <f t="shared" si="15"/>
        <v>Thursday</v>
      </c>
      <c r="F185" s="4" t="str">
        <f t="shared" si="16"/>
        <v>N</v>
      </c>
      <c r="G185" s="4" t="str">
        <f>IF(COUNTIF(PublicHols[Date], A185)&gt;0, "Y", "N")</f>
        <v>N</v>
      </c>
      <c r="H185" s="3" t="str">
        <f>IFERROR(_xlfn.XLOOKUP(A185, PublicHols[Date], PublicHols[PH_Name]),"")</f>
        <v/>
      </c>
      <c r="I185" s="4" t="str">
        <f>IF(COUNTIF(EventsAll[Date], A185)&gt;0, "Y", "N")</f>
        <v>N</v>
      </c>
      <c r="J185" s="11" t="str">
        <f>IFERROR(_xlfn.XLOOKUP(A185, EventsAll[Date], EventsAll[Event]),"")</f>
        <v/>
      </c>
      <c r="K185" s="4" t="str" cm="1">
        <f t="array" ref="K185">IF(SUMPRODUCT((A185&gt;=SchoolHols[Start])*(A185&lt;=SchoolHols[End]))&gt;0,"Y","N")</f>
        <v>Y</v>
      </c>
    </row>
    <row r="186" spans="1:11">
      <c r="A186" s="6">
        <f t="shared" si="17"/>
        <v>44015</v>
      </c>
      <c r="B186" s="4" t="str">
        <f t="shared" si="12"/>
        <v>03</v>
      </c>
      <c r="C186" s="4" t="str">
        <f t="shared" si="13"/>
        <v>07</v>
      </c>
      <c r="D186" s="4" t="str">
        <f t="shared" si="14"/>
        <v>2020</v>
      </c>
      <c r="E186" s="3" t="str">
        <f t="shared" si="15"/>
        <v>Friday</v>
      </c>
      <c r="F186" s="4" t="str">
        <f t="shared" si="16"/>
        <v>N</v>
      </c>
      <c r="G186" s="4" t="str">
        <f>IF(COUNTIF(PublicHols[Date], A186)&gt;0, "Y", "N")</f>
        <v>N</v>
      </c>
      <c r="H186" s="3" t="str">
        <f>IFERROR(_xlfn.XLOOKUP(A186, PublicHols[Date], PublicHols[PH_Name]),"")</f>
        <v/>
      </c>
      <c r="I186" s="4" t="str">
        <f>IF(COUNTIF(EventsAll[Date], A186)&gt;0, "Y", "N")</f>
        <v>N</v>
      </c>
      <c r="J186" s="11" t="str">
        <f>IFERROR(_xlfn.XLOOKUP(A186, EventsAll[Date], EventsAll[Event]),"")</f>
        <v/>
      </c>
      <c r="K186" s="4" t="str" cm="1">
        <f t="array" ref="K186">IF(SUMPRODUCT((A186&gt;=SchoolHols[Start])*(A186&lt;=SchoolHols[End]))&gt;0,"Y","N")</f>
        <v>Y</v>
      </c>
    </row>
    <row r="187" spans="1:11">
      <c r="A187" s="6">
        <f t="shared" si="17"/>
        <v>44016</v>
      </c>
      <c r="B187" s="4" t="str">
        <f t="shared" si="12"/>
        <v>04</v>
      </c>
      <c r="C187" s="4" t="str">
        <f t="shared" si="13"/>
        <v>07</v>
      </c>
      <c r="D187" s="4" t="str">
        <f t="shared" si="14"/>
        <v>2020</v>
      </c>
      <c r="E187" s="3" t="str">
        <f t="shared" si="15"/>
        <v>Saturday</v>
      </c>
      <c r="F187" s="4" t="str">
        <f t="shared" si="16"/>
        <v>N</v>
      </c>
      <c r="G187" s="4" t="str">
        <f>IF(COUNTIF(PublicHols[Date], A187)&gt;0, "Y", "N")</f>
        <v>N</v>
      </c>
      <c r="H187" s="3" t="str">
        <f>IFERROR(_xlfn.XLOOKUP(A187, PublicHols[Date], PublicHols[PH_Name]),"")</f>
        <v/>
      </c>
      <c r="I187" s="4" t="str">
        <f>IF(COUNTIF(EventsAll[Date], A187)&gt;0, "Y", "N")</f>
        <v>N</v>
      </c>
      <c r="J187" s="11" t="str">
        <f>IFERROR(_xlfn.XLOOKUP(A187, EventsAll[Date], EventsAll[Event]),"")</f>
        <v/>
      </c>
      <c r="K187" s="4" t="str" cm="1">
        <f t="array" ref="K187">IF(SUMPRODUCT((A187&gt;=SchoolHols[Start])*(A187&lt;=SchoolHols[End]))&gt;0,"Y","N")</f>
        <v>Y</v>
      </c>
    </row>
    <row r="188" spans="1:11">
      <c r="A188" s="6">
        <f t="shared" si="17"/>
        <v>44017</v>
      </c>
      <c r="B188" s="4" t="str">
        <f t="shared" si="12"/>
        <v>05</v>
      </c>
      <c r="C188" s="4" t="str">
        <f t="shared" si="13"/>
        <v>07</v>
      </c>
      <c r="D188" s="4" t="str">
        <f t="shared" si="14"/>
        <v>2020</v>
      </c>
      <c r="E188" s="3" t="str">
        <f t="shared" si="15"/>
        <v>Sunday</v>
      </c>
      <c r="F188" s="4" t="str">
        <f t="shared" si="16"/>
        <v>Y</v>
      </c>
      <c r="G188" s="4" t="str">
        <f>IF(COUNTIF(PublicHols[Date], A188)&gt;0, "Y", "N")</f>
        <v>N</v>
      </c>
      <c r="H188" s="3" t="str">
        <f>IFERROR(_xlfn.XLOOKUP(A188, PublicHols[Date], PublicHols[PH_Name]),"")</f>
        <v/>
      </c>
      <c r="I188" s="4" t="str">
        <f>IF(COUNTIF(EventsAll[Date], A188)&gt;0, "Y", "N")</f>
        <v>N</v>
      </c>
      <c r="J188" s="11" t="str">
        <f>IFERROR(_xlfn.XLOOKUP(A188, EventsAll[Date], EventsAll[Event]),"")</f>
        <v/>
      </c>
      <c r="K188" s="4" t="str" cm="1">
        <f t="array" ref="K188">IF(SUMPRODUCT((A188&gt;=SchoolHols[Start])*(A188&lt;=SchoolHols[End]))&gt;0,"Y","N")</f>
        <v>Y</v>
      </c>
    </row>
    <row r="189" spans="1:11">
      <c r="A189" s="6">
        <f t="shared" si="17"/>
        <v>44018</v>
      </c>
      <c r="B189" s="4" t="str">
        <f t="shared" si="12"/>
        <v>06</v>
      </c>
      <c r="C189" s="4" t="str">
        <f t="shared" si="13"/>
        <v>07</v>
      </c>
      <c r="D189" s="4" t="str">
        <f t="shared" si="14"/>
        <v>2020</v>
      </c>
      <c r="E189" s="3" t="str">
        <f t="shared" si="15"/>
        <v>Monday</v>
      </c>
      <c r="F189" s="4" t="str">
        <f t="shared" si="16"/>
        <v>N</v>
      </c>
      <c r="G189" s="4" t="str">
        <f>IF(COUNTIF(PublicHols[Date], A189)&gt;0, "Y", "N")</f>
        <v>N</v>
      </c>
      <c r="H189" s="3" t="str">
        <f>IFERROR(_xlfn.XLOOKUP(A189, PublicHols[Date], PublicHols[PH_Name]),"")</f>
        <v/>
      </c>
      <c r="I189" s="4" t="str">
        <f>IF(COUNTIF(EventsAll[Date], A189)&gt;0, "Y", "N")</f>
        <v>N</v>
      </c>
      <c r="J189" s="11" t="str">
        <f>IFERROR(_xlfn.XLOOKUP(A189, EventsAll[Date], EventsAll[Event]),"")</f>
        <v/>
      </c>
      <c r="K189" s="4" t="str" cm="1">
        <f t="array" ref="K189">IF(SUMPRODUCT((A189&gt;=SchoolHols[Start])*(A189&lt;=SchoolHols[End]))&gt;0,"Y","N")</f>
        <v>Y</v>
      </c>
    </row>
    <row r="190" spans="1:11">
      <c r="A190" s="6">
        <f t="shared" si="17"/>
        <v>44019</v>
      </c>
      <c r="B190" s="4" t="str">
        <f t="shared" si="12"/>
        <v>07</v>
      </c>
      <c r="C190" s="4" t="str">
        <f t="shared" si="13"/>
        <v>07</v>
      </c>
      <c r="D190" s="4" t="str">
        <f t="shared" si="14"/>
        <v>2020</v>
      </c>
      <c r="E190" s="3" t="str">
        <f t="shared" si="15"/>
        <v>Tuesday</v>
      </c>
      <c r="F190" s="4" t="str">
        <f t="shared" si="16"/>
        <v>N</v>
      </c>
      <c r="G190" s="4" t="str">
        <f>IF(COUNTIF(PublicHols[Date], A190)&gt;0, "Y", "N")</f>
        <v>N</v>
      </c>
      <c r="H190" s="3" t="str">
        <f>IFERROR(_xlfn.XLOOKUP(A190, PublicHols[Date], PublicHols[PH_Name]),"")</f>
        <v/>
      </c>
      <c r="I190" s="4" t="str">
        <f>IF(COUNTIF(EventsAll[Date], A190)&gt;0, "Y", "N")</f>
        <v>N</v>
      </c>
      <c r="J190" s="11" t="str">
        <f>IFERROR(_xlfn.XLOOKUP(A190, EventsAll[Date], EventsAll[Event]),"")</f>
        <v/>
      </c>
      <c r="K190" s="4" t="str" cm="1">
        <f t="array" ref="K190">IF(SUMPRODUCT((A190&gt;=SchoolHols[Start])*(A190&lt;=SchoolHols[End]))&gt;0,"Y","N")</f>
        <v>Y</v>
      </c>
    </row>
    <row r="191" spans="1:11">
      <c r="A191" s="6">
        <f t="shared" si="17"/>
        <v>44020</v>
      </c>
      <c r="B191" s="4" t="str">
        <f t="shared" si="12"/>
        <v>08</v>
      </c>
      <c r="C191" s="4" t="str">
        <f t="shared" si="13"/>
        <v>07</v>
      </c>
      <c r="D191" s="4" t="str">
        <f t="shared" si="14"/>
        <v>2020</v>
      </c>
      <c r="E191" s="3" t="str">
        <f t="shared" si="15"/>
        <v>Wednesday</v>
      </c>
      <c r="F191" s="4" t="str">
        <f t="shared" si="16"/>
        <v>N</v>
      </c>
      <c r="G191" s="4" t="str">
        <f>IF(COUNTIF(PublicHols[Date], A191)&gt;0, "Y", "N")</f>
        <v>N</v>
      </c>
      <c r="H191" s="3" t="str">
        <f>IFERROR(_xlfn.XLOOKUP(A191, PublicHols[Date], PublicHols[PH_Name]),"")</f>
        <v/>
      </c>
      <c r="I191" s="4" t="str">
        <f>IF(COUNTIF(EventsAll[Date], A191)&gt;0, "Y", "N")</f>
        <v>Y</v>
      </c>
      <c r="J191" s="11" t="str">
        <f>IFERROR(_xlfn.XLOOKUP(A191, EventsAll[Date], EventsAll[Event]),"")</f>
        <v xml:space="preserve"> Back to School (Term 3)</v>
      </c>
      <c r="K191" s="4" t="str" cm="1">
        <f t="array" ref="K191">IF(SUMPRODUCT((A191&gt;=SchoolHols[Start])*(A191&lt;=SchoolHols[End]))&gt;0,"Y","N")</f>
        <v>Y</v>
      </c>
    </row>
    <row r="192" spans="1:11">
      <c r="A192" s="6">
        <f t="shared" si="17"/>
        <v>44021</v>
      </c>
      <c r="B192" s="4" t="str">
        <f t="shared" si="12"/>
        <v>09</v>
      </c>
      <c r="C192" s="4" t="str">
        <f t="shared" si="13"/>
        <v>07</v>
      </c>
      <c r="D192" s="4" t="str">
        <f t="shared" si="14"/>
        <v>2020</v>
      </c>
      <c r="E192" s="3" t="str">
        <f t="shared" si="15"/>
        <v>Thursday</v>
      </c>
      <c r="F192" s="4" t="str">
        <f t="shared" si="16"/>
        <v>N</v>
      </c>
      <c r="G192" s="4" t="str">
        <f>IF(COUNTIF(PublicHols[Date], A192)&gt;0, "Y", "N")</f>
        <v>N</v>
      </c>
      <c r="H192" s="3" t="str">
        <f>IFERROR(_xlfn.XLOOKUP(A192, PublicHols[Date], PublicHols[PH_Name]),"")</f>
        <v/>
      </c>
      <c r="I192" s="4" t="str">
        <f>IF(COUNTIF(EventsAll[Date], A192)&gt;0, "Y", "N")</f>
        <v>N</v>
      </c>
      <c r="J192" s="11" t="str">
        <f>IFERROR(_xlfn.XLOOKUP(A192, EventsAll[Date], EventsAll[Event]),"")</f>
        <v/>
      </c>
      <c r="K192" s="4" t="str" cm="1">
        <f t="array" ref="K192">IF(SUMPRODUCT((A192&gt;=SchoolHols[Start])*(A192&lt;=SchoolHols[End]))&gt;0,"Y","N")</f>
        <v>Y</v>
      </c>
    </row>
    <row r="193" spans="1:11">
      <c r="A193" s="6">
        <f t="shared" si="17"/>
        <v>44022</v>
      </c>
      <c r="B193" s="4" t="str">
        <f t="shared" si="12"/>
        <v>10</v>
      </c>
      <c r="C193" s="4" t="str">
        <f t="shared" si="13"/>
        <v>07</v>
      </c>
      <c r="D193" s="4" t="str">
        <f t="shared" si="14"/>
        <v>2020</v>
      </c>
      <c r="E193" s="3" t="str">
        <f t="shared" si="15"/>
        <v>Friday</v>
      </c>
      <c r="F193" s="4" t="str">
        <f t="shared" si="16"/>
        <v>N</v>
      </c>
      <c r="G193" s="4" t="str">
        <f>IF(COUNTIF(PublicHols[Date], A193)&gt;0, "Y", "N")</f>
        <v>N</v>
      </c>
      <c r="H193" s="3" t="str">
        <f>IFERROR(_xlfn.XLOOKUP(A193, PublicHols[Date], PublicHols[PH_Name]),"")</f>
        <v/>
      </c>
      <c r="I193" s="4" t="str">
        <f>IF(COUNTIF(EventsAll[Date], A193)&gt;0, "Y", "N")</f>
        <v>N</v>
      </c>
      <c r="J193" s="11" t="str">
        <f>IFERROR(_xlfn.XLOOKUP(A193, EventsAll[Date], EventsAll[Event]),"")</f>
        <v/>
      </c>
      <c r="K193" s="4" t="str" cm="1">
        <f t="array" ref="K193">IF(SUMPRODUCT((A193&gt;=SchoolHols[Start])*(A193&lt;=SchoolHols[End]))&gt;0,"Y","N")</f>
        <v>Y</v>
      </c>
    </row>
    <row r="194" spans="1:11">
      <c r="A194" s="6">
        <f t="shared" si="17"/>
        <v>44023</v>
      </c>
      <c r="B194" s="4" t="str">
        <f t="shared" si="12"/>
        <v>11</v>
      </c>
      <c r="C194" s="4" t="str">
        <f t="shared" si="13"/>
        <v>07</v>
      </c>
      <c r="D194" s="4" t="str">
        <f t="shared" si="14"/>
        <v>2020</v>
      </c>
      <c r="E194" s="3" t="str">
        <f t="shared" si="15"/>
        <v>Saturday</v>
      </c>
      <c r="F194" s="4" t="str">
        <f t="shared" si="16"/>
        <v>N</v>
      </c>
      <c r="G194" s="4" t="str">
        <f>IF(COUNTIF(PublicHols[Date], A194)&gt;0, "Y", "N")</f>
        <v>N</v>
      </c>
      <c r="H194" s="3" t="str">
        <f>IFERROR(_xlfn.XLOOKUP(A194, PublicHols[Date], PublicHols[PH_Name]),"")</f>
        <v/>
      </c>
      <c r="I194" s="4" t="str">
        <f>IF(COUNTIF(EventsAll[Date], A194)&gt;0, "Y", "N")</f>
        <v>N</v>
      </c>
      <c r="J194" s="11" t="str">
        <f>IFERROR(_xlfn.XLOOKUP(A194, EventsAll[Date], EventsAll[Event]),"")</f>
        <v/>
      </c>
      <c r="K194" s="4" t="str" cm="1">
        <f t="array" ref="K194">IF(SUMPRODUCT((A194&gt;=SchoolHols[Start])*(A194&lt;=SchoolHols[End]))&gt;0,"Y","N")</f>
        <v>Y</v>
      </c>
    </row>
    <row r="195" spans="1:11">
      <c r="A195" s="6">
        <f t="shared" si="17"/>
        <v>44024</v>
      </c>
      <c r="B195" s="4" t="str">
        <f t="shared" ref="B195:B258" si="18">TEXT($A195, "dd")</f>
        <v>12</v>
      </c>
      <c r="C195" s="4" t="str">
        <f t="shared" ref="C195:C258" si="19">TEXT($A195, "mm")</f>
        <v>07</v>
      </c>
      <c r="D195" s="4" t="str">
        <f t="shared" ref="D195:D258" si="20">TEXT($A195, "yyyy")</f>
        <v>2020</v>
      </c>
      <c r="E195" s="3" t="str">
        <f t="shared" ref="E195:E258" si="21">TEXT($A195, "dddd")</f>
        <v>Sunday</v>
      </c>
      <c r="F195" s="4" t="str">
        <f t="shared" ref="F195:F258" si="22">IF($E195="Sunday", "Y", "N")</f>
        <v>Y</v>
      </c>
      <c r="G195" s="4" t="str">
        <f>IF(COUNTIF(PublicHols[Date], A195)&gt;0, "Y", "N")</f>
        <v>N</v>
      </c>
      <c r="H195" s="3" t="str">
        <f>IFERROR(_xlfn.XLOOKUP(A195, PublicHols[Date], PublicHols[PH_Name]),"")</f>
        <v/>
      </c>
      <c r="I195" s="4" t="str">
        <f>IF(COUNTIF(EventsAll[Date], A195)&gt;0, "Y", "N")</f>
        <v>N</v>
      </c>
      <c r="J195" s="11" t="str">
        <f>IFERROR(_xlfn.XLOOKUP(A195, EventsAll[Date], EventsAll[Event]),"")</f>
        <v/>
      </c>
      <c r="K195" s="4" t="str" cm="1">
        <f t="array" ref="K195">IF(SUMPRODUCT((A195&gt;=SchoolHols[Start])*(A195&lt;=SchoolHols[End]))&gt;0,"Y","N")</f>
        <v>Y</v>
      </c>
    </row>
    <row r="196" spans="1:11">
      <c r="A196" s="6">
        <f t="shared" ref="A196:A259" si="23">$A195+1</f>
        <v>44025</v>
      </c>
      <c r="B196" s="4" t="str">
        <f t="shared" si="18"/>
        <v>13</v>
      </c>
      <c r="C196" s="4" t="str">
        <f t="shared" si="19"/>
        <v>07</v>
      </c>
      <c r="D196" s="4" t="str">
        <f t="shared" si="20"/>
        <v>2020</v>
      </c>
      <c r="E196" s="3" t="str">
        <f t="shared" si="21"/>
        <v>Monday</v>
      </c>
      <c r="F196" s="4" t="str">
        <f t="shared" si="22"/>
        <v>N</v>
      </c>
      <c r="G196" s="4" t="str">
        <f>IF(COUNTIF(PublicHols[Date], A196)&gt;0, "Y", "N")</f>
        <v>N</v>
      </c>
      <c r="H196" s="3" t="str">
        <f>IFERROR(_xlfn.XLOOKUP(A196, PublicHols[Date], PublicHols[PH_Name]),"")</f>
        <v/>
      </c>
      <c r="I196" s="4" t="str">
        <f>IF(COUNTIF(EventsAll[Date], A196)&gt;0, "Y", "N")</f>
        <v>N</v>
      </c>
      <c r="J196" s="11" t="str">
        <f>IFERROR(_xlfn.XLOOKUP(A196, EventsAll[Date], EventsAll[Event]),"")</f>
        <v/>
      </c>
      <c r="K196" s="4" t="str" cm="1">
        <f t="array" ref="K196">IF(SUMPRODUCT((A196&gt;=SchoolHols[Start])*(A196&lt;=SchoolHols[End]))&gt;0,"Y","N")</f>
        <v>Y</v>
      </c>
    </row>
    <row r="197" spans="1:11">
      <c r="A197" s="6">
        <f t="shared" si="23"/>
        <v>44026</v>
      </c>
      <c r="B197" s="4" t="str">
        <f t="shared" si="18"/>
        <v>14</v>
      </c>
      <c r="C197" s="4" t="str">
        <f t="shared" si="19"/>
        <v>07</v>
      </c>
      <c r="D197" s="4" t="str">
        <f t="shared" si="20"/>
        <v>2020</v>
      </c>
      <c r="E197" s="3" t="str">
        <f t="shared" si="21"/>
        <v>Tuesday</v>
      </c>
      <c r="F197" s="4" t="str">
        <f t="shared" si="22"/>
        <v>N</v>
      </c>
      <c r="G197" s="4" t="str">
        <f>IF(COUNTIF(PublicHols[Date], A197)&gt;0, "Y", "N")</f>
        <v>N</v>
      </c>
      <c r="H197" s="3" t="str">
        <f>IFERROR(_xlfn.XLOOKUP(A197, PublicHols[Date], PublicHols[PH_Name]),"")</f>
        <v/>
      </c>
      <c r="I197" s="4" t="str">
        <f>IF(COUNTIF(EventsAll[Date], A197)&gt;0, "Y", "N")</f>
        <v>N</v>
      </c>
      <c r="J197" s="11" t="str">
        <f>IFERROR(_xlfn.XLOOKUP(A197, EventsAll[Date], EventsAll[Event]),"")</f>
        <v/>
      </c>
      <c r="K197" s="4" t="str" cm="1">
        <f t="array" ref="K197">IF(SUMPRODUCT((A197&gt;=SchoolHols[Start])*(A197&lt;=SchoolHols[End]))&gt;0,"Y","N")</f>
        <v>Y</v>
      </c>
    </row>
    <row r="198" spans="1:11">
      <c r="A198" s="6">
        <f t="shared" si="23"/>
        <v>44027</v>
      </c>
      <c r="B198" s="4" t="str">
        <f t="shared" si="18"/>
        <v>15</v>
      </c>
      <c r="C198" s="4" t="str">
        <f t="shared" si="19"/>
        <v>07</v>
      </c>
      <c r="D198" s="4" t="str">
        <f t="shared" si="20"/>
        <v>2020</v>
      </c>
      <c r="E198" s="3" t="str">
        <f t="shared" si="21"/>
        <v>Wednesday</v>
      </c>
      <c r="F198" s="4" t="str">
        <f t="shared" si="22"/>
        <v>N</v>
      </c>
      <c r="G198" s="4" t="str">
        <f>IF(COUNTIF(PublicHols[Date], A198)&gt;0, "Y", "N")</f>
        <v>N</v>
      </c>
      <c r="H198" s="3" t="str">
        <f>IFERROR(_xlfn.XLOOKUP(A198, PublicHols[Date], PublicHols[PH_Name]),"")</f>
        <v/>
      </c>
      <c r="I198" s="4" t="str">
        <f>IF(COUNTIF(EventsAll[Date], A198)&gt;0, "Y", "N")</f>
        <v>N</v>
      </c>
      <c r="J198" s="11" t="str">
        <f>IFERROR(_xlfn.XLOOKUP(A198, EventsAll[Date], EventsAll[Event]),"")</f>
        <v/>
      </c>
      <c r="K198" s="4" t="str" cm="1">
        <f t="array" ref="K198">IF(SUMPRODUCT((A198&gt;=SchoolHols[Start])*(A198&lt;=SchoolHols[End]))&gt;0,"Y","N")</f>
        <v>Y</v>
      </c>
    </row>
    <row r="199" spans="1:11">
      <c r="A199" s="6">
        <f t="shared" si="23"/>
        <v>44028</v>
      </c>
      <c r="B199" s="4" t="str">
        <f t="shared" si="18"/>
        <v>16</v>
      </c>
      <c r="C199" s="4" t="str">
        <f t="shared" si="19"/>
        <v>07</v>
      </c>
      <c r="D199" s="4" t="str">
        <f t="shared" si="20"/>
        <v>2020</v>
      </c>
      <c r="E199" s="3" t="str">
        <f t="shared" si="21"/>
        <v>Thursday</v>
      </c>
      <c r="F199" s="4" t="str">
        <f t="shared" si="22"/>
        <v>N</v>
      </c>
      <c r="G199" s="4" t="str">
        <f>IF(COUNTIF(PublicHols[Date], A199)&gt;0, "Y", "N")</f>
        <v>N</v>
      </c>
      <c r="H199" s="3" t="str">
        <f>IFERROR(_xlfn.XLOOKUP(A199, PublicHols[Date], PublicHols[PH_Name]),"")</f>
        <v/>
      </c>
      <c r="I199" s="4" t="str">
        <f>IF(COUNTIF(EventsAll[Date], A199)&gt;0, "Y", "N")</f>
        <v>N</v>
      </c>
      <c r="J199" s="11" t="str">
        <f>IFERROR(_xlfn.XLOOKUP(A199, EventsAll[Date], EventsAll[Event]),"")</f>
        <v/>
      </c>
      <c r="K199" s="4" t="str" cm="1">
        <f t="array" ref="K199">IF(SUMPRODUCT((A199&gt;=SchoolHols[Start])*(A199&lt;=SchoolHols[End]))&gt;0,"Y","N")</f>
        <v>Y</v>
      </c>
    </row>
    <row r="200" spans="1:11">
      <c r="A200" s="6">
        <f t="shared" si="23"/>
        <v>44029</v>
      </c>
      <c r="B200" s="4" t="str">
        <f t="shared" si="18"/>
        <v>17</v>
      </c>
      <c r="C200" s="4" t="str">
        <f t="shared" si="19"/>
        <v>07</v>
      </c>
      <c r="D200" s="4" t="str">
        <f t="shared" si="20"/>
        <v>2020</v>
      </c>
      <c r="E200" s="3" t="str">
        <f t="shared" si="21"/>
        <v>Friday</v>
      </c>
      <c r="F200" s="4" t="str">
        <f t="shared" si="22"/>
        <v>N</v>
      </c>
      <c r="G200" s="4" t="str">
        <f>IF(COUNTIF(PublicHols[Date], A200)&gt;0, "Y", "N")</f>
        <v>N</v>
      </c>
      <c r="H200" s="3" t="str">
        <f>IFERROR(_xlfn.XLOOKUP(A200, PublicHols[Date], PublicHols[PH_Name]),"")</f>
        <v/>
      </c>
      <c r="I200" s="4" t="str">
        <f>IF(COUNTIF(EventsAll[Date], A200)&gt;0, "Y", "N")</f>
        <v>N</v>
      </c>
      <c r="J200" s="11" t="str">
        <f>IFERROR(_xlfn.XLOOKUP(A200, EventsAll[Date], EventsAll[Event]),"")</f>
        <v/>
      </c>
      <c r="K200" s="4" t="str" cm="1">
        <f t="array" ref="K200">IF(SUMPRODUCT((A200&gt;=SchoolHols[Start])*(A200&lt;=SchoolHols[End]))&gt;0,"Y","N")</f>
        <v>Y</v>
      </c>
    </row>
    <row r="201" spans="1:11">
      <c r="A201" s="6">
        <f t="shared" si="23"/>
        <v>44030</v>
      </c>
      <c r="B201" s="4" t="str">
        <f t="shared" si="18"/>
        <v>18</v>
      </c>
      <c r="C201" s="4" t="str">
        <f t="shared" si="19"/>
        <v>07</v>
      </c>
      <c r="D201" s="4" t="str">
        <f t="shared" si="20"/>
        <v>2020</v>
      </c>
      <c r="E201" s="3" t="str">
        <f t="shared" si="21"/>
        <v>Saturday</v>
      </c>
      <c r="F201" s="4" t="str">
        <f t="shared" si="22"/>
        <v>N</v>
      </c>
      <c r="G201" s="4" t="str">
        <f>IF(COUNTIF(PublicHols[Date], A201)&gt;0, "Y", "N")</f>
        <v>N</v>
      </c>
      <c r="H201" s="3" t="str">
        <f>IFERROR(_xlfn.XLOOKUP(A201, PublicHols[Date], PublicHols[PH_Name]),"")</f>
        <v/>
      </c>
      <c r="I201" s="4" t="str">
        <f>IF(COUNTIF(EventsAll[Date], A201)&gt;0, "Y", "N")</f>
        <v>N</v>
      </c>
      <c r="J201" s="11" t="str">
        <f>IFERROR(_xlfn.XLOOKUP(A201, EventsAll[Date], EventsAll[Event]),"")</f>
        <v/>
      </c>
      <c r="K201" s="4" t="str" cm="1">
        <f t="array" ref="K201">IF(SUMPRODUCT((A201&gt;=SchoolHols[Start])*(A201&lt;=SchoolHols[End]))&gt;0,"Y","N")</f>
        <v>Y</v>
      </c>
    </row>
    <row r="202" spans="1:11">
      <c r="A202" s="6">
        <f t="shared" si="23"/>
        <v>44031</v>
      </c>
      <c r="B202" s="4" t="str">
        <f t="shared" si="18"/>
        <v>19</v>
      </c>
      <c r="C202" s="4" t="str">
        <f t="shared" si="19"/>
        <v>07</v>
      </c>
      <c r="D202" s="4" t="str">
        <f t="shared" si="20"/>
        <v>2020</v>
      </c>
      <c r="E202" s="3" t="str">
        <f t="shared" si="21"/>
        <v>Sunday</v>
      </c>
      <c r="F202" s="4" t="str">
        <f t="shared" si="22"/>
        <v>Y</v>
      </c>
      <c r="G202" s="4" t="str">
        <f>IF(COUNTIF(PublicHols[Date], A202)&gt;0, "Y", "N")</f>
        <v>N</v>
      </c>
      <c r="H202" s="3" t="str">
        <f>IFERROR(_xlfn.XLOOKUP(A202, PublicHols[Date], PublicHols[PH_Name]),"")</f>
        <v/>
      </c>
      <c r="I202" s="4" t="str">
        <f>IF(COUNTIF(EventsAll[Date], A202)&gt;0, "Y", "N")</f>
        <v>N</v>
      </c>
      <c r="J202" s="11" t="str">
        <f>IFERROR(_xlfn.XLOOKUP(A202, EventsAll[Date], EventsAll[Event]),"")</f>
        <v/>
      </c>
      <c r="K202" s="4" t="str" cm="1">
        <f t="array" ref="K202">IF(SUMPRODUCT((A202&gt;=SchoolHols[Start])*(A202&lt;=SchoolHols[End]))&gt;0,"Y","N")</f>
        <v>Y</v>
      </c>
    </row>
    <row r="203" spans="1:11">
      <c r="A203" s="6">
        <f t="shared" si="23"/>
        <v>44032</v>
      </c>
      <c r="B203" s="4" t="str">
        <f t="shared" si="18"/>
        <v>20</v>
      </c>
      <c r="C203" s="4" t="str">
        <f t="shared" si="19"/>
        <v>07</v>
      </c>
      <c r="D203" s="4" t="str">
        <f t="shared" si="20"/>
        <v>2020</v>
      </c>
      <c r="E203" s="3" t="str">
        <f t="shared" si="21"/>
        <v>Monday</v>
      </c>
      <c r="F203" s="4" t="str">
        <f t="shared" si="22"/>
        <v>N</v>
      </c>
      <c r="G203" s="4" t="str">
        <f>IF(COUNTIF(PublicHols[Date], A203)&gt;0, "Y", "N")</f>
        <v>N</v>
      </c>
      <c r="H203" s="3" t="str">
        <f>IFERROR(_xlfn.XLOOKUP(A203, PublicHols[Date], PublicHols[PH_Name]),"")</f>
        <v/>
      </c>
      <c r="I203" s="4" t="str">
        <f>IF(COUNTIF(EventsAll[Date], A203)&gt;0, "Y", "N")</f>
        <v>N</v>
      </c>
      <c r="J203" s="11" t="str">
        <f>IFERROR(_xlfn.XLOOKUP(A203, EventsAll[Date], EventsAll[Event]),"")</f>
        <v/>
      </c>
      <c r="K203" s="4" t="str" cm="1">
        <f t="array" ref="K203">IF(SUMPRODUCT((A203&gt;=SchoolHols[Start])*(A203&lt;=SchoolHols[End]))&gt;0,"Y","N")</f>
        <v>N</v>
      </c>
    </row>
    <row r="204" spans="1:11">
      <c r="A204" s="6">
        <f t="shared" si="23"/>
        <v>44033</v>
      </c>
      <c r="B204" s="4" t="str">
        <f t="shared" si="18"/>
        <v>21</v>
      </c>
      <c r="C204" s="4" t="str">
        <f t="shared" si="19"/>
        <v>07</v>
      </c>
      <c r="D204" s="4" t="str">
        <f t="shared" si="20"/>
        <v>2020</v>
      </c>
      <c r="E204" s="3" t="str">
        <f t="shared" si="21"/>
        <v>Tuesday</v>
      </c>
      <c r="F204" s="4" t="str">
        <f t="shared" si="22"/>
        <v>N</v>
      </c>
      <c r="G204" s="4" t="str">
        <f>IF(COUNTIF(PublicHols[Date], A204)&gt;0, "Y", "N")</f>
        <v>N</v>
      </c>
      <c r="H204" s="3" t="str">
        <f>IFERROR(_xlfn.XLOOKUP(A204, PublicHols[Date], PublicHols[PH_Name]),"")</f>
        <v/>
      </c>
      <c r="I204" s="4" t="str">
        <f>IF(COUNTIF(EventsAll[Date], A204)&gt;0, "Y", "N")</f>
        <v>N</v>
      </c>
      <c r="J204" s="11" t="str">
        <f>IFERROR(_xlfn.XLOOKUP(A204, EventsAll[Date], EventsAll[Event]),"")</f>
        <v/>
      </c>
      <c r="K204" s="4" t="str" cm="1">
        <f t="array" ref="K204">IF(SUMPRODUCT((A204&gt;=SchoolHols[Start])*(A204&lt;=SchoolHols[End]))&gt;0,"Y","N")</f>
        <v>N</v>
      </c>
    </row>
    <row r="205" spans="1:11">
      <c r="A205" s="6">
        <f t="shared" si="23"/>
        <v>44034</v>
      </c>
      <c r="B205" s="4" t="str">
        <f t="shared" si="18"/>
        <v>22</v>
      </c>
      <c r="C205" s="4" t="str">
        <f t="shared" si="19"/>
        <v>07</v>
      </c>
      <c r="D205" s="4" t="str">
        <f t="shared" si="20"/>
        <v>2020</v>
      </c>
      <c r="E205" s="3" t="str">
        <f t="shared" si="21"/>
        <v>Wednesday</v>
      </c>
      <c r="F205" s="4" t="str">
        <f t="shared" si="22"/>
        <v>N</v>
      </c>
      <c r="G205" s="4" t="str">
        <f>IF(COUNTIF(PublicHols[Date], A205)&gt;0, "Y", "N")</f>
        <v>N</v>
      </c>
      <c r="H205" s="3" t="str">
        <f>IFERROR(_xlfn.XLOOKUP(A205, PublicHols[Date], PublicHols[PH_Name]),"")</f>
        <v/>
      </c>
      <c r="I205" s="4" t="str">
        <f>IF(COUNTIF(EventsAll[Date], A205)&gt;0, "Y", "N")</f>
        <v>N</v>
      </c>
      <c r="J205" s="11" t="str">
        <f>IFERROR(_xlfn.XLOOKUP(A205, EventsAll[Date], EventsAll[Event]),"")</f>
        <v/>
      </c>
      <c r="K205" s="4" t="str" cm="1">
        <f t="array" ref="K205">IF(SUMPRODUCT((A205&gt;=SchoolHols[Start])*(A205&lt;=SchoolHols[End]))&gt;0,"Y","N")</f>
        <v>N</v>
      </c>
    </row>
    <row r="206" spans="1:11">
      <c r="A206" s="6">
        <f t="shared" si="23"/>
        <v>44035</v>
      </c>
      <c r="B206" s="4" t="str">
        <f t="shared" si="18"/>
        <v>23</v>
      </c>
      <c r="C206" s="4" t="str">
        <f t="shared" si="19"/>
        <v>07</v>
      </c>
      <c r="D206" s="4" t="str">
        <f t="shared" si="20"/>
        <v>2020</v>
      </c>
      <c r="E206" s="3" t="str">
        <f t="shared" si="21"/>
        <v>Thursday</v>
      </c>
      <c r="F206" s="4" t="str">
        <f t="shared" si="22"/>
        <v>N</v>
      </c>
      <c r="G206" s="4" t="str">
        <f>IF(COUNTIF(PublicHols[Date], A206)&gt;0, "Y", "N")</f>
        <v>N</v>
      </c>
      <c r="H206" s="3" t="str">
        <f>IFERROR(_xlfn.XLOOKUP(A206, PublicHols[Date], PublicHols[PH_Name]),"")</f>
        <v/>
      </c>
      <c r="I206" s="4" t="str">
        <f>IF(COUNTIF(EventsAll[Date], A206)&gt;0, "Y", "N")</f>
        <v>N</v>
      </c>
      <c r="J206" s="11" t="str">
        <f>IFERROR(_xlfn.XLOOKUP(A206, EventsAll[Date], EventsAll[Event]),"")</f>
        <v/>
      </c>
      <c r="K206" s="4" t="str" cm="1">
        <f t="array" ref="K206">IF(SUMPRODUCT((A206&gt;=SchoolHols[Start])*(A206&lt;=SchoolHols[End]))&gt;0,"Y","N")</f>
        <v>N</v>
      </c>
    </row>
    <row r="207" spans="1:11">
      <c r="A207" s="6">
        <f t="shared" si="23"/>
        <v>44036</v>
      </c>
      <c r="B207" s="4" t="str">
        <f t="shared" si="18"/>
        <v>24</v>
      </c>
      <c r="C207" s="4" t="str">
        <f t="shared" si="19"/>
        <v>07</v>
      </c>
      <c r="D207" s="4" t="str">
        <f t="shared" si="20"/>
        <v>2020</v>
      </c>
      <c r="E207" s="3" t="str">
        <f t="shared" si="21"/>
        <v>Friday</v>
      </c>
      <c r="F207" s="4" t="str">
        <f t="shared" si="22"/>
        <v>N</v>
      </c>
      <c r="G207" s="4" t="str">
        <f>IF(COUNTIF(PublicHols[Date], A207)&gt;0, "Y", "N")</f>
        <v>N</v>
      </c>
      <c r="H207" s="3" t="str">
        <f>IFERROR(_xlfn.XLOOKUP(A207, PublicHols[Date], PublicHols[PH_Name]),"")</f>
        <v/>
      </c>
      <c r="I207" s="4" t="str">
        <f>IF(COUNTIF(EventsAll[Date], A207)&gt;0, "Y", "N")</f>
        <v>N</v>
      </c>
      <c r="J207" s="11" t="str">
        <f>IFERROR(_xlfn.XLOOKUP(A207, EventsAll[Date], EventsAll[Event]),"")</f>
        <v/>
      </c>
      <c r="K207" s="4" t="str" cm="1">
        <f t="array" ref="K207">IF(SUMPRODUCT((A207&gt;=SchoolHols[Start])*(A207&lt;=SchoolHols[End]))&gt;0,"Y","N")</f>
        <v>N</v>
      </c>
    </row>
    <row r="208" spans="1:11">
      <c r="A208" s="6">
        <f t="shared" si="23"/>
        <v>44037</v>
      </c>
      <c r="B208" s="4" t="str">
        <f t="shared" si="18"/>
        <v>25</v>
      </c>
      <c r="C208" s="4" t="str">
        <f t="shared" si="19"/>
        <v>07</v>
      </c>
      <c r="D208" s="4" t="str">
        <f t="shared" si="20"/>
        <v>2020</v>
      </c>
      <c r="E208" s="3" t="str">
        <f t="shared" si="21"/>
        <v>Saturday</v>
      </c>
      <c r="F208" s="4" t="str">
        <f t="shared" si="22"/>
        <v>N</v>
      </c>
      <c r="G208" s="4" t="str">
        <f>IF(COUNTIF(PublicHols[Date], A208)&gt;0, "Y", "N")</f>
        <v>N</v>
      </c>
      <c r="H208" s="3" t="str">
        <f>IFERROR(_xlfn.XLOOKUP(A208, PublicHols[Date], PublicHols[PH_Name]),"")</f>
        <v/>
      </c>
      <c r="I208" s="4" t="str">
        <f>IF(COUNTIF(EventsAll[Date], A208)&gt;0, "Y", "N")</f>
        <v>N</v>
      </c>
      <c r="J208" s="11" t="str">
        <f>IFERROR(_xlfn.XLOOKUP(A208, EventsAll[Date], EventsAll[Event]),"")</f>
        <v/>
      </c>
      <c r="K208" s="4" t="str" cm="1">
        <f t="array" ref="K208">IF(SUMPRODUCT((A208&gt;=SchoolHols[Start])*(A208&lt;=SchoolHols[End]))&gt;0,"Y","N")</f>
        <v>N</v>
      </c>
    </row>
    <row r="209" spans="1:11">
      <c r="A209" s="6">
        <f t="shared" si="23"/>
        <v>44038</v>
      </c>
      <c r="B209" s="4" t="str">
        <f t="shared" si="18"/>
        <v>26</v>
      </c>
      <c r="C209" s="4" t="str">
        <f t="shared" si="19"/>
        <v>07</v>
      </c>
      <c r="D209" s="4" t="str">
        <f t="shared" si="20"/>
        <v>2020</v>
      </c>
      <c r="E209" s="3" t="str">
        <f t="shared" si="21"/>
        <v>Sunday</v>
      </c>
      <c r="F209" s="4" t="str">
        <f t="shared" si="22"/>
        <v>Y</v>
      </c>
      <c r="G209" s="4" t="str">
        <f>IF(COUNTIF(PublicHols[Date], A209)&gt;0, "Y", "N")</f>
        <v>N</v>
      </c>
      <c r="H209" s="3" t="str">
        <f>IFERROR(_xlfn.XLOOKUP(A209, PublicHols[Date], PublicHols[PH_Name]),"")</f>
        <v/>
      </c>
      <c r="I209" s="4" t="str">
        <f>IF(COUNTIF(EventsAll[Date], A209)&gt;0, "Y", "N")</f>
        <v>N</v>
      </c>
      <c r="J209" s="11" t="str">
        <f>IFERROR(_xlfn.XLOOKUP(A209, EventsAll[Date], EventsAll[Event]),"")</f>
        <v/>
      </c>
      <c r="K209" s="4" t="str" cm="1">
        <f t="array" ref="K209">IF(SUMPRODUCT((A209&gt;=SchoolHols[Start])*(A209&lt;=SchoolHols[End]))&gt;0,"Y","N")</f>
        <v>N</v>
      </c>
    </row>
    <row r="210" spans="1:11">
      <c r="A210" s="6">
        <f t="shared" si="23"/>
        <v>44039</v>
      </c>
      <c r="B210" s="4" t="str">
        <f t="shared" si="18"/>
        <v>27</v>
      </c>
      <c r="C210" s="4" t="str">
        <f t="shared" si="19"/>
        <v>07</v>
      </c>
      <c r="D210" s="4" t="str">
        <f t="shared" si="20"/>
        <v>2020</v>
      </c>
      <c r="E210" s="3" t="str">
        <f t="shared" si="21"/>
        <v>Monday</v>
      </c>
      <c r="F210" s="4" t="str">
        <f t="shared" si="22"/>
        <v>N</v>
      </c>
      <c r="G210" s="4" t="str">
        <f>IF(COUNTIF(PublicHols[Date], A210)&gt;0, "Y", "N")</f>
        <v>N</v>
      </c>
      <c r="H210" s="3" t="str">
        <f>IFERROR(_xlfn.XLOOKUP(A210, PublicHols[Date], PublicHols[PH_Name]),"")</f>
        <v/>
      </c>
      <c r="I210" s="4" t="str">
        <f>IF(COUNTIF(EventsAll[Date], A210)&gt;0, "Y", "N")</f>
        <v>N</v>
      </c>
      <c r="J210" s="11" t="str">
        <f>IFERROR(_xlfn.XLOOKUP(A210, EventsAll[Date], EventsAll[Event]),"")</f>
        <v/>
      </c>
      <c r="K210" s="4" t="str" cm="1">
        <f t="array" ref="K210">IF(SUMPRODUCT((A210&gt;=SchoolHols[Start])*(A210&lt;=SchoolHols[End]))&gt;0,"Y","N")</f>
        <v>N</v>
      </c>
    </row>
    <row r="211" spans="1:11">
      <c r="A211" s="6">
        <f t="shared" si="23"/>
        <v>44040</v>
      </c>
      <c r="B211" s="4" t="str">
        <f t="shared" si="18"/>
        <v>28</v>
      </c>
      <c r="C211" s="4" t="str">
        <f t="shared" si="19"/>
        <v>07</v>
      </c>
      <c r="D211" s="4" t="str">
        <f t="shared" si="20"/>
        <v>2020</v>
      </c>
      <c r="E211" s="3" t="str">
        <f t="shared" si="21"/>
        <v>Tuesday</v>
      </c>
      <c r="F211" s="4" t="str">
        <f t="shared" si="22"/>
        <v>N</v>
      </c>
      <c r="G211" s="4" t="str">
        <f>IF(COUNTIF(PublicHols[Date], A211)&gt;0, "Y", "N")</f>
        <v>N</v>
      </c>
      <c r="H211" s="3" t="str">
        <f>IFERROR(_xlfn.XLOOKUP(A211, PublicHols[Date], PublicHols[PH_Name]),"")</f>
        <v/>
      </c>
      <c r="I211" s="4" t="str">
        <f>IF(COUNTIF(EventsAll[Date], A211)&gt;0, "Y", "N")</f>
        <v>N</v>
      </c>
      <c r="J211" s="11" t="str">
        <f>IFERROR(_xlfn.XLOOKUP(A211, EventsAll[Date], EventsAll[Event]),"")</f>
        <v/>
      </c>
      <c r="K211" s="4" t="str" cm="1">
        <f t="array" ref="K211">IF(SUMPRODUCT((A211&gt;=SchoolHols[Start])*(A211&lt;=SchoolHols[End]))&gt;0,"Y","N")</f>
        <v>N</v>
      </c>
    </row>
    <row r="212" spans="1:11">
      <c r="A212" s="6">
        <f t="shared" si="23"/>
        <v>44041</v>
      </c>
      <c r="B212" s="4" t="str">
        <f t="shared" si="18"/>
        <v>29</v>
      </c>
      <c r="C212" s="4" t="str">
        <f t="shared" si="19"/>
        <v>07</v>
      </c>
      <c r="D212" s="4" t="str">
        <f t="shared" si="20"/>
        <v>2020</v>
      </c>
      <c r="E212" s="3" t="str">
        <f t="shared" si="21"/>
        <v>Wednesday</v>
      </c>
      <c r="F212" s="4" t="str">
        <f t="shared" si="22"/>
        <v>N</v>
      </c>
      <c r="G212" s="4" t="str">
        <f>IF(COUNTIF(PublicHols[Date], A212)&gt;0, "Y", "N")</f>
        <v>N</v>
      </c>
      <c r="H212" s="3" t="str">
        <f>IFERROR(_xlfn.XLOOKUP(A212, PublicHols[Date], PublicHols[PH_Name]),"")</f>
        <v/>
      </c>
      <c r="I212" s="4" t="str">
        <f>IF(COUNTIF(EventsAll[Date], A212)&gt;0, "Y", "N")</f>
        <v>N</v>
      </c>
      <c r="J212" s="11" t="str">
        <f>IFERROR(_xlfn.XLOOKUP(A212, EventsAll[Date], EventsAll[Event]),"")</f>
        <v/>
      </c>
      <c r="K212" s="4" t="str" cm="1">
        <f t="array" ref="K212">IF(SUMPRODUCT((A212&gt;=SchoolHols[Start])*(A212&lt;=SchoolHols[End]))&gt;0,"Y","N")</f>
        <v>N</v>
      </c>
    </row>
    <row r="213" spans="1:11">
      <c r="A213" s="6">
        <f t="shared" si="23"/>
        <v>44042</v>
      </c>
      <c r="B213" s="4" t="str">
        <f t="shared" si="18"/>
        <v>30</v>
      </c>
      <c r="C213" s="4" t="str">
        <f t="shared" si="19"/>
        <v>07</v>
      </c>
      <c r="D213" s="4" t="str">
        <f t="shared" si="20"/>
        <v>2020</v>
      </c>
      <c r="E213" s="3" t="str">
        <f t="shared" si="21"/>
        <v>Thursday</v>
      </c>
      <c r="F213" s="4" t="str">
        <f t="shared" si="22"/>
        <v>N</v>
      </c>
      <c r="G213" s="4" t="str">
        <f>IF(COUNTIF(PublicHols[Date], A213)&gt;0, "Y", "N")</f>
        <v>N</v>
      </c>
      <c r="H213" s="3" t="str">
        <f>IFERROR(_xlfn.XLOOKUP(A213, PublicHols[Date], PublicHols[PH_Name]),"")</f>
        <v/>
      </c>
      <c r="I213" s="4" t="str">
        <f>IF(COUNTIF(EventsAll[Date], A213)&gt;0, "Y", "N")</f>
        <v>N</v>
      </c>
      <c r="J213" s="11" t="str">
        <f>IFERROR(_xlfn.XLOOKUP(A213, EventsAll[Date], EventsAll[Event]),"")</f>
        <v/>
      </c>
      <c r="K213" s="4" t="str" cm="1">
        <f t="array" ref="K213">IF(SUMPRODUCT((A213&gt;=SchoolHols[Start])*(A213&lt;=SchoolHols[End]))&gt;0,"Y","N")</f>
        <v>N</v>
      </c>
    </row>
    <row r="214" spans="1:11">
      <c r="A214" s="6">
        <f t="shared" si="23"/>
        <v>44043</v>
      </c>
      <c r="B214" s="4" t="str">
        <f t="shared" si="18"/>
        <v>31</v>
      </c>
      <c r="C214" s="4" t="str">
        <f t="shared" si="19"/>
        <v>07</v>
      </c>
      <c r="D214" s="4" t="str">
        <f t="shared" si="20"/>
        <v>2020</v>
      </c>
      <c r="E214" s="3" t="str">
        <f t="shared" si="21"/>
        <v>Friday</v>
      </c>
      <c r="F214" s="4" t="str">
        <f t="shared" si="22"/>
        <v>N</v>
      </c>
      <c r="G214" s="4" t="str">
        <f>IF(COUNTIF(PublicHols[Date], A214)&gt;0, "Y", "N")</f>
        <v>N</v>
      </c>
      <c r="H214" s="3" t="str">
        <f>IFERROR(_xlfn.XLOOKUP(A214, PublicHols[Date], PublicHols[PH_Name]),"")</f>
        <v/>
      </c>
      <c r="I214" s="4" t="str">
        <f>IF(COUNTIF(EventsAll[Date], A214)&gt;0, "Y", "N")</f>
        <v>N</v>
      </c>
      <c r="J214" s="11" t="str">
        <f>IFERROR(_xlfn.XLOOKUP(A214, EventsAll[Date], EventsAll[Event]),"")</f>
        <v/>
      </c>
      <c r="K214" s="4" t="str" cm="1">
        <f t="array" ref="K214">IF(SUMPRODUCT((A214&gt;=SchoolHols[Start])*(A214&lt;=SchoolHols[End]))&gt;0,"Y","N")</f>
        <v>N</v>
      </c>
    </row>
    <row r="215" spans="1:11">
      <c r="A215" s="6">
        <f t="shared" si="23"/>
        <v>44044</v>
      </c>
      <c r="B215" s="4" t="str">
        <f t="shared" si="18"/>
        <v>01</v>
      </c>
      <c r="C215" s="4" t="str">
        <f t="shared" si="19"/>
        <v>08</v>
      </c>
      <c r="D215" s="4" t="str">
        <f t="shared" si="20"/>
        <v>2020</v>
      </c>
      <c r="E215" s="3" t="str">
        <f t="shared" si="21"/>
        <v>Saturday</v>
      </c>
      <c r="F215" s="4" t="str">
        <f t="shared" si="22"/>
        <v>N</v>
      </c>
      <c r="G215" s="4" t="str">
        <f>IF(COUNTIF(PublicHols[Date], A215)&gt;0, "Y", "N")</f>
        <v>N</v>
      </c>
      <c r="H215" s="3" t="str">
        <f>IFERROR(_xlfn.XLOOKUP(A215, PublicHols[Date], PublicHols[PH_Name]),"")</f>
        <v/>
      </c>
      <c r="I215" s="4" t="str">
        <f>IF(COUNTIF(EventsAll[Date], A215)&gt;0, "Y", "N")</f>
        <v>N</v>
      </c>
      <c r="J215" s="11" t="str">
        <f>IFERROR(_xlfn.XLOOKUP(A215, EventsAll[Date], EventsAll[Event]),"")</f>
        <v/>
      </c>
      <c r="K215" s="4" t="str" cm="1">
        <f t="array" ref="K215">IF(SUMPRODUCT((A215&gt;=SchoolHols[Start])*(A215&lt;=SchoolHols[End]))&gt;0,"Y","N")</f>
        <v>N</v>
      </c>
    </row>
    <row r="216" spans="1:11">
      <c r="A216" s="6">
        <f t="shared" si="23"/>
        <v>44045</v>
      </c>
      <c r="B216" s="4" t="str">
        <f t="shared" si="18"/>
        <v>02</v>
      </c>
      <c r="C216" s="4" t="str">
        <f t="shared" si="19"/>
        <v>08</v>
      </c>
      <c r="D216" s="4" t="str">
        <f t="shared" si="20"/>
        <v>2020</v>
      </c>
      <c r="E216" s="3" t="str">
        <f t="shared" si="21"/>
        <v>Sunday</v>
      </c>
      <c r="F216" s="4" t="str">
        <f t="shared" si="22"/>
        <v>Y</v>
      </c>
      <c r="G216" s="4" t="str">
        <f>IF(COUNTIF(PublicHols[Date], A216)&gt;0, "Y", "N")</f>
        <v>N</v>
      </c>
      <c r="H216" s="3" t="str">
        <f>IFERROR(_xlfn.XLOOKUP(A216, PublicHols[Date], PublicHols[PH_Name]),"")</f>
        <v/>
      </c>
      <c r="I216" s="4" t="str">
        <f>IF(COUNTIF(EventsAll[Date], A216)&gt;0, "Y", "N")</f>
        <v>N</v>
      </c>
      <c r="J216" s="11" t="str">
        <f>IFERROR(_xlfn.XLOOKUP(A216, EventsAll[Date], EventsAll[Event]),"")</f>
        <v/>
      </c>
      <c r="K216" s="4" t="str" cm="1">
        <f t="array" ref="K216">IF(SUMPRODUCT((A216&gt;=SchoolHols[Start])*(A216&lt;=SchoolHols[End]))&gt;0,"Y","N")</f>
        <v>N</v>
      </c>
    </row>
    <row r="217" spans="1:11">
      <c r="A217" s="6">
        <f t="shared" si="23"/>
        <v>44046</v>
      </c>
      <c r="B217" s="4" t="str">
        <f t="shared" si="18"/>
        <v>03</v>
      </c>
      <c r="C217" s="4" t="str">
        <f t="shared" si="19"/>
        <v>08</v>
      </c>
      <c r="D217" s="4" t="str">
        <f t="shared" si="20"/>
        <v>2020</v>
      </c>
      <c r="E217" s="3" t="str">
        <f t="shared" si="21"/>
        <v>Monday</v>
      </c>
      <c r="F217" s="4" t="str">
        <f t="shared" si="22"/>
        <v>N</v>
      </c>
      <c r="G217" s="4" t="str">
        <f>IF(COUNTIF(PublicHols[Date], A217)&gt;0, "Y", "N")</f>
        <v>N</v>
      </c>
      <c r="H217" s="3" t="str">
        <f>IFERROR(_xlfn.XLOOKUP(A217, PublicHols[Date], PublicHols[PH_Name]),"")</f>
        <v/>
      </c>
      <c r="I217" s="4" t="str">
        <f>IF(COUNTIF(EventsAll[Date], A217)&gt;0, "Y", "N")</f>
        <v>N</v>
      </c>
      <c r="J217" s="11" t="str">
        <f>IFERROR(_xlfn.XLOOKUP(A217, EventsAll[Date], EventsAll[Event]),"")</f>
        <v/>
      </c>
      <c r="K217" s="4" t="str" cm="1">
        <f t="array" ref="K217">IF(SUMPRODUCT((A217&gt;=SchoolHols[Start])*(A217&lt;=SchoolHols[End]))&gt;0,"Y","N")</f>
        <v>N</v>
      </c>
    </row>
    <row r="218" spans="1:11">
      <c r="A218" s="6">
        <f t="shared" si="23"/>
        <v>44047</v>
      </c>
      <c r="B218" s="4" t="str">
        <f t="shared" si="18"/>
        <v>04</v>
      </c>
      <c r="C218" s="4" t="str">
        <f t="shared" si="19"/>
        <v>08</v>
      </c>
      <c r="D218" s="4" t="str">
        <f t="shared" si="20"/>
        <v>2020</v>
      </c>
      <c r="E218" s="3" t="str">
        <f t="shared" si="21"/>
        <v>Tuesday</v>
      </c>
      <c r="F218" s="4" t="str">
        <f t="shared" si="22"/>
        <v>N</v>
      </c>
      <c r="G218" s="4" t="str">
        <f>IF(COUNTIF(PublicHols[Date], A218)&gt;0, "Y", "N")</f>
        <v>N</v>
      </c>
      <c r="H218" s="3" t="str">
        <f>IFERROR(_xlfn.XLOOKUP(A218, PublicHols[Date], PublicHols[PH_Name]),"")</f>
        <v/>
      </c>
      <c r="I218" s="4" t="str">
        <f>IF(COUNTIF(EventsAll[Date], A218)&gt;0, "Y", "N")</f>
        <v>N</v>
      </c>
      <c r="J218" s="11" t="str">
        <f>IFERROR(_xlfn.XLOOKUP(A218, EventsAll[Date], EventsAll[Event]),"")</f>
        <v/>
      </c>
      <c r="K218" s="4" t="str" cm="1">
        <f t="array" ref="K218">IF(SUMPRODUCT((A218&gt;=SchoolHols[Start])*(A218&lt;=SchoolHols[End]))&gt;0,"Y","N")</f>
        <v>N</v>
      </c>
    </row>
    <row r="219" spans="1:11">
      <c r="A219" s="6">
        <f t="shared" si="23"/>
        <v>44048</v>
      </c>
      <c r="B219" s="4" t="str">
        <f t="shared" si="18"/>
        <v>05</v>
      </c>
      <c r="C219" s="4" t="str">
        <f t="shared" si="19"/>
        <v>08</v>
      </c>
      <c r="D219" s="4" t="str">
        <f t="shared" si="20"/>
        <v>2020</v>
      </c>
      <c r="E219" s="3" t="str">
        <f t="shared" si="21"/>
        <v>Wednesday</v>
      </c>
      <c r="F219" s="4" t="str">
        <f t="shared" si="22"/>
        <v>N</v>
      </c>
      <c r="G219" s="4" t="str">
        <f>IF(COUNTIF(PublicHols[Date], A219)&gt;0, "Y", "N")</f>
        <v>N</v>
      </c>
      <c r="H219" s="3" t="str">
        <f>IFERROR(_xlfn.XLOOKUP(A219, PublicHols[Date], PublicHols[PH_Name]),"")</f>
        <v/>
      </c>
      <c r="I219" s="4" t="str">
        <f>IF(COUNTIF(EventsAll[Date], A219)&gt;0, "Y", "N")</f>
        <v>N</v>
      </c>
      <c r="J219" s="11" t="str">
        <f>IFERROR(_xlfn.XLOOKUP(A219, EventsAll[Date], EventsAll[Event]),"")</f>
        <v/>
      </c>
      <c r="K219" s="4" t="str" cm="1">
        <f t="array" ref="K219">IF(SUMPRODUCT((A219&gt;=SchoolHols[Start])*(A219&lt;=SchoolHols[End]))&gt;0,"Y","N")</f>
        <v>N</v>
      </c>
    </row>
    <row r="220" spans="1:11">
      <c r="A220" s="6">
        <f t="shared" si="23"/>
        <v>44049</v>
      </c>
      <c r="B220" s="4" t="str">
        <f t="shared" si="18"/>
        <v>06</v>
      </c>
      <c r="C220" s="4" t="str">
        <f t="shared" si="19"/>
        <v>08</v>
      </c>
      <c r="D220" s="4" t="str">
        <f t="shared" si="20"/>
        <v>2020</v>
      </c>
      <c r="E220" s="3" t="str">
        <f t="shared" si="21"/>
        <v>Thursday</v>
      </c>
      <c r="F220" s="4" t="str">
        <f t="shared" si="22"/>
        <v>N</v>
      </c>
      <c r="G220" s="4" t="str">
        <f>IF(COUNTIF(PublicHols[Date], A220)&gt;0, "Y", "N")</f>
        <v>N</v>
      </c>
      <c r="H220" s="3" t="str">
        <f>IFERROR(_xlfn.XLOOKUP(A220, PublicHols[Date], PublicHols[PH_Name]),"")</f>
        <v/>
      </c>
      <c r="I220" s="4" t="str">
        <f>IF(COUNTIF(EventsAll[Date], A220)&gt;0, "Y", "N")</f>
        <v>N</v>
      </c>
      <c r="J220" s="11" t="str">
        <f>IFERROR(_xlfn.XLOOKUP(A220, EventsAll[Date], EventsAll[Event]),"")</f>
        <v/>
      </c>
      <c r="K220" s="4" t="str" cm="1">
        <f t="array" ref="K220">IF(SUMPRODUCT((A220&gt;=SchoolHols[Start])*(A220&lt;=SchoolHols[End]))&gt;0,"Y","N")</f>
        <v>N</v>
      </c>
    </row>
    <row r="221" spans="1:11">
      <c r="A221" s="6">
        <f t="shared" si="23"/>
        <v>44050</v>
      </c>
      <c r="B221" s="4" t="str">
        <f t="shared" si="18"/>
        <v>07</v>
      </c>
      <c r="C221" s="4" t="str">
        <f t="shared" si="19"/>
        <v>08</v>
      </c>
      <c r="D221" s="4" t="str">
        <f t="shared" si="20"/>
        <v>2020</v>
      </c>
      <c r="E221" s="3" t="str">
        <f t="shared" si="21"/>
        <v>Friday</v>
      </c>
      <c r="F221" s="4" t="str">
        <f t="shared" si="22"/>
        <v>N</v>
      </c>
      <c r="G221" s="4" t="str">
        <f>IF(COUNTIF(PublicHols[Date], A221)&gt;0, "Y", "N")</f>
        <v>N</v>
      </c>
      <c r="H221" s="3" t="str">
        <f>IFERROR(_xlfn.XLOOKUP(A221, PublicHols[Date], PublicHols[PH_Name]),"")</f>
        <v/>
      </c>
      <c r="I221" s="4" t="str">
        <f>IF(COUNTIF(EventsAll[Date], A221)&gt;0, "Y", "N")</f>
        <v>N</v>
      </c>
      <c r="J221" s="11" t="str">
        <f>IFERROR(_xlfn.XLOOKUP(A221, EventsAll[Date], EventsAll[Event]),"")</f>
        <v/>
      </c>
      <c r="K221" s="4" t="str" cm="1">
        <f t="array" ref="K221">IF(SUMPRODUCT((A221&gt;=SchoolHols[Start])*(A221&lt;=SchoolHols[End]))&gt;0,"Y","N")</f>
        <v>N</v>
      </c>
    </row>
    <row r="222" spans="1:11">
      <c r="A222" s="6">
        <f t="shared" si="23"/>
        <v>44051</v>
      </c>
      <c r="B222" s="4" t="str">
        <f t="shared" si="18"/>
        <v>08</v>
      </c>
      <c r="C222" s="4" t="str">
        <f t="shared" si="19"/>
        <v>08</v>
      </c>
      <c r="D222" s="4" t="str">
        <f t="shared" si="20"/>
        <v>2020</v>
      </c>
      <c r="E222" s="3" t="str">
        <f t="shared" si="21"/>
        <v>Saturday</v>
      </c>
      <c r="F222" s="4" t="str">
        <f t="shared" si="22"/>
        <v>N</v>
      </c>
      <c r="G222" s="4" t="str">
        <f>IF(COUNTIF(PublicHols[Date], A222)&gt;0, "Y", "N")</f>
        <v>N</v>
      </c>
      <c r="H222" s="3" t="str">
        <f>IFERROR(_xlfn.XLOOKUP(A222, PublicHols[Date], PublicHols[PH_Name]),"")</f>
        <v/>
      </c>
      <c r="I222" s="4" t="str">
        <f>IF(COUNTIF(EventsAll[Date], A222)&gt;0, "Y", "N")</f>
        <v>N</v>
      </c>
      <c r="J222" s="11" t="str">
        <f>IFERROR(_xlfn.XLOOKUP(A222, EventsAll[Date], EventsAll[Event]),"")</f>
        <v/>
      </c>
      <c r="K222" s="4" t="str" cm="1">
        <f t="array" ref="K222">IF(SUMPRODUCT((A222&gt;=SchoolHols[Start])*(A222&lt;=SchoolHols[End]))&gt;0,"Y","N")</f>
        <v>N</v>
      </c>
    </row>
    <row r="223" spans="1:11">
      <c r="A223" s="6">
        <f t="shared" si="23"/>
        <v>44052</v>
      </c>
      <c r="B223" s="4" t="str">
        <f t="shared" si="18"/>
        <v>09</v>
      </c>
      <c r="C223" s="4" t="str">
        <f t="shared" si="19"/>
        <v>08</v>
      </c>
      <c r="D223" s="4" t="str">
        <f t="shared" si="20"/>
        <v>2020</v>
      </c>
      <c r="E223" s="3" t="str">
        <f t="shared" si="21"/>
        <v>Sunday</v>
      </c>
      <c r="F223" s="4" t="str">
        <f t="shared" si="22"/>
        <v>Y</v>
      </c>
      <c r="G223" s="4" t="str">
        <f>IF(COUNTIF(PublicHols[Date], A223)&gt;0, "Y", "N")</f>
        <v>Y</v>
      </c>
      <c r="H223" s="3" t="str">
        <f>IFERROR(_xlfn.XLOOKUP(A223, PublicHols[Date], PublicHols[PH_Name]),"")</f>
        <v>National Women's Day</v>
      </c>
      <c r="I223" s="4" t="str">
        <f>IF(COUNTIF(EventsAll[Date], A223)&gt;0, "Y", "N")</f>
        <v>N</v>
      </c>
      <c r="J223" s="11" t="str">
        <f>IFERROR(_xlfn.XLOOKUP(A223, EventsAll[Date], EventsAll[Event]),"")</f>
        <v/>
      </c>
      <c r="K223" s="4" t="str" cm="1">
        <f t="array" ref="K223">IF(SUMPRODUCT((A223&gt;=SchoolHols[Start])*(A223&lt;=SchoolHols[End]))&gt;0,"Y","N")</f>
        <v>N</v>
      </c>
    </row>
    <row r="224" spans="1:11">
      <c r="A224" s="6">
        <f t="shared" si="23"/>
        <v>44053</v>
      </c>
      <c r="B224" s="4" t="str">
        <f t="shared" si="18"/>
        <v>10</v>
      </c>
      <c r="C224" s="4" t="str">
        <f t="shared" si="19"/>
        <v>08</v>
      </c>
      <c r="D224" s="4" t="str">
        <f t="shared" si="20"/>
        <v>2020</v>
      </c>
      <c r="E224" s="3" t="str">
        <f t="shared" si="21"/>
        <v>Monday</v>
      </c>
      <c r="F224" s="4" t="str">
        <f t="shared" si="22"/>
        <v>N</v>
      </c>
      <c r="G224" s="4" t="str">
        <f>IF(COUNTIF(PublicHols[Date], A224)&gt;0, "Y", "N")</f>
        <v>Y</v>
      </c>
      <c r="H224" s="3" t="str">
        <f>IFERROR(_xlfn.XLOOKUP(A224, PublicHols[Date], PublicHols[PH_Name]),"")</f>
        <v>Public Holiday (Observed)</v>
      </c>
      <c r="I224" s="4" t="str">
        <f>IF(COUNTIF(EventsAll[Date], A224)&gt;0, "Y", "N")</f>
        <v>N</v>
      </c>
      <c r="J224" s="11" t="str">
        <f>IFERROR(_xlfn.XLOOKUP(A224, EventsAll[Date], EventsAll[Event]),"")</f>
        <v/>
      </c>
      <c r="K224" s="4" t="str" cm="1">
        <f t="array" ref="K224">IF(SUMPRODUCT((A224&gt;=SchoolHols[Start])*(A224&lt;=SchoolHols[End]))&gt;0,"Y","N")</f>
        <v>N</v>
      </c>
    </row>
    <row r="225" spans="1:11">
      <c r="A225" s="6">
        <f t="shared" si="23"/>
        <v>44054</v>
      </c>
      <c r="B225" s="4" t="str">
        <f t="shared" si="18"/>
        <v>11</v>
      </c>
      <c r="C225" s="4" t="str">
        <f t="shared" si="19"/>
        <v>08</v>
      </c>
      <c r="D225" s="4" t="str">
        <f t="shared" si="20"/>
        <v>2020</v>
      </c>
      <c r="E225" s="3" t="str">
        <f t="shared" si="21"/>
        <v>Tuesday</v>
      </c>
      <c r="F225" s="4" t="str">
        <f t="shared" si="22"/>
        <v>N</v>
      </c>
      <c r="G225" s="4" t="str">
        <f>IF(COUNTIF(PublicHols[Date], A225)&gt;0, "Y", "N")</f>
        <v>N</v>
      </c>
      <c r="H225" s="3" t="str">
        <f>IFERROR(_xlfn.XLOOKUP(A225, PublicHols[Date], PublicHols[PH_Name]),"")</f>
        <v/>
      </c>
      <c r="I225" s="4" t="str">
        <f>IF(COUNTIF(EventsAll[Date], A225)&gt;0, "Y", "N")</f>
        <v>N</v>
      </c>
      <c r="J225" s="11" t="str">
        <f>IFERROR(_xlfn.XLOOKUP(A225, EventsAll[Date], EventsAll[Event]),"")</f>
        <v/>
      </c>
      <c r="K225" s="4" t="str" cm="1">
        <f t="array" ref="K225">IF(SUMPRODUCT((A225&gt;=SchoolHols[Start])*(A225&lt;=SchoolHols[End]))&gt;0,"Y","N")</f>
        <v>N</v>
      </c>
    </row>
    <row r="226" spans="1:11">
      <c r="A226" s="6">
        <f t="shared" si="23"/>
        <v>44055</v>
      </c>
      <c r="B226" s="4" t="str">
        <f t="shared" si="18"/>
        <v>12</v>
      </c>
      <c r="C226" s="4" t="str">
        <f t="shared" si="19"/>
        <v>08</v>
      </c>
      <c r="D226" s="4" t="str">
        <f t="shared" si="20"/>
        <v>2020</v>
      </c>
      <c r="E226" s="3" t="str">
        <f t="shared" si="21"/>
        <v>Wednesday</v>
      </c>
      <c r="F226" s="4" t="str">
        <f t="shared" si="22"/>
        <v>N</v>
      </c>
      <c r="G226" s="4" t="str">
        <f>IF(COUNTIF(PublicHols[Date], A226)&gt;0, "Y", "N")</f>
        <v>N</v>
      </c>
      <c r="H226" s="3" t="str">
        <f>IFERROR(_xlfn.XLOOKUP(A226, PublicHols[Date], PublicHols[PH_Name]),"")</f>
        <v/>
      </c>
      <c r="I226" s="4" t="str">
        <f>IF(COUNTIF(EventsAll[Date], A226)&gt;0, "Y", "N")</f>
        <v>N</v>
      </c>
      <c r="J226" s="11" t="str">
        <f>IFERROR(_xlfn.XLOOKUP(A226, EventsAll[Date], EventsAll[Event]),"")</f>
        <v/>
      </c>
      <c r="K226" s="4" t="str" cm="1">
        <f t="array" ref="K226">IF(SUMPRODUCT((A226&gt;=SchoolHols[Start])*(A226&lt;=SchoolHols[End]))&gt;0,"Y","N")</f>
        <v>N</v>
      </c>
    </row>
    <row r="227" spans="1:11">
      <c r="A227" s="6">
        <f t="shared" si="23"/>
        <v>44056</v>
      </c>
      <c r="B227" s="4" t="str">
        <f t="shared" si="18"/>
        <v>13</v>
      </c>
      <c r="C227" s="4" t="str">
        <f t="shared" si="19"/>
        <v>08</v>
      </c>
      <c r="D227" s="4" t="str">
        <f t="shared" si="20"/>
        <v>2020</v>
      </c>
      <c r="E227" s="3" t="str">
        <f t="shared" si="21"/>
        <v>Thursday</v>
      </c>
      <c r="F227" s="4" t="str">
        <f t="shared" si="22"/>
        <v>N</v>
      </c>
      <c r="G227" s="4" t="str">
        <f>IF(COUNTIF(PublicHols[Date], A227)&gt;0, "Y", "N")</f>
        <v>N</v>
      </c>
      <c r="H227" s="3" t="str">
        <f>IFERROR(_xlfn.XLOOKUP(A227, PublicHols[Date], PublicHols[PH_Name]),"")</f>
        <v/>
      </c>
      <c r="I227" s="4" t="str">
        <f>IF(COUNTIF(EventsAll[Date], A227)&gt;0, "Y", "N")</f>
        <v>N</v>
      </c>
      <c r="J227" s="11" t="str">
        <f>IFERROR(_xlfn.XLOOKUP(A227, EventsAll[Date], EventsAll[Event]),"")</f>
        <v/>
      </c>
      <c r="K227" s="4" t="str" cm="1">
        <f t="array" ref="K227">IF(SUMPRODUCT((A227&gt;=SchoolHols[Start])*(A227&lt;=SchoolHols[End]))&gt;0,"Y","N")</f>
        <v>N</v>
      </c>
    </row>
    <row r="228" spans="1:11">
      <c r="A228" s="6">
        <f t="shared" si="23"/>
        <v>44057</v>
      </c>
      <c r="B228" s="4" t="str">
        <f t="shared" si="18"/>
        <v>14</v>
      </c>
      <c r="C228" s="4" t="str">
        <f t="shared" si="19"/>
        <v>08</v>
      </c>
      <c r="D228" s="4" t="str">
        <f t="shared" si="20"/>
        <v>2020</v>
      </c>
      <c r="E228" s="3" t="str">
        <f t="shared" si="21"/>
        <v>Friday</v>
      </c>
      <c r="F228" s="4" t="str">
        <f t="shared" si="22"/>
        <v>N</v>
      </c>
      <c r="G228" s="4" t="str">
        <f>IF(COUNTIF(PublicHols[Date], A228)&gt;0, "Y", "N")</f>
        <v>N</v>
      </c>
      <c r="H228" s="3" t="str">
        <f>IFERROR(_xlfn.XLOOKUP(A228, PublicHols[Date], PublicHols[PH_Name]),"")</f>
        <v/>
      </c>
      <c r="I228" s="4" t="str">
        <f>IF(COUNTIF(EventsAll[Date], A228)&gt;0, "Y", "N")</f>
        <v>N</v>
      </c>
      <c r="J228" s="11" t="str">
        <f>IFERROR(_xlfn.XLOOKUP(A228, EventsAll[Date], EventsAll[Event]),"")</f>
        <v/>
      </c>
      <c r="K228" s="4" t="str" cm="1">
        <f t="array" ref="K228">IF(SUMPRODUCT((A228&gt;=SchoolHols[Start])*(A228&lt;=SchoolHols[End]))&gt;0,"Y","N")</f>
        <v>N</v>
      </c>
    </row>
    <row r="229" spans="1:11">
      <c r="A229" s="6">
        <f t="shared" si="23"/>
        <v>44058</v>
      </c>
      <c r="B229" s="4" t="str">
        <f t="shared" si="18"/>
        <v>15</v>
      </c>
      <c r="C229" s="4" t="str">
        <f t="shared" si="19"/>
        <v>08</v>
      </c>
      <c r="D229" s="4" t="str">
        <f t="shared" si="20"/>
        <v>2020</v>
      </c>
      <c r="E229" s="3" t="str">
        <f t="shared" si="21"/>
        <v>Saturday</v>
      </c>
      <c r="F229" s="4" t="str">
        <f t="shared" si="22"/>
        <v>N</v>
      </c>
      <c r="G229" s="4" t="str">
        <f>IF(COUNTIF(PublicHols[Date], A229)&gt;0, "Y", "N")</f>
        <v>N</v>
      </c>
      <c r="H229" s="3" t="str">
        <f>IFERROR(_xlfn.XLOOKUP(A229, PublicHols[Date], PublicHols[PH_Name]),"")</f>
        <v/>
      </c>
      <c r="I229" s="4" t="str">
        <f>IF(COUNTIF(EventsAll[Date], A229)&gt;0, "Y", "N")</f>
        <v>N</v>
      </c>
      <c r="J229" s="11" t="str">
        <f>IFERROR(_xlfn.XLOOKUP(A229, EventsAll[Date], EventsAll[Event]),"")</f>
        <v/>
      </c>
      <c r="K229" s="4" t="str" cm="1">
        <f t="array" ref="K229">IF(SUMPRODUCT((A229&gt;=SchoolHols[Start])*(A229&lt;=SchoolHols[End]))&gt;0,"Y","N")</f>
        <v>N</v>
      </c>
    </row>
    <row r="230" spans="1:11">
      <c r="A230" s="6">
        <f t="shared" si="23"/>
        <v>44059</v>
      </c>
      <c r="B230" s="4" t="str">
        <f t="shared" si="18"/>
        <v>16</v>
      </c>
      <c r="C230" s="4" t="str">
        <f t="shared" si="19"/>
        <v>08</v>
      </c>
      <c r="D230" s="4" t="str">
        <f t="shared" si="20"/>
        <v>2020</v>
      </c>
      <c r="E230" s="3" t="str">
        <f t="shared" si="21"/>
        <v>Sunday</v>
      </c>
      <c r="F230" s="4" t="str">
        <f t="shared" si="22"/>
        <v>Y</v>
      </c>
      <c r="G230" s="4" t="str">
        <f>IF(COUNTIF(PublicHols[Date], A230)&gt;0, "Y", "N")</f>
        <v>N</v>
      </c>
      <c r="H230" s="3" t="str">
        <f>IFERROR(_xlfn.XLOOKUP(A230, PublicHols[Date], PublicHols[PH_Name]),"")</f>
        <v/>
      </c>
      <c r="I230" s="4" t="str">
        <f>IF(COUNTIF(EventsAll[Date], A230)&gt;0, "Y", "N")</f>
        <v>N</v>
      </c>
      <c r="J230" s="11" t="str">
        <f>IFERROR(_xlfn.XLOOKUP(A230, EventsAll[Date], EventsAll[Event]),"")</f>
        <v/>
      </c>
      <c r="K230" s="4" t="str" cm="1">
        <f t="array" ref="K230">IF(SUMPRODUCT((A230&gt;=SchoolHols[Start])*(A230&lt;=SchoolHols[End]))&gt;0,"Y","N")</f>
        <v>N</v>
      </c>
    </row>
    <row r="231" spans="1:11">
      <c r="A231" s="6">
        <f t="shared" si="23"/>
        <v>44060</v>
      </c>
      <c r="B231" s="4" t="str">
        <f t="shared" si="18"/>
        <v>17</v>
      </c>
      <c r="C231" s="4" t="str">
        <f t="shared" si="19"/>
        <v>08</v>
      </c>
      <c r="D231" s="4" t="str">
        <f t="shared" si="20"/>
        <v>2020</v>
      </c>
      <c r="E231" s="3" t="str">
        <f t="shared" si="21"/>
        <v>Monday</v>
      </c>
      <c r="F231" s="4" t="str">
        <f t="shared" si="22"/>
        <v>N</v>
      </c>
      <c r="G231" s="4" t="str">
        <f>IF(COUNTIF(PublicHols[Date], A231)&gt;0, "Y", "N")</f>
        <v>N</v>
      </c>
      <c r="H231" s="3" t="str">
        <f>IFERROR(_xlfn.XLOOKUP(A231, PublicHols[Date], PublicHols[PH_Name]),"")</f>
        <v/>
      </c>
      <c r="I231" s="4" t="str">
        <f>IF(COUNTIF(EventsAll[Date], A231)&gt;0, "Y", "N")</f>
        <v>N</v>
      </c>
      <c r="J231" s="11" t="str">
        <f>IFERROR(_xlfn.XLOOKUP(A231, EventsAll[Date], EventsAll[Event]),"")</f>
        <v/>
      </c>
      <c r="K231" s="4" t="str" cm="1">
        <f t="array" ref="K231">IF(SUMPRODUCT((A231&gt;=SchoolHols[Start])*(A231&lt;=SchoolHols[End]))&gt;0,"Y","N")</f>
        <v>N</v>
      </c>
    </row>
    <row r="232" spans="1:11">
      <c r="A232" s="6">
        <f t="shared" si="23"/>
        <v>44061</v>
      </c>
      <c r="B232" s="4" t="str">
        <f t="shared" si="18"/>
        <v>18</v>
      </c>
      <c r="C232" s="4" t="str">
        <f t="shared" si="19"/>
        <v>08</v>
      </c>
      <c r="D232" s="4" t="str">
        <f t="shared" si="20"/>
        <v>2020</v>
      </c>
      <c r="E232" s="3" t="str">
        <f t="shared" si="21"/>
        <v>Tuesday</v>
      </c>
      <c r="F232" s="4" t="str">
        <f t="shared" si="22"/>
        <v>N</v>
      </c>
      <c r="G232" s="4" t="str">
        <f>IF(COUNTIF(PublicHols[Date], A232)&gt;0, "Y", "N")</f>
        <v>N</v>
      </c>
      <c r="H232" s="3" t="str">
        <f>IFERROR(_xlfn.XLOOKUP(A232, PublicHols[Date], PublicHols[PH_Name]),"")</f>
        <v/>
      </c>
      <c r="I232" s="4" t="str">
        <f>IF(COUNTIF(EventsAll[Date], A232)&gt;0, "Y", "N")</f>
        <v>N</v>
      </c>
      <c r="J232" s="11" t="str">
        <f>IFERROR(_xlfn.XLOOKUP(A232, EventsAll[Date], EventsAll[Event]),"")</f>
        <v/>
      </c>
      <c r="K232" s="4" t="str" cm="1">
        <f t="array" ref="K232">IF(SUMPRODUCT((A232&gt;=SchoolHols[Start])*(A232&lt;=SchoolHols[End]))&gt;0,"Y","N")</f>
        <v>N</v>
      </c>
    </row>
    <row r="233" spans="1:11">
      <c r="A233" s="6">
        <f t="shared" si="23"/>
        <v>44062</v>
      </c>
      <c r="B233" s="4" t="str">
        <f t="shared" si="18"/>
        <v>19</v>
      </c>
      <c r="C233" s="4" t="str">
        <f t="shared" si="19"/>
        <v>08</v>
      </c>
      <c r="D233" s="4" t="str">
        <f t="shared" si="20"/>
        <v>2020</v>
      </c>
      <c r="E233" s="3" t="str">
        <f t="shared" si="21"/>
        <v>Wednesday</v>
      </c>
      <c r="F233" s="4" t="str">
        <f t="shared" si="22"/>
        <v>N</v>
      </c>
      <c r="G233" s="4" t="str">
        <f>IF(COUNTIF(PublicHols[Date], A233)&gt;0, "Y", "N")</f>
        <v>N</v>
      </c>
      <c r="H233" s="3" t="str">
        <f>IFERROR(_xlfn.XLOOKUP(A233, PublicHols[Date], PublicHols[PH_Name]),"")</f>
        <v/>
      </c>
      <c r="I233" s="4" t="str">
        <f>IF(COUNTIF(EventsAll[Date], A233)&gt;0, "Y", "N")</f>
        <v>N</v>
      </c>
      <c r="J233" s="11" t="str">
        <f>IFERROR(_xlfn.XLOOKUP(A233, EventsAll[Date], EventsAll[Event]),"")</f>
        <v/>
      </c>
      <c r="K233" s="4" t="str" cm="1">
        <f t="array" ref="K233">IF(SUMPRODUCT((A233&gt;=SchoolHols[Start])*(A233&lt;=SchoolHols[End]))&gt;0,"Y","N")</f>
        <v>N</v>
      </c>
    </row>
    <row r="234" spans="1:11">
      <c r="A234" s="6">
        <f t="shared" si="23"/>
        <v>44063</v>
      </c>
      <c r="B234" s="4" t="str">
        <f t="shared" si="18"/>
        <v>20</v>
      </c>
      <c r="C234" s="4" t="str">
        <f t="shared" si="19"/>
        <v>08</v>
      </c>
      <c r="D234" s="4" t="str">
        <f t="shared" si="20"/>
        <v>2020</v>
      </c>
      <c r="E234" s="3" t="str">
        <f t="shared" si="21"/>
        <v>Thursday</v>
      </c>
      <c r="F234" s="4" t="str">
        <f t="shared" si="22"/>
        <v>N</v>
      </c>
      <c r="G234" s="4" t="str">
        <f>IF(COUNTIF(PublicHols[Date], A234)&gt;0, "Y", "N")</f>
        <v>N</v>
      </c>
      <c r="H234" s="3" t="str">
        <f>IFERROR(_xlfn.XLOOKUP(A234, PublicHols[Date], PublicHols[PH_Name]),"")</f>
        <v/>
      </c>
      <c r="I234" s="4" t="str">
        <f>IF(COUNTIF(EventsAll[Date], A234)&gt;0, "Y", "N")</f>
        <v>N</v>
      </c>
      <c r="J234" s="11" t="str">
        <f>IFERROR(_xlfn.XLOOKUP(A234, EventsAll[Date], EventsAll[Event]),"")</f>
        <v/>
      </c>
      <c r="K234" s="4" t="str" cm="1">
        <f t="array" ref="K234">IF(SUMPRODUCT((A234&gt;=SchoolHols[Start])*(A234&lt;=SchoolHols[End]))&gt;0,"Y","N")</f>
        <v>N</v>
      </c>
    </row>
    <row r="235" spans="1:11">
      <c r="A235" s="6">
        <f t="shared" si="23"/>
        <v>44064</v>
      </c>
      <c r="B235" s="4" t="str">
        <f t="shared" si="18"/>
        <v>21</v>
      </c>
      <c r="C235" s="4" t="str">
        <f t="shared" si="19"/>
        <v>08</v>
      </c>
      <c r="D235" s="4" t="str">
        <f t="shared" si="20"/>
        <v>2020</v>
      </c>
      <c r="E235" s="3" t="str">
        <f t="shared" si="21"/>
        <v>Friday</v>
      </c>
      <c r="F235" s="4" t="str">
        <f t="shared" si="22"/>
        <v>N</v>
      </c>
      <c r="G235" s="4" t="str">
        <f>IF(COUNTIF(PublicHols[Date], A235)&gt;0, "Y", "N")</f>
        <v>N</v>
      </c>
      <c r="H235" s="3" t="str">
        <f>IFERROR(_xlfn.XLOOKUP(A235, PublicHols[Date], PublicHols[PH_Name]),"")</f>
        <v/>
      </c>
      <c r="I235" s="4" t="str">
        <f>IF(COUNTIF(EventsAll[Date], A235)&gt;0, "Y", "N")</f>
        <v>N</v>
      </c>
      <c r="J235" s="11" t="str">
        <f>IFERROR(_xlfn.XLOOKUP(A235, EventsAll[Date], EventsAll[Event]),"")</f>
        <v/>
      </c>
      <c r="K235" s="4" t="str" cm="1">
        <f t="array" ref="K235">IF(SUMPRODUCT((A235&gt;=SchoolHols[Start])*(A235&lt;=SchoolHols[End]))&gt;0,"Y","N")</f>
        <v>N</v>
      </c>
    </row>
    <row r="236" spans="1:11">
      <c r="A236" s="6">
        <f t="shared" si="23"/>
        <v>44065</v>
      </c>
      <c r="B236" s="4" t="str">
        <f t="shared" si="18"/>
        <v>22</v>
      </c>
      <c r="C236" s="4" t="str">
        <f t="shared" si="19"/>
        <v>08</v>
      </c>
      <c r="D236" s="4" t="str">
        <f t="shared" si="20"/>
        <v>2020</v>
      </c>
      <c r="E236" s="3" t="str">
        <f t="shared" si="21"/>
        <v>Saturday</v>
      </c>
      <c r="F236" s="4" t="str">
        <f t="shared" si="22"/>
        <v>N</v>
      </c>
      <c r="G236" s="4" t="str">
        <f>IF(COUNTIF(PublicHols[Date], A236)&gt;0, "Y", "N")</f>
        <v>N</v>
      </c>
      <c r="H236" s="3" t="str">
        <f>IFERROR(_xlfn.XLOOKUP(A236, PublicHols[Date], PublicHols[PH_Name]),"")</f>
        <v/>
      </c>
      <c r="I236" s="4" t="str">
        <f>IF(COUNTIF(EventsAll[Date], A236)&gt;0, "Y", "N")</f>
        <v>N</v>
      </c>
      <c r="J236" s="11" t="str">
        <f>IFERROR(_xlfn.XLOOKUP(A236, EventsAll[Date], EventsAll[Event]),"")</f>
        <v/>
      </c>
      <c r="K236" s="4" t="str" cm="1">
        <f t="array" ref="K236">IF(SUMPRODUCT((A236&gt;=SchoolHols[Start])*(A236&lt;=SchoolHols[End]))&gt;0,"Y","N")</f>
        <v>N</v>
      </c>
    </row>
    <row r="237" spans="1:11">
      <c r="A237" s="6">
        <f t="shared" si="23"/>
        <v>44066</v>
      </c>
      <c r="B237" s="4" t="str">
        <f t="shared" si="18"/>
        <v>23</v>
      </c>
      <c r="C237" s="4" t="str">
        <f t="shared" si="19"/>
        <v>08</v>
      </c>
      <c r="D237" s="4" t="str">
        <f t="shared" si="20"/>
        <v>2020</v>
      </c>
      <c r="E237" s="3" t="str">
        <f t="shared" si="21"/>
        <v>Sunday</v>
      </c>
      <c r="F237" s="4" t="str">
        <f t="shared" si="22"/>
        <v>Y</v>
      </c>
      <c r="G237" s="4" t="str">
        <f>IF(COUNTIF(PublicHols[Date], A237)&gt;0, "Y", "N")</f>
        <v>N</v>
      </c>
      <c r="H237" s="3" t="str">
        <f>IFERROR(_xlfn.XLOOKUP(A237, PublicHols[Date], PublicHols[PH_Name]),"")</f>
        <v/>
      </c>
      <c r="I237" s="4" t="str">
        <f>IF(COUNTIF(EventsAll[Date], A237)&gt;0, "Y", "N")</f>
        <v>N</v>
      </c>
      <c r="J237" s="11" t="str">
        <f>IFERROR(_xlfn.XLOOKUP(A237, EventsAll[Date], EventsAll[Event]),"")</f>
        <v/>
      </c>
      <c r="K237" s="4" t="str" cm="1">
        <f t="array" ref="K237">IF(SUMPRODUCT((A237&gt;=SchoolHols[Start])*(A237&lt;=SchoolHols[End]))&gt;0,"Y","N")</f>
        <v>N</v>
      </c>
    </row>
    <row r="238" spans="1:11">
      <c r="A238" s="6">
        <f t="shared" si="23"/>
        <v>44067</v>
      </c>
      <c r="B238" s="4" t="str">
        <f t="shared" si="18"/>
        <v>24</v>
      </c>
      <c r="C238" s="4" t="str">
        <f t="shared" si="19"/>
        <v>08</v>
      </c>
      <c r="D238" s="4" t="str">
        <f t="shared" si="20"/>
        <v>2020</v>
      </c>
      <c r="E238" s="3" t="str">
        <f t="shared" si="21"/>
        <v>Monday</v>
      </c>
      <c r="F238" s="4" t="str">
        <f t="shared" si="22"/>
        <v>N</v>
      </c>
      <c r="G238" s="4" t="str">
        <f>IF(COUNTIF(PublicHols[Date], A238)&gt;0, "Y", "N")</f>
        <v>N</v>
      </c>
      <c r="H238" s="3" t="str">
        <f>IFERROR(_xlfn.XLOOKUP(A238, PublicHols[Date], PublicHols[PH_Name]),"")</f>
        <v/>
      </c>
      <c r="I238" s="4" t="str">
        <f>IF(COUNTIF(EventsAll[Date], A238)&gt;0, "Y", "N")</f>
        <v>N</v>
      </c>
      <c r="J238" s="11" t="str">
        <f>IFERROR(_xlfn.XLOOKUP(A238, EventsAll[Date], EventsAll[Event]),"")</f>
        <v/>
      </c>
      <c r="K238" s="4" t="str" cm="1">
        <f t="array" ref="K238">IF(SUMPRODUCT((A238&gt;=SchoolHols[Start])*(A238&lt;=SchoolHols[End]))&gt;0,"Y","N")</f>
        <v>N</v>
      </c>
    </row>
    <row r="239" spans="1:11">
      <c r="A239" s="6">
        <f t="shared" si="23"/>
        <v>44068</v>
      </c>
      <c r="B239" s="4" t="str">
        <f t="shared" si="18"/>
        <v>25</v>
      </c>
      <c r="C239" s="4" t="str">
        <f t="shared" si="19"/>
        <v>08</v>
      </c>
      <c r="D239" s="4" t="str">
        <f t="shared" si="20"/>
        <v>2020</v>
      </c>
      <c r="E239" s="3" t="str">
        <f t="shared" si="21"/>
        <v>Tuesday</v>
      </c>
      <c r="F239" s="4" t="str">
        <f t="shared" si="22"/>
        <v>N</v>
      </c>
      <c r="G239" s="4" t="str">
        <f>IF(COUNTIF(PublicHols[Date], A239)&gt;0, "Y", "N")</f>
        <v>N</v>
      </c>
      <c r="H239" s="3" t="str">
        <f>IFERROR(_xlfn.XLOOKUP(A239, PublicHols[Date], PublicHols[PH_Name]),"")</f>
        <v/>
      </c>
      <c r="I239" s="4" t="str">
        <f>IF(COUNTIF(EventsAll[Date], A239)&gt;0, "Y", "N")</f>
        <v>N</v>
      </c>
      <c r="J239" s="11" t="str">
        <f>IFERROR(_xlfn.XLOOKUP(A239, EventsAll[Date], EventsAll[Event]),"")</f>
        <v/>
      </c>
      <c r="K239" s="4" t="str" cm="1">
        <f t="array" ref="K239">IF(SUMPRODUCT((A239&gt;=SchoolHols[Start])*(A239&lt;=SchoolHols[End]))&gt;0,"Y","N")</f>
        <v>N</v>
      </c>
    </row>
    <row r="240" spans="1:11">
      <c r="A240" s="6">
        <f t="shared" si="23"/>
        <v>44069</v>
      </c>
      <c r="B240" s="4" t="str">
        <f t="shared" si="18"/>
        <v>26</v>
      </c>
      <c r="C240" s="4" t="str">
        <f t="shared" si="19"/>
        <v>08</v>
      </c>
      <c r="D240" s="4" t="str">
        <f t="shared" si="20"/>
        <v>2020</v>
      </c>
      <c r="E240" s="3" t="str">
        <f t="shared" si="21"/>
        <v>Wednesday</v>
      </c>
      <c r="F240" s="4" t="str">
        <f t="shared" si="22"/>
        <v>N</v>
      </c>
      <c r="G240" s="4" t="str">
        <f>IF(COUNTIF(PublicHols[Date], A240)&gt;0, "Y", "N")</f>
        <v>N</v>
      </c>
      <c r="H240" s="3" t="str">
        <f>IFERROR(_xlfn.XLOOKUP(A240, PublicHols[Date], PublicHols[PH_Name]),"")</f>
        <v/>
      </c>
      <c r="I240" s="4" t="str">
        <f>IF(COUNTIF(EventsAll[Date], A240)&gt;0, "Y", "N")</f>
        <v>N</v>
      </c>
      <c r="J240" s="11" t="str">
        <f>IFERROR(_xlfn.XLOOKUP(A240, EventsAll[Date], EventsAll[Event]),"")</f>
        <v/>
      </c>
      <c r="K240" s="4" t="str" cm="1">
        <f t="array" ref="K240">IF(SUMPRODUCT((A240&gt;=SchoolHols[Start])*(A240&lt;=SchoolHols[End]))&gt;0,"Y","N")</f>
        <v>N</v>
      </c>
    </row>
    <row r="241" spans="1:11">
      <c r="A241" s="6">
        <f t="shared" si="23"/>
        <v>44070</v>
      </c>
      <c r="B241" s="4" t="str">
        <f t="shared" si="18"/>
        <v>27</v>
      </c>
      <c r="C241" s="4" t="str">
        <f t="shared" si="19"/>
        <v>08</v>
      </c>
      <c r="D241" s="4" t="str">
        <f t="shared" si="20"/>
        <v>2020</v>
      </c>
      <c r="E241" s="3" t="str">
        <f t="shared" si="21"/>
        <v>Thursday</v>
      </c>
      <c r="F241" s="4" t="str">
        <f t="shared" si="22"/>
        <v>N</v>
      </c>
      <c r="G241" s="4" t="str">
        <f>IF(COUNTIF(PublicHols[Date], A241)&gt;0, "Y", "N")</f>
        <v>N</v>
      </c>
      <c r="H241" s="3" t="str">
        <f>IFERROR(_xlfn.XLOOKUP(A241, PublicHols[Date], PublicHols[PH_Name]),"")</f>
        <v/>
      </c>
      <c r="I241" s="4" t="str">
        <f>IF(COUNTIF(EventsAll[Date], A241)&gt;0, "Y", "N")</f>
        <v>N</v>
      </c>
      <c r="J241" s="11" t="str">
        <f>IFERROR(_xlfn.XLOOKUP(A241, EventsAll[Date], EventsAll[Event]),"")</f>
        <v/>
      </c>
      <c r="K241" s="4" t="str" cm="1">
        <f t="array" ref="K241">IF(SUMPRODUCT((A241&gt;=SchoolHols[Start])*(A241&lt;=SchoolHols[End]))&gt;0,"Y","N")</f>
        <v>N</v>
      </c>
    </row>
    <row r="242" spans="1:11">
      <c r="A242" s="6">
        <f t="shared" si="23"/>
        <v>44071</v>
      </c>
      <c r="B242" s="4" t="str">
        <f t="shared" si="18"/>
        <v>28</v>
      </c>
      <c r="C242" s="4" t="str">
        <f t="shared" si="19"/>
        <v>08</v>
      </c>
      <c r="D242" s="4" t="str">
        <f t="shared" si="20"/>
        <v>2020</v>
      </c>
      <c r="E242" s="3" t="str">
        <f t="shared" si="21"/>
        <v>Friday</v>
      </c>
      <c r="F242" s="4" t="str">
        <f t="shared" si="22"/>
        <v>N</v>
      </c>
      <c r="G242" s="4" t="str">
        <f>IF(COUNTIF(PublicHols[Date], A242)&gt;0, "Y", "N")</f>
        <v>N</v>
      </c>
      <c r="H242" s="3" t="str">
        <f>IFERROR(_xlfn.XLOOKUP(A242, PublicHols[Date], PublicHols[PH_Name]),"")</f>
        <v/>
      </c>
      <c r="I242" s="4" t="str">
        <f>IF(COUNTIF(EventsAll[Date], A242)&gt;0, "Y", "N")</f>
        <v>N</v>
      </c>
      <c r="J242" s="11" t="str">
        <f>IFERROR(_xlfn.XLOOKUP(A242, EventsAll[Date], EventsAll[Event]),"")</f>
        <v/>
      </c>
      <c r="K242" s="4" t="str" cm="1">
        <f t="array" ref="K242">IF(SUMPRODUCT((A242&gt;=SchoolHols[Start])*(A242&lt;=SchoolHols[End]))&gt;0,"Y","N")</f>
        <v>N</v>
      </c>
    </row>
    <row r="243" spans="1:11">
      <c r="A243" s="6">
        <f t="shared" si="23"/>
        <v>44072</v>
      </c>
      <c r="B243" s="4" t="str">
        <f t="shared" si="18"/>
        <v>29</v>
      </c>
      <c r="C243" s="4" t="str">
        <f t="shared" si="19"/>
        <v>08</v>
      </c>
      <c r="D243" s="4" t="str">
        <f t="shared" si="20"/>
        <v>2020</v>
      </c>
      <c r="E243" s="3" t="str">
        <f t="shared" si="21"/>
        <v>Saturday</v>
      </c>
      <c r="F243" s="4" t="str">
        <f t="shared" si="22"/>
        <v>N</v>
      </c>
      <c r="G243" s="4" t="str">
        <f>IF(COUNTIF(PublicHols[Date], A243)&gt;0, "Y", "N")</f>
        <v>N</v>
      </c>
      <c r="H243" s="3" t="str">
        <f>IFERROR(_xlfn.XLOOKUP(A243, PublicHols[Date], PublicHols[PH_Name]),"")</f>
        <v/>
      </c>
      <c r="I243" s="4" t="str">
        <f>IF(COUNTIF(EventsAll[Date], A243)&gt;0, "Y", "N")</f>
        <v>N</v>
      </c>
      <c r="J243" s="11" t="str">
        <f>IFERROR(_xlfn.XLOOKUP(A243, EventsAll[Date], EventsAll[Event]),"")</f>
        <v/>
      </c>
      <c r="K243" s="4" t="str" cm="1">
        <f t="array" ref="K243">IF(SUMPRODUCT((A243&gt;=SchoolHols[Start])*(A243&lt;=SchoolHols[End]))&gt;0,"Y","N")</f>
        <v>N</v>
      </c>
    </row>
    <row r="244" spans="1:11">
      <c r="A244" s="6">
        <f t="shared" si="23"/>
        <v>44073</v>
      </c>
      <c r="B244" s="4" t="str">
        <f t="shared" si="18"/>
        <v>30</v>
      </c>
      <c r="C244" s="4" t="str">
        <f t="shared" si="19"/>
        <v>08</v>
      </c>
      <c r="D244" s="4" t="str">
        <f t="shared" si="20"/>
        <v>2020</v>
      </c>
      <c r="E244" s="3" t="str">
        <f t="shared" si="21"/>
        <v>Sunday</v>
      </c>
      <c r="F244" s="4" t="str">
        <f t="shared" si="22"/>
        <v>Y</v>
      </c>
      <c r="G244" s="4" t="str">
        <f>IF(COUNTIF(PublicHols[Date], A244)&gt;0, "Y", "N")</f>
        <v>N</v>
      </c>
      <c r="H244" s="3" t="str">
        <f>IFERROR(_xlfn.XLOOKUP(A244, PublicHols[Date], PublicHols[PH_Name]),"")</f>
        <v/>
      </c>
      <c r="I244" s="4" t="str">
        <f>IF(COUNTIF(EventsAll[Date], A244)&gt;0, "Y", "N")</f>
        <v>N</v>
      </c>
      <c r="J244" s="11" t="str">
        <f>IFERROR(_xlfn.XLOOKUP(A244, EventsAll[Date], EventsAll[Event]),"")</f>
        <v/>
      </c>
      <c r="K244" s="4" t="str" cm="1">
        <f t="array" ref="K244">IF(SUMPRODUCT((A244&gt;=SchoolHols[Start])*(A244&lt;=SchoolHols[End]))&gt;0,"Y","N")</f>
        <v>N</v>
      </c>
    </row>
    <row r="245" spans="1:11">
      <c r="A245" s="6">
        <f t="shared" si="23"/>
        <v>44074</v>
      </c>
      <c r="B245" s="4" t="str">
        <f t="shared" si="18"/>
        <v>31</v>
      </c>
      <c r="C245" s="4" t="str">
        <f t="shared" si="19"/>
        <v>08</v>
      </c>
      <c r="D245" s="4" t="str">
        <f t="shared" si="20"/>
        <v>2020</v>
      </c>
      <c r="E245" s="3" t="str">
        <f t="shared" si="21"/>
        <v>Monday</v>
      </c>
      <c r="F245" s="4" t="str">
        <f t="shared" si="22"/>
        <v>N</v>
      </c>
      <c r="G245" s="4" t="str">
        <f>IF(COUNTIF(PublicHols[Date], A245)&gt;0, "Y", "N")</f>
        <v>N</v>
      </c>
      <c r="H245" s="3" t="str">
        <f>IFERROR(_xlfn.XLOOKUP(A245, PublicHols[Date], PublicHols[PH_Name]),"")</f>
        <v/>
      </c>
      <c r="I245" s="4" t="str">
        <f>IF(COUNTIF(EventsAll[Date], A245)&gt;0, "Y", "N")</f>
        <v>N</v>
      </c>
      <c r="J245" s="11" t="str">
        <f>IFERROR(_xlfn.XLOOKUP(A245, EventsAll[Date], EventsAll[Event]),"")</f>
        <v/>
      </c>
      <c r="K245" s="4" t="str" cm="1">
        <f t="array" ref="K245">IF(SUMPRODUCT((A245&gt;=SchoolHols[Start])*(A245&lt;=SchoolHols[End]))&gt;0,"Y","N")</f>
        <v>N</v>
      </c>
    </row>
    <row r="246" spans="1:11">
      <c r="A246" s="6">
        <f t="shared" si="23"/>
        <v>44075</v>
      </c>
      <c r="B246" s="4" t="str">
        <f t="shared" si="18"/>
        <v>01</v>
      </c>
      <c r="C246" s="4" t="str">
        <f t="shared" si="19"/>
        <v>09</v>
      </c>
      <c r="D246" s="4" t="str">
        <f t="shared" si="20"/>
        <v>2020</v>
      </c>
      <c r="E246" s="3" t="str">
        <f t="shared" si="21"/>
        <v>Tuesday</v>
      </c>
      <c r="F246" s="4" t="str">
        <f t="shared" si="22"/>
        <v>N</v>
      </c>
      <c r="G246" s="4" t="str">
        <f>IF(COUNTIF(PublicHols[Date], A246)&gt;0, "Y", "N")</f>
        <v>N</v>
      </c>
      <c r="H246" s="3" t="str">
        <f>IFERROR(_xlfn.XLOOKUP(A246, PublicHols[Date], PublicHols[PH_Name]),"")</f>
        <v/>
      </c>
      <c r="I246" s="4" t="str">
        <f>IF(COUNTIF(EventsAll[Date], A246)&gt;0, "Y", "N")</f>
        <v>Y</v>
      </c>
      <c r="J246" s="11" t="str">
        <f>IFERROR(_xlfn.XLOOKUP(A246, EventsAll[Date], EventsAll[Event]),"")</f>
        <v xml:space="preserve"> Spring Day</v>
      </c>
      <c r="K246" s="4" t="str" cm="1">
        <f t="array" ref="K246">IF(SUMPRODUCT((A246&gt;=SchoolHols[Start])*(A246&lt;=SchoolHols[End]))&gt;0,"Y","N")</f>
        <v>N</v>
      </c>
    </row>
    <row r="247" spans="1:11">
      <c r="A247" s="6">
        <f t="shared" si="23"/>
        <v>44076</v>
      </c>
      <c r="B247" s="4" t="str">
        <f t="shared" si="18"/>
        <v>02</v>
      </c>
      <c r="C247" s="4" t="str">
        <f t="shared" si="19"/>
        <v>09</v>
      </c>
      <c r="D247" s="4" t="str">
        <f t="shared" si="20"/>
        <v>2020</v>
      </c>
      <c r="E247" s="3" t="str">
        <f t="shared" si="21"/>
        <v>Wednesday</v>
      </c>
      <c r="F247" s="4" t="str">
        <f t="shared" si="22"/>
        <v>N</v>
      </c>
      <c r="G247" s="4" t="str">
        <f>IF(COUNTIF(PublicHols[Date], A247)&gt;0, "Y", "N")</f>
        <v>N</v>
      </c>
      <c r="H247" s="3" t="str">
        <f>IFERROR(_xlfn.XLOOKUP(A247, PublicHols[Date], PublicHols[PH_Name]),"")</f>
        <v/>
      </c>
      <c r="I247" s="4" t="str">
        <f>IF(COUNTIF(EventsAll[Date], A247)&gt;0, "Y", "N")</f>
        <v>N</v>
      </c>
      <c r="J247" s="11" t="str">
        <f>IFERROR(_xlfn.XLOOKUP(A247, EventsAll[Date], EventsAll[Event]),"")</f>
        <v/>
      </c>
      <c r="K247" s="4" t="str" cm="1">
        <f t="array" ref="K247">IF(SUMPRODUCT((A247&gt;=SchoolHols[Start])*(A247&lt;=SchoolHols[End]))&gt;0,"Y","N")</f>
        <v>N</v>
      </c>
    </row>
    <row r="248" spans="1:11">
      <c r="A248" s="6">
        <f t="shared" si="23"/>
        <v>44077</v>
      </c>
      <c r="B248" s="4" t="str">
        <f t="shared" si="18"/>
        <v>03</v>
      </c>
      <c r="C248" s="4" t="str">
        <f t="shared" si="19"/>
        <v>09</v>
      </c>
      <c r="D248" s="4" t="str">
        <f t="shared" si="20"/>
        <v>2020</v>
      </c>
      <c r="E248" s="3" t="str">
        <f t="shared" si="21"/>
        <v>Thursday</v>
      </c>
      <c r="F248" s="4" t="str">
        <f t="shared" si="22"/>
        <v>N</v>
      </c>
      <c r="G248" s="4" t="str">
        <f>IF(COUNTIF(PublicHols[Date], A248)&gt;0, "Y", "N")</f>
        <v>N</v>
      </c>
      <c r="H248" s="3" t="str">
        <f>IFERROR(_xlfn.XLOOKUP(A248, PublicHols[Date], PublicHols[PH_Name]),"")</f>
        <v/>
      </c>
      <c r="I248" s="4" t="str">
        <f>IF(COUNTIF(EventsAll[Date], A248)&gt;0, "Y", "N")</f>
        <v>N</v>
      </c>
      <c r="J248" s="11" t="str">
        <f>IFERROR(_xlfn.XLOOKUP(A248, EventsAll[Date], EventsAll[Event]),"")</f>
        <v/>
      </c>
      <c r="K248" s="4" t="str" cm="1">
        <f t="array" ref="K248">IF(SUMPRODUCT((A248&gt;=SchoolHols[Start])*(A248&lt;=SchoolHols[End]))&gt;0,"Y","N")</f>
        <v>N</v>
      </c>
    </row>
    <row r="249" spans="1:11">
      <c r="A249" s="6">
        <f t="shared" si="23"/>
        <v>44078</v>
      </c>
      <c r="B249" s="4" t="str">
        <f t="shared" si="18"/>
        <v>04</v>
      </c>
      <c r="C249" s="4" t="str">
        <f t="shared" si="19"/>
        <v>09</v>
      </c>
      <c r="D249" s="4" t="str">
        <f t="shared" si="20"/>
        <v>2020</v>
      </c>
      <c r="E249" s="3" t="str">
        <f t="shared" si="21"/>
        <v>Friday</v>
      </c>
      <c r="F249" s="4" t="str">
        <f t="shared" si="22"/>
        <v>N</v>
      </c>
      <c r="G249" s="4" t="str">
        <f>IF(COUNTIF(PublicHols[Date], A249)&gt;0, "Y", "N")</f>
        <v>N</v>
      </c>
      <c r="H249" s="3" t="str">
        <f>IFERROR(_xlfn.XLOOKUP(A249, PublicHols[Date], PublicHols[PH_Name]),"")</f>
        <v/>
      </c>
      <c r="I249" s="4" t="str">
        <f>IF(COUNTIF(EventsAll[Date], A249)&gt;0, "Y", "N")</f>
        <v>N</v>
      </c>
      <c r="J249" s="11" t="str">
        <f>IFERROR(_xlfn.XLOOKUP(A249, EventsAll[Date], EventsAll[Event]),"")</f>
        <v/>
      </c>
      <c r="K249" s="4" t="str" cm="1">
        <f t="array" ref="K249">IF(SUMPRODUCT((A249&gt;=SchoolHols[Start])*(A249&lt;=SchoolHols[End]))&gt;0,"Y","N")</f>
        <v>N</v>
      </c>
    </row>
    <row r="250" spans="1:11">
      <c r="A250" s="6">
        <f t="shared" si="23"/>
        <v>44079</v>
      </c>
      <c r="B250" s="4" t="str">
        <f t="shared" si="18"/>
        <v>05</v>
      </c>
      <c r="C250" s="4" t="str">
        <f t="shared" si="19"/>
        <v>09</v>
      </c>
      <c r="D250" s="4" t="str">
        <f t="shared" si="20"/>
        <v>2020</v>
      </c>
      <c r="E250" s="3" t="str">
        <f t="shared" si="21"/>
        <v>Saturday</v>
      </c>
      <c r="F250" s="4" t="str">
        <f t="shared" si="22"/>
        <v>N</v>
      </c>
      <c r="G250" s="4" t="str">
        <f>IF(COUNTIF(PublicHols[Date], A250)&gt;0, "Y", "N")</f>
        <v>N</v>
      </c>
      <c r="H250" s="3" t="str">
        <f>IFERROR(_xlfn.XLOOKUP(A250, PublicHols[Date], PublicHols[PH_Name]),"")</f>
        <v/>
      </c>
      <c r="I250" s="4" t="str">
        <f>IF(COUNTIF(EventsAll[Date], A250)&gt;0, "Y", "N")</f>
        <v>N</v>
      </c>
      <c r="J250" s="11" t="str">
        <f>IFERROR(_xlfn.XLOOKUP(A250, EventsAll[Date], EventsAll[Event]),"")</f>
        <v/>
      </c>
      <c r="K250" s="4" t="str" cm="1">
        <f t="array" ref="K250">IF(SUMPRODUCT((A250&gt;=SchoolHols[Start])*(A250&lt;=SchoolHols[End]))&gt;0,"Y","N")</f>
        <v>N</v>
      </c>
    </row>
    <row r="251" spans="1:11">
      <c r="A251" s="6">
        <f t="shared" si="23"/>
        <v>44080</v>
      </c>
      <c r="B251" s="4" t="str">
        <f t="shared" si="18"/>
        <v>06</v>
      </c>
      <c r="C251" s="4" t="str">
        <f t="shared" si="19"/>
        <v>09</v>
      </c>
      <c r="D251" s="4" t="str">
        <f t="shared" si="20"/>
        <v>2020</v>
      </c>
      <c r="E251" s="3" t="str">
        <f t="shared" si="21"/>
        <v>Sunday</v>
      </c>
      <c r="F251" s="4" t="str">
        <f t="shared" si="22"/>
        <v>Y</v>
      </c>
      <c r="G251" s="4" t="str">
        <f>IF(COUNTIF(PublicHols[Date], A251)&gt;0, "Y", "N")</f>
        <v>N</v>
      </c>
      <c r="H251" s="3" t="str">
        <f>IFERROR(_xlfn.XLOOKUP(A251, PublicHols[Date], PublicHols[PH_Name]),"")</f>
        <v/>
      </c>
      <c r="I251" s="4" t="str">
        <f>IF(COUNTIF(EventsAll[Date], A251)&gt;0, "Y", "N")</f>
        <v>N</v>
      </c>
      <c r="J251" s="11" t="str">
        <f>IFERROR(_xlfn.XLOOKUP(A251, EventsAll[Date], EventsAll[Event]),"")</f>
        <v/>
      </c>
      <c r="K251" s="4" t="str" cm="1">
        <f t="array" ref="K251">IF(SUMPRODUCT((A251&gt;=SchoolHols[Start])*(A251&lt;=SchoolHols[End]))&gt;0,"Y","N")</f>
        <v>N</v>
      </c>
    </row>
    <row r="252" spans="1:11">
      <c r="A252" s="6">
        <f t="shared" si="23"/>
        <v>44081</v>
      </c>
      <c r="B252" s="4" t="str">
        <f t="shared" si="18"/>
        <v>07</v>
      </c>
      <c r="C252" s="4" t="str">
        <f t="shared" si="19"/>
        <v>09</v>
      </c>
      <c r="D252" s="4" t="str">
        <f t="shared" si="20"/>
        <v>2020</v>
      </c>
      <c r="E252" s="3" t="str">
        <f t="shared" si="21"/>
        <v>Monday</v>
      </c>
      <c r="F252" s="4" t="str">
        <f t="shared" si="22"/>
        <v>N</v>
      </c>
      <c r="G252" s="4" t="str">
        <f>IF(COUNTIF(PublicHols[Date], A252)&gt;0, "Y", "N")</f>
        <v>N</v>
      </c>
      <c r="H252" s="3" t="str">
        <f>IFERROR(_xlfn.XLOOKUP(A252, PublicHols[Date], PublicHols[PH_Name]),"")</f>
        <v/>
      </c>
      <c r="I252" s="4" t="str">
        <f>IF(COUNTIF(EventsAll[Date], A252)&gt;0, "Y", "N")</f>
        <v>N</v>
      </c>
      <c r="J252" s="11" t="str">
        <f>IFERROR(_xlfn.XLOOKUP(A252, EventsAll[Date], EventsAll[Event]),"")</f>
        <v/>
      </c>
      <c r="K252" s="4" t="str" cm="1">
        <f t="array" ref="K252">IF(SUMPRODUCT((A252&gt;=SchoolHols[Start])*(A252&lt;=SchoolHols[End]))&gt;0,"Y","N")</f>
        <v>N</v>
      </c>
    </row>
    <row r="253" spans="1:11">
      <c r="A253" s="6">
        <f t="shared" si="23"/>
        <v>44082</v>
      </c>
      <c r="B253" s="4" t="str">
        <f t="shared" si="18"/>
        <v>08</v>
      </c>
      <c r="C253" s="4" t="str">
        <f t="shared" si="19"/>
        <v>09</v>
      </c>
      <c r="D253" s="4" t="str">
        <f t="shared" si="20"/>
        <v>2020</v>
      </c>
      <c r="E253" s="3" t="str">
        <f t="shared" si="21"/>
        <v>Tuesday</v>
      </c>
      <c r="F253" s="4" t="str">
        <f t="shared" si="22"/>
        <v>N</v>
      </c>
      <c r="G253" s="4" t="str">
        <f>IF(COUNTIF(PublicHols[Date], A253)&gt;0, "Y", "N")</f>
        <v>N</v>
      </c>
      <c r="H253" s="3" t="str">
        <f>IFERROR(_xlfn.XLOOKUP(A253, PublicHols[Date], PublicHols[PH_Name]),"")</f>
        <v/>
      </c>
      <c r="I253" s="4" t="str">
        <f>IF(COUNTIF(EventsAll[Date], A253)&gt;0, "Y", "N")</f>
        <v>N</v>
      </c>
      <c r="J253" s="11" t="str">
        <f>IFERROR(_xlfn.XLOOKUP(A253, EventsAll[Date], EventsAll[Event]),"")</f>
        <v/>
      </c>
      <c r="K253" s="4" t="str" cm="1">
        <f t="array" ref="K253">IF(SUMPRODUCT((A253&gt;=SchoolHols[Start])*(A253&lt;=SchoolHols[End]))&gt;0,"Y","N")</f>
        <v>N</v>
      </c>
    </row>
    <row r="254" spans="1:11">
      <c r="A254" s="6">
        <f t="shared" si="23"/>
        <v>44083</v>
      </c>
      <c r="B254" s="4" t="str">
        <f t="shared" si="18"/>
        <v>09</v>
      </c>
      <c r="C254" s="4" t="str">
        <f t="shared" si="19"/>
        <v>09</v>
      </c>
      <c r="D254" s="4" t="str">
        <f t="shared" si="20"/>
        <v>2020</v>
      </c>
      <c r="E254" s="3" t="str">
        <f t="shared" si="21"/>
        <v>Wednesday</v>
      </c>
      <c r="F254" s="4" t="str">
        <f t="shared" si="22"/>
        <v>N</v>
      </c>
      <c r="G254" s="4" t="str">
        <f>IF(COUNTIF(PublicHols[Date], A254)&gt;0, "Y", "N")</f>
        <v>N</v>
      </c>
      <c r="H254" s="3" t="str">
        <f>IFERROR(_xlfn.XLOOKUP(A254, PublicHols[Date], PublicHols[PH_Name]),"")</f>
        <v/>
      </c>
      <c r="I254" s="4" t="str">
        <f>IF(COUNTIF(EventsAll[Date], A254)&gt;0, "Y", "N")</f>
        <v>N</v>
      </c>
      <c r="J254" s="11" t="str">
        <f>IFERROR(_xlfn.XLOOKUP(A254, EventsAll[Date], EventsAll[Event]),"")</f>
        <v/>
      </c>
      <c r="K254" s="4" t="str" cm="1">
        <f t="array" ref="K254">IF(SUMPRODUCT((A254&gt;=SchoolHols[Start])*(A254&lt;=SchoolHols[End]))&gt;0,"Y","N")</f>
        <v>N</v>
      </c>
    </row>
    <row r="255" spans="1:11">
      <c r="A255" s="6">
        <f t="shared" si="23"/>
        <v>44084</v>
      </c>
      <c r="B255" s="4" t="str">
        <f t="shared" si="18"/>
        <v>10</v>
      </c>
      <c r="C255" s="4" t="str">
        <f t="shared" si="19"/>
        <v>09</v>
      </c>
      <c r="D255" s="4" t="str">
        <f t="shared" si="20"/>
        <v>2020</v>
      </c>
      <c r="E255" s="3" t="str">
        <f t="shared" si="21"/>
        <v>Thursday</v>
      </c>
      <c r="F255" s="4" t="str">
        <f t="shared" si="22"/>
        <v>N</v>
      </c>
      <c r="G255" s="4" t="str">
        <f>IF(COUNTIF(PublicHols[Date], A255)&gt;0, "Y", "N")</f>
        <v>N</v>
      </c>
      <c r="H255" s="3" t="str">
        <f>IFERROR(_xlfn.XLOOKUP(A255, PublicHols[Date], PublicHols[PH_Name]),"")</f>
        <v/>
      </c>
      <c r="I255" s="4" t="str">
        <f>IF(COUNTIF(EventsAll[Date], A255)&gt;0, "Y", "N")</f>
        <v>N</v>
      </c>
      <c r="J255" s="11" t="str">
        <f>IFERROR(_xlfn.XLOOKUP(A255, EventsAll[Date], EventsAll[Event]),"")</f>
        <v/>
      </c>
      <c r="K255" s="4" t="str" cm="1">
        <f t="array" ref="K255">IF(SUMPRODUCT((A255&gt;=SchoolHols[Start])*(A255&lt;=SchoolHols[End]))&gt;0,"Y","N")</f>
        <v>N</v>
      </c>
    </row>
    <row r="256" spans="1:11">
      <c r="A256" s="6">
        <f t="shared" si="23"/>
        <v>44085</v>
      </c>
      <c r="B256" s="4" t="str">
        <f t="shared" si="18"/>
        <v>11</v>
      </c>
      <c r="C256" s="4" t="str">
        <f t="shared" si="19"/>
        <v>09</v>
      </c>
      <c r="D256" s="4" t="str">
        <f t="shared" si="20"/>
        <v>2020</v>
      </c>
      <c r="E256" s="3" t="str">
        <f t="shared" si="21"/>
        <v>Friday</v>
      </c>
      <c r="F256" s="4" t="str">
        <f t="shared" si="22"/>
        <v>N</v>
      </c>
      <c r="G256" s="4" t="str">
        <f>IF(COUNTIF(PublicHols[Date], A256)&gt;0, "Y", "N")</f>
        <v>N</v>
      </c>
      <c r="H256" s="3" t="str">
        <f>IFERROR(_xlfn.XLOOKUP(A256, PublicHols[Date], PublicHols[PH_Name]),"")</f>
        <v/>
      </c>
      <c r="I256" s="4" t="str">
        <f>IF(COUNTIF(EventsAll[Date], A256)&gt;0, "Y", "N")</f>
        <v>N</v>
      </c>
      <c r="J256" s="11" t="str">
        <f>IFERROR(_xlfn.XLOOKUP(A256, EventsAll[Date], EventsAll[Event]),"")</f>
        <v/>
      </c>
      <c r="K256" s="4" t="str" cm="1">
        <f t="array" ref="K256">IF(SUMPRODUCT((A256&gt;=SchoolHols[Start])*(A256&lt;=SchoolHols[End]))&gt;0,"Y","N")</f>
        <v>N</v>
      </c>
    </row>
    <row r="257" spans="1:11">
      <c r="A257" s="6">
        <f t="shared" si="23"/>
        <v>44086</v>
      </c>
      <c r="B257" s="4" t="str">
        <f t="shared" si="18"/>
        <v>12</v>
      </c>
      <c r="C257" s="4" t="str">
        <f t="shared" si="19"/>
        <v>09</v>
      </c>
      <c r="D257" s="4" t="str">
        <f t="shared" si="20"/>
        <v>2020</v>
      </c>
      <c r="E257" s="3" t="str">
        <f t="shared" si="21"/>
        <v>Saturday</v>
      </c>
      <c r="F257" s="4" t="str">
        <f t="shared" si="22"/>
        <v>N</v>
      </c>
      <c r="G257" s="4" t="str">
        <f>IF(COUNTIF(PublicHols[Date], A257)&gt;0, "Y", "N")</f>
        <v>N</v>
      </c>
      <c r="H257" s="3" t="str">
        <f>IFERROR(_xlfn.XLOOKUP(A257, PublicHols[Date], PublicHols[PH_Name]),"")</f>
        <v/>
      </c>
      <c r="I257" s="4" t="str">
        <f>IF(COUNTIF(EventsAll[Date], A257)&gt;0, "Y", "N")</f>
        <v>N</v>
      </c>
      <c r="J257" s="11" t="str">
        <f>IFERROR(_xlfn.XLOOKUP(A257, EventsAll[Date], EventsAll[Event]),"")</f>
        <v/>
      </c>
      <c r="K257" s="4" t="str" cm="1">
        <f t="array" ref="K257">IF(SUMPRODUCT((A257&gt;=SchoolHols[Start])*(A257&lt;=SchoolHols[End]))&gt;0,"Y","N")</f>
        <v>N</v>
      </c>
    </row>
    <row r="258" spans="1:11">
      <c r="A258" s="6">
        <f t="shared" si="23"/>
        <v>44087</v>
      </c>
      <c r="B258" s="4" t="str">
        <f t="shared" si="18"/>
        <v>13</v>
      </c>
      <c r="C258" s="4" t="str">
        <f t="shared" si="19"/>
        <v>09</v>
      </c>
      <c r="D258" s="4" t="str">
        <f t="shared" si="20"/>
        <v>2020</v>
      </c>
      <c r="E258" s="3" t="str">
        <f t="shared" si="21"/>
        <v>Sunday</v>
      </c>
      <c r="F258" s="4" t="str">
        <f t="shared" si="22"/>
        <v>Y</v>
      </c>
      <c r="G258" s="4" t="str">
        <f>IF(COUNTIF(PublicHols[Date], A258)&gt;0, "Y", "N")</f>
        <v>N</v>
      </c>
      <c r="H258" s="3" t="str">
        <f>IFERROR(_xlfn.XLOOKUP(A258, PublicHols[Date], PublicHols[PH_Name]),"")</f>
        <v/>
      </c>
      <c r="I258" s="4" t="str">
        <f>IF(COUNTIF(EventsAll[Date], A258)&gt;0, "Y", "N")</f>
        <v>N</v>
      </c>
      <c r="J258" s="11" t="str">
        <f>IFERROR(_xlfn.XLOOKUP(A258, EventsAll[Date], EventsAll[Event]),"")</f>
        <v/>
      </c>
      <c r="K258" s="4" t="str" cm="1">
        <f t="array" ref="K258">IF(SUMPRODUCT((A258&gt;=SchoolHols[Start])*(A258&lt;=SchoolHols[End]))&gt;0,"Y","N")</f>
        <v>N</v>
      </c>
    </row>
    <row r="259" spans="1:11">
      <c r="A259" s="6">
        <f t="shared" si="23"/>
        <v>44088</v>
      </c>
      <c r="B259" s="4" t="str">
        <f t="shared" ref="B259:B322" si="24">TEXT($A259, "dd")</f>
        <v>14</v>
      </c>
      <c r="C259" s="4" t="str">
        <f t="shared" ref="C259:C322" si="25">TEXT($A259, "mm")</f>
        <v>09</v>
      </c>
      <c r="D259" s="4" t="str">
        <f t="shared" ref="D259:D322" si="26">TEXT($A259, "yyyy")</f>
        <v>2020</v>
      </c>
      <c r="E259" s="3" t="str">
        <f t="shared" ref="E259:E322" si="27">TEXT($A259, "dddd")</f>
        <v>Monday</v>
      </c>
      <c r="F259" s="4" t="str">
        <f t="shared" ref="F259:F322" si="28">IF($E259="Sunday", "Y", "N")</f>
        <v>N</v>
      </c>
      <c r="G259" s="4" t="str">
        <f>IF(COUNTIF(PublicHols[Date], A259)&gt;0, "Y", "N")</f>
        <v>N</v>
      </c>
      <c r="H259" s="3" t="str">
        <f>IFERROR(_xlfn.XLOOKUP(A259, PublicHols[Date], PublicHols[PH_Name]),"")</f>
        <v/>
      </c>
      <c r="I259" s="4" t="str">
        <f>IF(COUNTIF(EventsAll[Date], A259)&gt;0, "Y", "N")</f>
        <v>N</v>
      </c>
      <c r="J259" s="11" t="str">
        <f>IFERROR(_xlfn.XLOOKUP(A259, EventsAll[Date], EventsAll[Event]),"")</f>
        <v/>
      </c>
      <c r="K259" s="4" t="str" cm="1">
        <f t="array" ref="K259">IF(SUMPRODUCT((A259&gt;=SchoolHols[Start])*(A259&lt;=SchoolHols[End]))&gt;0,"Y","N")</f>
        <v>N</v>
      </c>
    </row>
    <row r="260" spans="1:11">
      <c r="A260" s="6">
        <f t="shared" ref="A260:A323" si="29">$A259+1</f>
        <v>44089</v>
      </c>
      <c r="B260" s="4" t="str">
        <f t="shared" si="24"/>
        <v>15</v>
      </c>
      <c r="C260" s="4" t="str">
        <f t="shared" si="25"/>
        <v>09</v>
      </c>
      <c r="D260" s="4" t="str">
        <f t="shared" si="26"/>
        <v>2020</v>
      </c>
      <c r="E260" s="3" t="str">
        <f t="shared" si="27"/>
        <v>Tuesday</v>
      </c>
      <c r="F260" s="4" t="str">
        <f t="shared" si="28"/>
        <v>N</v>
      </c>
      <c r="G260" s="4" t="str">
        <f>IF(COUNTIF(PublicHols[Date], A260)&gt;0, "Y", "N")</f>
        <v>N</v>
      </c>
      <c r="H260" s="3" t="str">
        <f>IFERROR(_xlfn.XLOOKUP(A260, PublicHols[Date], PublicHols[PH_Name]),"")</f>
        <v/>
      </c>
      <c r="I260" s="4" t="str">
        <f>IF(COUNTIF(EventsAll[Date], A260)&gt;0, "Y", "N")</f>
        <v>N</v>
      </c>
      <c r="J260" s="11" t="str">
        <f>IFERROR(_xlfn.XLOOKUP(A260, EventsAll[Date], EventsAll[Event]),"")</f>
        <v/>
      </c>
      <c r="K260" s="4" t="str" cm="1">
        <f t="array" ref="K260">IF(SUMPRODUCT((A260&gt;=SchoolHols[Start])*(A260&lt;=SchoolHols[End]))&gt;0,"Y","N")</f>
        <v>N</v>
      </c>
    </row>
    <row r="261" spans="1:11">
      <c r="A261" s="6">
        <f t="shared" si="29"/>
        <v>44090</v>
      </c>
      <c r="B261" s="4" t="str">
        <f t="shared" si="24"/>
        <v>16</v>
      </c>
      <c r="C261" s="4" t="str">
        <f t="shared" si="25"/>
        <v>09</v>
      </c>
      <c r="D261" s="4" t="str">
        <f t="shared" si="26"/>
        <v>2020</v>
      </c>
      <c r="E261" s="3" t="str">
        <f t="shared" si="27"/>
        <v>Wednesday</v>
      </c>
      <c r="F261" s="4" t="str">
        <f t="shared" si="28"/>
        <v>N</v>
      </c>
      <c r="G261" s="4" t="str">
        <f>IF(COUNTIF(PublicHols[Date], A261)&gt;0, "Y", "N")</f>
        <v>N</v>
      </c>
      <c r="H261" s="3" t="str">
        <f>IFERROR(_xlfn.XLOOKUP(A261, PublicHols[Date], PublicHols[PH_Name]),"")</f>
        <v/>
      </c>
      <c r="I261" s="4" t="str">
        <f>IF(COUNTIF(EventsAll[Date], A261)&gt;0, "Y", "N")</f>
        <v>N</v>
      </c>
      <c r="J261" s="11" t="str">
        <f>IFERROR(_xlfn.XLOOKUP(A261, EventsAll[Date], EventsAll[Event]),"")</f>
        <v/>
      </c>
      <c r="K261" s="4" t="str" cm="1">
        <f t="array" ref="K261">IF(SUMPRODUCT((A261&gt;=SchoolHols[Start])*(A261&lt;=SchoolHols[End]))&gt;0,"Y","N")</f>
        <v>N</v>
      </c>
    </row>
    <row r="262" spans="1:11">
      <c r="A262" s="6">
        <f t="shared" si="29"/>
        <v>44091</v>
      </c>
      <c r="B262" s="4" t="str">
        <f t="shared" si="24"/>
        <v>17</v>
      </c>
      <c r="C262" s="4" t="str">
        <f t="shared" si="25"/>
        <v>09</v>
      </c>
      <c r="D262" s="4" t="str">
        <f t="shared" si="26"/>
        <v>2020</v>
      </c>
      <c r="E262" s="3" t="str">
        <f t="shared" si="27"/>
        <v>Thursday</v>
      </c>
      <c r="F262" s="4" t="str">
        <f t="shared" si="28"/>
        <v>N</v>
      </c>
      <c r="G262" s="4" t="str">
        <f>IF(COUNTIF(PublicHols[Date], A262)&gt;0, "Y", "N")</f>
        <v>N</v>
      </c>
      <c r="H262" s="3" t="str">
        <f>IFERROR(_xlfn.XLOOKUP(A262, PublicHols[Date], PublicHols[PH_Name]),"")</f>
        <v/>
      </c>
      <c r="I262" s="4" t="str">
        <f>IF(COUNTIF(EventsAll[Date], A262)&gt;0, "Y", "N")</f>
        <v>N</v>
      </c>
      <c r="J262" s="11" t="str">
        <f>IFERROR(_xlfn.XLOOKUP(A262, EventsAll[Date], EventsAll[Event]),"")</f>
        <v/>
      </c>
      <c r="K262" s="4" t="str" cm="1">
        <f t="array" ref="K262">IF(SUMPRODUCT((A262&gt;=SchoolHols[Start])*(A262&lt;=SchoolHols[End]))&gt;0,"Y","N")</f>
        <v>N</v>
      </c>
    </row>
    <row r="263" spans="1:11">
      <c r="A263" s="6">
        <f t="shared" si="29"/>
        <v>44092</v>
      </c>
      <c r="B263" s="4" t="str">
        <f t="shared" si="24"/>
        <v>18</v>
      </c>
      <c r="C263" s="4" t="str">
        <f t="shared" si="25"/>
        <v>09</v>
      </c>
      <c r="D263" s="4" t="str">
        <f t="shared" si="26"/>
        <v>2020</v>
      </c>
      <c r="E263" s="3" t="str">
        <f t="shared" si="27"/>
        <v>Friday</v>
      </c>
      <c r="F263" s="4" t="str">
        <f t="shared" si="28"/>
        <v>N</v>
      </c>
      <c r="G263" s="4" t="str">
        <f>IF(COUNTIF(PublicHols[Date], A263)&gt;0, "Y", "N")</f>
        <v>N</v>
      </c>
      <c r="H263" s="3" t="str">
        <f>IFERROR(_xlfn.XLOOKUP(A263, PublicHols[Date], PublicHols[PH_Name]),"")</f>
        <v/>
      </c>
      <c r="I263" s="4" t="str">
        <f>IF(COUNTIF(EventsAll[Date], A263)&gt;0, "Y", "N")</f>
        <v>N</v>
      </c>
      <c r="J263" s="11" t="str">
        <f>IFERROR(_xlfn.XLOOKUP(A263, EventsAll[Date], EventsAll[Event]),"")</f>
        <v/>
      </c>
      <c r="K263" s="4" t="str" cm="1">
        <f t="array" ref="K263">IF(SUMPRODUCT((A263&gt;=SchoolHols[Start])*(A263&lt;=SchoolHols[End]))&gt;0,"Y","N")</f>
        <v>N</v>
      </c>
    </row>
    <row r="264" spans="1:11">
      <c r="A264" s="6">
        <f t="shared" si="29"/>
        <v>44093</v>
      </c>
      <c r="B264" s="4" t="str">
        <f t="shared" si="24"/>
        <v>19</v>
      </c>
      <c r="C264" s="4" t="str">
        <f t="shared" si="25"/>
        <v>09</v>
      </c>
      <c r="D264" s="4" t="str">
        <f t="shared" si="26"/>
        <v>2020</v>
      </c>
      <c r="E264" s="3" t="str">
        <f t="shared" si="27"/>
        <v>Saturday</v>
      </c>
      <c r="F264" s="4" t="str">
        <f t="shared" si="28"/>
        <v>N</v>
      </c>
      <c r="G264" s="4" t="str">
        <f>IF(COUNTIF(PublicHols[Date], A264)&gt;0, "Y", "N")</f>
        <v>N</v>
      </c>
      <c r="H264" s="3" t="str">
        <f>IFERROR(_xlfn.XLOOKUP(A264, PublicHols[Date], PublicHols[PH_Name]),"")</f>
        <v/>
      </c>
      <c r="I264" s="4" t="str">
        <f>IF(COUNTIF(EventsAll[Date], A264)&gt;0, "Y", "N")</f>
        <v>N</v>
      </c>
      <c r="J264" s="11" t="str">
        <f>IFERROR(_xlfn.XLOOKUP(A264, EventsAll[Date], EventsAll[Event]),"")</f>
        <v/>
      </c>
      <c r="K264" s="4" t="str" cm="1">
        <f t="array" ref="K264">IF(SUMPRODUCT((A264&gt;=SchoolHols[Start])*(A264&lt;=SchoolHols[End]))&gt;0,"Y","N")</f>
        <v>Y</v>
      </c>
    </row>
    <row r="265" spans="1:11">
      <c r="A265" s="6">
        <f t="shared" si="29"/>
        <v>44094</v>
      </c>
      <c r="B265" s="4" t="str">
        <f t="shared" si="24"/>
        <v>20</v>
      </c>
      <c r="C265" s="4" t="str">
        <f t="shared" si="25"/>
        <v>09</v>
      </c>
      <c r="D265" s="4" t="str">
        <f t="shared" si="26"/>
        <v>2020</v>
      </c>
      <c r="E265" s="3" t="str">
        <f t="shared" si="27"/>
        <v>Sunday</v>
      </c>
      <c r="F265" s="4" t="str">
        <f t="shared" si="28"/>
        <v>Y</v>
      </c>
      <c r="G265" s="4" t="str">
        <f>IF(COUNTIF(PublicHols[Date], A265)&gt;0, "Y", "N")</f>
        <v>N</v>
      </c>
      <c r="H265" s="3" t="str">
        <f>IFERROR(_xlfn.XLOOKUP(A265, PublicHols[Date], PublicHols[PH_Name]),"")</f>
        <v/>
      </c>
      <c r="I265" s="4" t="str">
        <f>IF(COUNTIF(EventsAll[Date], A265)&gt;0, "Y", "N")</f>
        <v>N</v>
      </c>
      <c r="J265" s="11" t="str">
        <f>IFERROR(_xlfn.XLOOKUP(A265, EventsAll[Date], EventsAll[Event]),"")</f>
        <v/>
      </c>
      <c r="K265" s="4" t="str" cm="1">
        <f t="array" ref="K265">IF(SUMPRODUCT((A265&gt;=SchoolHols[Start])*(A265&lt;=SchoolHols[End]))&gt;0,"Y","N")</f>
        <v>Y</v>
      </c>
    </row>
    <row r="266" spans="1:11">
      <c r="A266" s="6">
        <f t="shared" si="29"/>
        <v>44095</v>
      </c>
      <c r="B266" s="4" t="str">
        <f t="shared" si="24"/>
        <v>21</v>
      </c>
      <c r="C266" s="4" t="str">
        <f t="shared" si="25"/>
        <v>09</v>
      </c>
      <c r="D266" s="4" t="str">
        <f t="shared" si="26"/>
        <v>2020</v>
      </c>
      <c r="E266" s="3" t="str">
        <f t="shared" si="27"/>
        <v>Monday</v>
      </c>
      <c r="F266" s="4" t="str">
        <f t="shared" si="28"/>
        <v>N</v>
      </c>
      <c r="G266" s="4" t="str">
        <f>IF(COUNTIF(PublicHols[Date], A266)&gt;0, "Y", "N")</f>
        <v>N</v>
      </c>
      <c r="H266" s="3" t="str">
        <f>IFERROR(_xlfn.XLOOKUP(A266, PublicHols[Date], PublicHols[PH_Name]),"")</f>
        <v/>
      </c>
      <c r="I266" s="4" t="str">
        <f>IF(COUNTIF(EventsAll[Date], A266)&gt;0, "Y", "N")</f>
        <v>N</v>
      </c>
      <c r="J266" s="11" t="str">
        <f>IFERROR(_xlfn.XLOOKUP(A266, EventsAll[Date], EventsAll[Event]),"")</f>
        <v/>
      </c>
      <c r="K266" s="4" t="str" cm="1">
        <f t="array" ref="K266">IF(SUMPRODUCT((A266&gt;=SchoolHols[Start])*(A266&lt;=SchoolHols[End]))&gt;0,"Y","N")</f>
        <v>Y</v>
      </c>
    </row>
    <row r="267" spans="1:11">
      <c r="A267" s="6">
        <f t="shared" si="29"/>
        <v>44096</v>
      </c>
      <c r="B267" s="4" t="str">
        <f t="shared" si="24"/>
        <v>22</v>
      </c>
      <c r="C267" s="4" t="str">
        <f t="shared" si="25"/>
        <v>09</v>
      </c>
      <c r="D267" s="4" t="str">
        <f t="shared" si="26"/>
        <v>2020</v>
      </c>
      <c r="E267" s="3" t="str">
        <f t="shared" si="27"/>
        <v>Tuesday</v>
      </c>
      <c r="F267" s="4" t="str">
        <f t="shared" si="28"/>
        <v>N</v>
      </c>
      <c r="G267" s="4" t="str">
        <f>IF(COUNTIF(PublicHols[Date], A267)&gt;0, "Y", "N")</f>
        <v>N</v>
      </c>
      <c r="H267" s="3" t="str">
        <f>IFERROR(_xlfn.XLOOKUP(A267, PublicHols[Date], PublicHols[PH_Name]),"")</f>
        <v/>
      </c>
      <c r="I267" s="4" t="str">
        <f>IF(COUNTIF(EventsAll[Date], A267)&gt;0, "Y", "N")</f>
        <v>N</v>
      </c>
      <c r="J267" s="11" t="str">
        <f>IFERROR(_xlfn.XLOOKUP(A267, EventsAll[Date], EventsAll[Event]),"")</f>
        <v/>
      </c>
      <c r="K267" s="4" t="str" cm="1">
        <f t="array" ref="K267">IF(SUMPRODUCT((A267&gt;=SchoolHols[Start])*(A267&lt;=SchoolHols[End]))&gt;0,"Y","N")</f>
        <v>Y</v>
      </c>
    </row>
    <row r="268" spans="1:11">
      <c r="A268" s="6">
        <f t="shared" si="29"/>
        <v>44097</v>
      </c>
      <c r="B268" s="4" t="str">
        <f t="shared" si="24"/>
        <v>23</v>
      </c>
      <c r="C268" s="4" t="str">
        <f t="shared" si="25"/>
        <v>09</v>
      </c>
      <c r="D268" s="4" t="str">
        <f t="shared" si="26"/>
        <v>2020</v>
      </c>
      <c r="E268" s="3" t="str">
        <f t="shared" si="27"/>
        <v>Wednesday</v>
      </c>
      <c r="F268" s="4" t="str">
        <f t="shared" si="28"/>
        <v>N</v>
      </c>
      <c r="G268" s="4" t="str">
        <f>IF(COUNTIF(PublicHols[Date], A268)&gt;0, "Y", "N")</f>
        <v>N</v>
      </c>
      <c r="H268" s="3" t="str">
        <f>IFERROR(_xlfn.XLOOKUP(A268, PublicHols[Date], PublicHols[PH_Name]),"")</f>
        <v/>
      </c>
      <c r="I268" s="4" t="str">
        <f>IF(COUNTIF(EventsAll[Date], A268)&gt;0, "Y", "N")</f>
        <v>N</v>
      </c>
      <c r="J268" s="11" t="str">
        <f>IFERROR(_xlfn.XLOOKUP(A268, EventsAll[Date], EventsAll[Event]),"")</f>
        <v/>
      </c>
      <c r="K268" s="4" t="str" cm="1">
        <f t="array" ref="K268">IF(SUMPRODUCT((A268&gt;=SchoolHols[Start])*(A268&lt;=SchoolHols[End]))&gt;0,"Y","N")</f>
        <v>Y</v>
      </c>
    </row>
    <row r="269" spans="1:11">
      <c r="A269" s="6">
        <f t="shared" si="29"/>
        <v>44098</v>
      </c>
      <c r="B269" s="4" t="str">
        <f t="shared" si="24"/>
        <v>24</v>
      </c>
      <c r="C269" s="4" t="str">
        <f t="shared" si="25"/>
        <v>09</v>
      </c>
      <c r="D269" s="4" t="str">
        <f t="shared" si="26"/>
        <v>2020</v>
      </c>
      <c r="E269" s="3" t="str">
        <f t="shared" si="27"/>
        <v>Thursday</v>
      </c>
      <c r="F269" s="4" t="str">
        <f t="shared" si="28"/>
        <v>N</v>
      </c>
      <c r="G269" s="4" t="str">
        <f>IF(COUNTIF(PublicHols[Date], A269)&gt;0, "Y", "N")</f>
        <v>Y</v>
      </c>
      <c r="H269" s="3" t="str">
        <f>IFERROR(_xlfn.XLOOKUP(A269, PublicHols[Date], PublicHols[PH_Name]),"")</f>
        <v>Heritage Day</v>
      </c>
      <c r="I269" s="4" t="str">
        <f>IF(COUNTIF(EventsAll[Date], A269)&gt;0, "Y", "N")</f>
        <v>N</v>
      </c>
      <c r="J269" s="11" t="str">
        <f>IFERROR(_xlfn.XLOOKUP(A269, EventsAll[Date], EventsAll[Event]),"")</f>
        <v/>
      </c>
      <c r="K269" s="4" t="str" cm="1">
        <f t="array" ref="K269">IF(SUMPRODUCT((A269&gt;=SchoolHols[Start])*(A269&lt;=SchoolHols[End]))&gt;0,"Y","N")</f>
        <v>Y</v>
      </c>
    </row>
    <row r="270" spans="1:11">
      <c r="A270" s="6">
        <f t="shared" si="29"/>
        <v>44099</v>
      </c>
      <c r="B270" s="4" t="str">
        <f t="shared" si="24"/>
        <v>25</v>
      </c>
      <c r="C270" s="4" t="str">
        <f t="shared" si="25"/>
        <v>09</v>
      </c>
      <c r="D270" s="4" t="str">
        <f t="shared" si="26"/>
        <v>2020</v>
      </c>
      <c r="E270" s="3" t="str">
        <f t="shared" si="27"/>
        <v>Friday</v>
      </c>
      <c r="F270" s="4" t="str">
        <f t="shared" si="28"/>
        <v>N</v>
      </c>
      <c r="G270" s="4" t="str">
        <f>IF(COUNTIF(PublicHols[Date], A270)&gt;0, "Y", "N")</f>
        <v>N</v>
      </c>
      <c r="H270" s="3" t="str">
        <f>IFERROR(_xlfn.XLOOKUP(A270, PublicHols[Date], PublicHols[PH_Name]),"")</f>
        <v/>
      </c>
      <c r="I270" s="4" t="str">
        <f>IF(COUNTIF(EventsAll[Date], A270)&gt;0, "Y", "N")</f>
        <v>N</v>
      </c>
      <c r="J270" s="11" t="str">
        <f>IFERROR(_xlfn.XLOOKUP(A270, EventsAll[Date], EventsAll[Event]),"")</f>
        <v/>
      </c>
      <c r="K270" s="4" t="str" cm="1">
        <f t="array" ref="K270">IF(SUMPRODUCT((A270&gt;=SchoolHols[Start])*(A270&lt;=SchoolHols[End]))&gt;0,"Y","N")</f>
        <v>Y</v>
      </c>
    </row>
    <row r="271" spans="1:11">
      <c r="A271" s="6">
        <f t="shared" si="29"/>
        <v>44100</v>
      </c>
      <c r="B271" s="4" t="str">
        <f t="shared" si="24"/>
        <v>26</v>
      </c>
      <c r="C271" s="4" t="str">
        <f t="shared" si="25"/>
        <v>09</v>
      </c>
      <c r="D271" s="4" t="str">
        <f t="shared" si="26"/>
        <v>2020</v>
      </c>
      <c r="E271" s="3" t="str">
        <f t="shared" si="27"/>
        <v>Saturday</v>
      </c>
      <c r="F271" s="4" t="str">
        <f t="shared" si="28"/>
        <v>N</v>
      </c>
      <c r="G271" s="4" t="str">
        <f>IF(COUNTIF(PublicHols[Date], A271)&gt;0, "Y", "N")</f>
        <v>N</v>
      </c>
      <c r="H271" s="3" t="str">
        <f>IFERROR(_xlfn.XLOOKUP(A271, PublicHols[Date], PublicHols[PH_Name]),"")</f>
        <v/>
      </c>
      <c r="I271" s="4" t="str">
        <f>IF(COUNTIF(EventsAll[Date], A271)&gt;0, "Y", "N")</f>
        <v>N</v>
      </c>
      <c r="J271" s="11" t="str">
        <f>IFERROR(_xlfn.XLOOKUP(A271, EventsAll[Date], EventsAll[Event]),"")</f>
        <v/>
      </c>
      <c r="K271" s="4" t="str" cm="1">
        <f t="array" ref="K271">IF(SUMPRODUCT((A271&gt;=SchoolHols[Start])*(A271&lt;=SchoolHols[End]))&gt;0,"Y","N")</f>
        <v>Y</v>
      </c>
    </row>
    <row r="272" spans="1:11">
      <c r="A272" s="6">
        <f t="shared" si="29"/>
        <v>44101</v>
      </c>
      <c r="B272" s="4" t="str">
        <f t="shared" si="24"/>
        <v>27</v>
      </c>
      <c r="C272" s="4" t="str">
        <f t="shared" si="25"/>
        <v>09</v>
      </c>
      <c r="D272" s="4" t="str">
        <f t="shared" si="26"/>
        <v>2020</v>
      </c>
      <c r="E272" s="3" t="str">
        <f t="shared" si="27"/>
        <v>Sunday</v>
      </c>
      <c r="F272" s="4" t="str">
        <f t="shared" si="28"/>
        <v>Y</v>
      </c>
      <c r="G272" s="4" t="str">
        <f>IF(COUNTIF(PublicHols[Date], A272)&gt;0, "Y", "N")</f>
        <v>N</v>
      </c>
      <c r="H272" s="3" t="str">
        <f>IFERROR(_xlfn.XLOOKUP(A272, PublicHols[Date], PublicHols[PH_Name]),"")</f>
        <v/>
      </c>
      <c r="I272" s="4" t="str">
        <f>IF(COUNTIF(EventsAll[Date], A272)&gt;0, "Y", "N")</f>
        <v>N</v>
      </c>
      <c r="J272" s="11" t="str">
        <f>IFERROR(_xlfn.XLOOKUP(A272, EventsAll[Date], EventsAll[Event]),"")</f>
        <v/>
      </c>
      <c r="K272" s="4" t="str" cm="1">
        <f t="array" ref="K272">IF(SUMPRODUCT((A272&gt;=SchoolHols[Start])*(A272&lt;=SchoolHols[End]))&gt;0,"Y","N")</f>
        <v>Y</v>
      </c>
    </row>
    <row r="273" spans="1:11">
      <c r="A273" s="6">
        <f t="shared" si="29"/>
        <v>44102</v>
      </c>
      <c r="B273" s="4" t="str">
        <f t="shared" si="24"/>
        <v>28</v>
      </c>
      <c r="C273" s="4" t="str">
        <f t="shared" si="25"/>
        <v>09</v>
      </c>
      <c r="D273" s="4" t="str">
        <f t="shared" si="26"/>
        <v>2020</v>
      </c>
      <c r="E273" s="3" t="str">
        <f t="shared" si="27"/>
        <v>Monday</v>
      </c>
      <c r="F273" s="4" t="str">
        <f t="shared" si="28"/>
        <v>N</v>
      </c>
      <c r="G273" s="4" t="str">
        <f>IF(COUNTIF(PublicHols[Date], A273)&gt;0, "Y", "N")</f>
        <v>N</v>
      </c>
      <c r="H273" s="3" t="str">
        <f>IFERROR(_xlfn.XLOOKUP(A273, PublicHols[Date], PublicHols[PH_Name]),"")</f>
        <v/>
      </c>
      <c r="I273" s="4" t="str">
        <f>IF(COUNTIF(EventsAll[Date], A273)&gt;0, "Y", "N")</f>
        <v>N</v>
      </c>
      <c r="J273" s="11" t="str">
        <f>IFERROR(_xlfn.XLOOKUP(A273, EventsAll[Date], EventsAll[Event]),"")</f>
        <v/>
      </c>
      <c r="K273" s="4" t="str" cm="1">
        <f t="array" ref="K273">IF(SUMPRODUCT((A273&gt;=SchoolHols[Start])*(A273&lt;=SchoolHols[End]))&gt;0,"Y","N")</f>
        <v>Y</v>
      </c>
    </row>
    <row r="274" spans="1:11">
      <c r="A274" s="6">
        <f t="shared" si="29"/>
        <v>44103</v>
      </c>
      <c r="B274" s="4" t="str">
        <f t="shared" si="24"/>
        <v>29</v>
      </c>
      <c r="C274" s="4" t="str">
        <f t="shared" si="25"/>
        <v>09</v>
      </c>
      <c r="D274" s="4" t="str">
        <f t="shared" si="26"/>
        <v>2020</v>
      </c>
      <c r="E274" s="3" t="str">
        <f t="shared" si="27"/>
        <v>Tuesday</v>
      </c>
      <c r="F274" s="4" t="str">
        <f t="shared" si="28"/>
        <v>N</v>
      </c>
      <c r="G274" s="4" t="str">
        <f>IF(COUNTIF(PublicHols[Date], A274)&gt;0, "Y", "N")</f>
        <v>N</v>
      </c>
      <c r="H274" s="3" t="str">
        <f>IFERROR(_xlfn.XLOOKUP(A274, PublicHols[Date], PublicHols[PH_Name]),"")</f>
        <v/>
      </c>
      <c r="I274" s="4" t="str">
        <f>IF(COUNTIF(EventsAll[Date], A274)&gt;0, "Y", "N")</f>
        <v>N</v>
      </c>
      <c r="J274" s="11" t="str">
        <f>IFERROR(_xlfn.XLOOKUP(A274, EventsAll[Date], EventsAll[Event]),"")</f>
        <v/>
      </c>
      <c r="K274" s="4" t="str" cm="1">
        <f t="array" ref="K274">IF(SUMPRODUCT((A274&gt;=SchoolHols[Start])*(A274&lt;=SchoolHols[End]))&gt;0,"Y","N")</f>
        <v>Y</v>
      </c>
    </row>
    <row r="275" spans="1:11">
      <c r="A275" s="6">
        <f t="shared" si="29"/>
        <v>44104</v>
      </c>
      <c r="B275" s="4" t="str">
        <f t="shared" si="24"/>
        <v>30</v>
      </c>
      <c r="C275" s="4" t="str">
        <f t="shared" si="25"/>
        <v>09</v>
      </c>
      <c r="D275" s="4" t="str">
        <f t="shared" si="26"/>
        <v>2020</v>
      </c>
      <c r="E275" s="3" t="str">
        <f t="shared" si="27"/>
        <v>Wednesday</v>
      </c>
      <c r="F275" s="4" t="str">
        <f t="shared" si="28"/>
        <v>N</v>
      </c>
      <c r="G275" s="4" t="str">
        <f>IF(COUNTIF(PublicHols[Date], A275)&gt;0, "Y", "N")</f>
        <v>N</v>
      </c>
      <c r="H275" s="3" t="str">
        <f>IFERROR(_xlfn.XLOOKUP(A275, PublicHols[Date], PublicHols[PH_Name]),"")</f>
        <v/>
      </c>
      <c r="I275" s="4" t="str">
        <f>IF(COUNTIF(EventsAll[Date], A275)&gt;0, "Y", "N")</f>
        <v>N</v>
      </c>
      <c r="J275" s="11" t="str">
        <f>IFERROR(_xlfn.XLOOKUP(A275, EventsAll[Date], EventsAll[Event]),"")</f>
        <v/>
      </c>
      <c r="K275" s="4" t="str" cm="1">
        <f t="array" ref="K275">IF(SUMPRODUCT((A275&gt;=SchoolHols[Start])*(A275&lt;=SchoolHols[End]))&gt;0,"Y","N")</f>
        <v>Y</v>
      </c>
    </row>
    <row r="276" spans="1:11">
      <c r="A276" s="6">
        <f t="shared" si="29"/>
        <v>44105</v>
      </c>
      <c r="B276" s="4" t="str">
        <f t="shared" si="24"/>
        <v>01</v>
      </c>
      <c r="C276" s="4" t="str">
        <f t="shared" si="25"/>
        <v>10</v>
      </c>
      <c r="D276" s="4" t="str">
        <f t="shared" si="26"/>
        <v>2020</v>
      </c>
      <c r="E276" s="3" t="str">
        <f t="shared" si="27"/>
        <v>Thursday</v>
      </c>
      <c r="F276" s="4" t="str">
        <f t="shared" si="28"/>
        <v>N</v>
      </c>
      <c r="G276" s="4" t="str">
        <f>IF(COUNTIF(PublicHols[Date], A276)&gt;0, "Y", "N")</f>
        <v>N</v>
      </c>
      <c r="H276" s="3" t="str">
        <f>IFERROR(_xlfn.XLOOKUP(A276, PublicHols[Date], PublicHols[PH_Name]),"")</f>
        <v/>
      </c>
      <c r="I276" s="4" t="str">
        <f>IF(COUNTIF(EventsAll[Date], A276)&gt;0, "Y", "N")</f>
        <v>Y</v>
      </c>
      <c r="J276" s="11" t="str">
        <f>IFERROR(_xlfn.XLOOKUP(A276, EventsAll[Date], EventsAll[Event]),"")</f>
        <v xml:space="preserve"> Back to School (Term 4)</v>
      </c>
      <c r="K276" s="4" t="str" cm="1">
        <f t="array" ref="K276">IF(SUMPRODUCT((A276&gt;=SchoolHols[Start])*(A276&lt;=SchoolHols[End]))&gt;0,"Y","N")</f>
        <v>Y</v>
      </c>
    </row>
    <row r="277" spans="1:11">
      <c r="A277" s="6">
        <f t="shared" si="29"/>
        <v>44106</v>
      </c>
      <c r="B277" s="4" t="str">
        <f t="shared" si="24"/>
        <v>02</v>
      </c>
      <c r="C277" s="4" t="str">
        <f t="shared" si="25"/>
        <v>10</v>
      </c>
      <c r="D277" s="4" t="str">
        <f t="shared" si="26"/>
        <v>2020</v>
      </c>
      <c r="E277" s="3" t="str">
        <f t="shared" si="27"/>
        <v>Friday</v>
      </c>
      <c r="F277" s="4" t="str">
        <f t="shared" si="28"/>
        <v>N</v>
      </c>
      <c r="G277" s="4" t="str">
        <f>IF(COUNTIF(PublicHols[Date], A277)&gt;0, "Y", "N")</f>
        <v>N</v>
      </c>
      <c r="H277" s="3" t="str">
        <f>IFERROR(_xlfn.XLOOKUP(A277, PublicHols[Date], PublicHols[PH_Name]),"")</f>
        <v/>
      </c>
      <c r="I277" s="4" t="str">
        <f>IF(COUNTIF(EventsAll[Date], A277)&gt;0, "Y", "N")</f>
        <v>N</v>
      </c>
      <c r="J277" s="11" t="str">
        <f>IFERROR(_xlfn.XLOOKUP(A277, EventsAll[Date], EventsAll[Event]),"")</f>
        <v/>
      </c>
      <c r="K277" s="4" t="str" cm="1">
        <f t="array" ref="K277">IF(SUMPRODUCT((A277&gt;=SchoolHols[Start])*(A277&lt;=SchoolHols[End]))&gt;0,"Y","N")</f>
        <v>Y</v>
      </c>
    </row>
    <row r="278" spans="1:11">
      <c r="A278" s="6">
        <f t="shared" si="29"/>
        <v>44107</v>
      </c>
      <c r="B278" s="4" t="str">
        <f t="shared" si="24"/>
        <v>03</v>
      </c>
      <c r="C278" s="4" t="str">
        <f t="shared" si="25"/>
        <v>10</v>
      </c>
      <c r="D278" s="4" t="str">
        <f t="shared" si="26"/>
        <v>2020</v>
      </c>
      <c r="E278" s="3" t="str">
        <f t="shared" si="27"/>
        <v>Saturday</v>
      </c>
      <c r="F278" s="4" t="str">
        <f t="shared" si="28"/>
        <v>N</v>
      </c>
      <c r="G278" s="4" t="str">
        <f>IF(COUNTIF(PublicHols[Date], A278)&gt;0, "Y", "N")</f>
        <v>N</v>
      </c>
      <c r="H278" s="3" t="str">
        <f>IFERROR(_xlfn.XLOOKUP(A278, PublicHols[Date], PublicHols[PH_Name]),"")</f>
        <v/>
      </c>
      <c r="I278" s="4" t="str">
        <f>IF(COUNTIF(EventsAll[Date], A278)&gt;0, "Y", "N")</f>
        <v>N</v>
      </c>
      <c r="J278" s="11" t="str">
        <f>IFERROR(_xlfn.XLOOKUP(A278, EventsAll[Date], EventsAll[Event]),"")</f>
        <v/>
      </c>
      <c r="K278" s="4" t="str" cm="1">
        <f t="array" ref="K278">IF(SUMPRODUCT((A278&gt;=SchoolHols[Start])*(A278&lt;=SchoolHols[End]))&gt;0,"Y","N")</f>
        <v>Y</v>
      </c>
    </row>
    <row r="279" spans="1:11">
      <c r="A279" s="6">
        <f t="shared" si="29"/>
        <v>44108</v>
      </c>
      <c r="B279" s="4" t="str">
        <f t="shared" si="24"/>
        <v>04</v>
      </c>
      <c r="C279" s="4" t="str">
        <f t="shared" si="25"/>
        <v>10</v>
      </c>
      <c r="D279" s="4" t="str">
        <f t="shared" si="26"/>
        <v>2020</v>
      </c>
      <c r="E279" s="3" t="str">
        <f t="shared" si="27"/>
        <v>Sunday</v>
      </c>
      <c r="F279" s="4" t="str">
        <f t="shared" si="28"/>
        <v>Y</v>
      </c>
      <c r="G279" s="4" t="str">
        <f>IF(COUNTIF(PublicHols[Date], A279)&gt;0, "Y", "N")</f>
        <v>N</v>
      </c>
      <c r="H279" s="3" t="str">
        <f>IFERROR(_xlfn.XLOOKUP(A279, PublicHols[Date], PublicHols[PH_Name]),"")</f>
        <v/>
      </c>
      <c r="I279" s="4" t="str">
        <f>IF(COUNTIF(EventsAll[Date], A279)&gt;0, "Y", "N")</f>
        <v>N</v>
      </c>
      <c r="J279" s="11" t="str">
        <f>IFERROR(_xlfn.XLOOKUP(A279, EventsAll[Date], EventsAll[Event]),"")</f>
        <v/>
      </c>
      <c r="K279" s="4" t="str" cm="1">
        <f t="array" ref="K279">IF(SUMPRODUCT((A279&gt;=SchoolHols[Start])*(A279&lt;=SchoolHols[End]))&gt;0,"Y","N")</f>
        <v>Y</v>
      </c>
    </row>
    <row r="280" spans="1:11">
      <c r="A280" s="6">
        <f t="shared" si="29"/>
        <v>44109</v>
      </c>
      <c r="B280" s="4" t="str">
        <f t="shared" si="24"/>
        <v>05</v>
      </c>
      <c r="C280" s="4" t="str">
        <f t="shared" si="25"/>
        <v>10</v>
      </c>
      <c r="D280" s="4" t="str">
        <f t="shared" si="26"/>
        <v>2020</v>
      </c>
      <c r="E280" s="3" t="str">
        <f t="shared" si="27"/>
        <v>Monday</v>
      </c>
      <c r="F280" s="4" t="str">
        <f t="shared" si="28"/>
        <v>N</v>
      </c>
      <c r="G280" s="4" t="str">
        <f>IF(COUNTIF(PublicHols[Date], A280)&gt;0, "Y", "N")</f>
        <v>N</v>
      </c>
      <c r="H280" s="3" t="str">
        <f>IFERROR(_xlfn.XLOOKUP(A280, PublicHols[Date], PublicHols[PH_Name]),"")</f>
        <v/>
      </c>
      <c r="I280" s="4" t="str">
        <f>IF(COUNTIF(EventsAll[Date], A280)&gt;0, "Y", "N")</f>
        <v>N</v>
      </c>
      <c r="J280" s="11" t="str">
        <f>IFERROR(_xlfn.XLOOKUP(A280, EventsAll[Date], EventsAll[Event]),"")</f>
        <v/>
      </c>
      <c r="K280" s="4" t="str" cm="1">
        <f t="array" ref="K280">IF(SUMPRODUCT((A280&gt;=SchoolHols[Start])*(A280&lt;=SchoolHols[End]))&gt;0,"Y","N")</f>
        <v>N</v>
      </c>
    </row>
    <row r="281" spans="1:11">
      <c r="A281" s="6">
        <f t="shared" si="29"/>
        <v>44110</v>
      </c>
      <c r="B281" s="4" t="str">
        <f t="shared" si="24"/>
        <v>06</v>
      </c>
      <c r="C281" s="4" t="str">
        <f t="shared" si="25"/>
        <v>10</v>
      </c>
      <c r="D281" s="4" t="str">
        <f t="shared" si="26"/>
        <v>2020</v>
      </c>
      <c r="E281" s="3" t="str">
        <f t="shared" si="27"/>
        <v>Tuesday</v>
      </c>
      <c r="F281" s="4" t="str">
        <f t="shared" si="28"/>
        <v>N</v>
      </c>
      <c r="G281" s="4" t="str">
        <f>IF(COUNTIF(PublicHols[Date], A281)&gt;0, "Y", "N")</f>
        <v>N</v>
      </c>
      <c r="H281" s="3" t="str">
        <f>IFERROR(_xlfn.XLOOKUP(A281, PublicHols[Date], PublicHols[PH_Name]),"")</f>
        <v/>
      </c>
      <c r="I281" s="4" t="str">
        <f>IF(COUNTIF(EventsAll[Date], A281)&gt;0, "Y", "N")</f>
        <v>N</v>
      </c>
      <c r="J281" s="11" t="str">
        <f>IFERROR(_xlfn.XLOOKUP(A281, EventsAll[Date], EventsAll[Event]),"")</f>
        <v/>
      </c>
      <c r="K281" s="4" t="str" cm="1">
        <f t="array" ref="K281">IF(SUMPRODUCT((A281&gt;=SchoolHols[Start])*(A281&lt;=SchoolHols[End]))&gt;0,"Y","N")</f>
        <v>N</v>
      </c>
    </row>
    <row r="282" spans="1:11">
      <c r="A282" s="6">
        <f t="shared" si="29"/>
        <v>44111</v>
      </c>
      <c r="B282" s="4" t="str">
        <f t="shared" si="24"/>
        <v>07</v>
      </c>
      <c r="C282" s="4" t="str">
        <f t="shared" si="25"/>
        <v>10</v>
      </c>
      <c r="D282" s="4" t="str">
        <f t="shared" si="26"/>
        <v>2020</v>
      </c>
      <c r="E282" s="3" t="str">
        <f t="shared" si="27"/>
        <v>Wednesday</v>
      </c>
      <c r="F282" s="4" t="str">
        <f t="shared" si="28"/>
        <v>N</v>
      </c>
      <c r="G282" s="4" t="str">
        <f>IF(COUNTIF(PublicHols[Date], A282)&gt;0, "Y", "N")</f>
        <v>N</v>
      </c>
      <c r="H282" s="3" t="str">
        <f>IFERROR(_xlfn.XLOOKUP(A282, PublicHols[Date], PublicHols[PH_Name]),"")</f>
        <v/>
      </c>
      <c r="I282" s="4" t="str">
        <f>IF(COUNTIF(EventsAll[Date], A282)&gt;0, "Y", "N")</f>
        <v>N</v>
      </c>
      <c r="J282" s="11" t="str">
        <f>IFERROR(_xlfn.XLOOKUP(A282, EventsAll[Date], EventsAll[Event]),"")</f>
        <v/>
      </c>
      <c r="K282" s="4" t="str" cm="1">
        <f t="array" ref="K282">IF(SUMPRODUCT((A282&gt;=SchoolHols[Start])*(A282&lt;=SchoolHols[End]))&gt;0,"Y","N")</f>
        <v>N</v>
      </c>
    </row>
    <row r="283" spans="1:11">
      <c r="A283" s="6">
        <f t="shared" si="29"/>
        <v>44112</v>
      </c>
      <c r="B283" s="4" t="str">
        <f t="shared" si="24"/>
        <v>08</v>
      </c>
      <c r="C283" s="4" t="str">
        <f t="shared" si="25"/>
        <v>10</v>
      </c>
      <c r="D283" s="4" t="str">
        <f t="shared" si="26"/>
        <v>2020</v>
      </c>
      <c r="E283" s="3" t="str">
        <f t="shared" si="27"/>
        <v>Thursday</v>
      </c>
      <c r="F283" s="4" t="str">
        <f t="shared" si="28"/>
        <v>N</v>
      </c>
      <c r="G283" s="4" t="str">
        <f>IF(COUNTIF(PublicHols[Date], A283)&gt;0, "Y", "N")</f>
        <v>N</v>
      </c>
      <c r="H283" s="3" t="str">
        <f>IFERROR(_xlfn.XLOOKUP(A283, PublicHols[Date], PublicHols[PH_Name]),"")</f>
        <v/>
      </c>
      <c r="I283" s="4" t="str">
        <f>IF(COUNTIF(EventsAll[Date], A283)&gt;0, "Y", "N")</f>
        <v>N</v>
      </c>
      <c r="J283" s="11" t="str">
        <f>IFERROR(_xlfn.XLOOKUP(A283, EventsAll[Date], EventsAll[Event]),"")</f>
        <v/>
      </c>
      <c r="K283" s="4" t="str" cm="1">
        <f t="array" ref="K283">IF(SUMPRODUCT((A283&gt;=SchoolHols[Start])*(A283&lt;=SchoolHols[End]))&gt;0,"Y","N")</f>
        <v>N</v>
      </c>
    </row>
    <row r="284" spans="1:11">
      <c r="A284" s="6">
        <f t="shared" si="29"/>
        <v>44113</v>
      </c>
      <c r="B284" s="4" t="str">
        <f t="shared" si="24"/>
        <v>09</v>
      </c>
      <c r="C284" s="4" t="str">
        <f t="shared" si="25"/>
        <v>10</v>
      </c>
      <c r="D284" s="4" t="str">
        <f t="shared" si="26"/>
        <v>2020</v>
      </c>
      <c r="E284" s="3" t="str">
        <f t="shared" si="27"/>
        <v>Friday</v>
      </c>
      <c r="F284" s="4" t="str">
        <f t="shared" si="28"/>
        <v>N</v>
      </c>
      <c r="G284" s="4" t="str">
        <f>IF(COUNTIF(PublicHols[Date], A284)&gt;0, "Y", "N")</f>
        <v>N</v>
      </c>
      <c r="H284" s="3" t="str">
        <f>IFERROR(_xlfn.XLOOKUP(A284, PublicHols[Date], PublicHols[PH_Name]),"")</f>
        <v/>
      </c>
      <c r="I284" s="4" t="str">
        <f>IF(COUNTIF(EventsAll[Date], A284)&gt;0, "Y", "N")</f>
        <v>N</v>
      </c>
      <c r="J284" s="11" t="str">
        <f>IFERROR(_xlfn.XLOOKUP(A284, EventsAll[Date], EventsAll[Event]),"")</f>
        <v/>
      </c>
      <c r="K284" s="4" t="str" cm="1">
        <f t="array" ref="K284">IF(SUMPRODUCT((A284&gt;=SchoolHols[Start])*(A284&lt;=SchoolHols[End]))&gt;0,"Y","N")</f>
        <v>N</v>
      </c>
    </row>
    <row r="285" spans="1:11">
      <c r="A285" s="6">
        <f t="shared" si="29"/>
        <v>44114</v>
      </c>
      <c r="B285" s="4" t="str">
        <f t="shared" si="24"/>
        <v>10</v>
      </c>
      <c r="C285" s="4" t="str">
        <f t="shared" si="25"/>
        <v>10</v>
      </c>
      <c r="D285" s="4" t="str">
        <f t="shared" si="26"/>
        <v>2020</v>
      </c>
      <c r="E285" s="3" t="str">
        <f t="shared" si="27"/>
        <v>Saturday</v>
      </c>
      <c r="F285" s="4" t="str">
        <f t="shared" si="28"/>
        <v>N</v>
      </c>
      <c r="G285" s="4" t="str">
        <f>IF(COUNTIF(PublicHols[Date], A285)&gt;0, "Y", "N")</f>
        <v>N</v>
      </c>
      <c r="H285" s="3" t="str">
        <f>IFERROR(_xlfn.XLOOKUP(A285, PublicHols[Date], PublicHols[PH_Name]),"")</f>
        <v/>
      </c>
      <c r="I285" s="4" t="str">
        <f>IF(COUNTIF(EventsAll[Date], A285)&gt;0, "Y", "N")</f>
        <v>N</v>
      </c>
      <c r="J285" s="11" t="str">
        <f>IFERROR(_xlfn.XLOOKUP(A285, EventsAll[Date], EventsAll[Event]),"")</f>
        <v/>
      </c>
      <c r="K285" s="4" t="str" cm="1">
        <f t="array" ref="K285">IF(SUMPRODUCT((A285&gt;=SchoolHols[Start])*(A285&lt;=SchoolHols[End]))&gt;0,"Y","N")</f>
        <v>N</v>
      </c>
    </row>
    <row r="286" spans="1:11">
      <c r="A286" s="6">
        <f t="shared" si="29"/>
        <v>44115</v>
      </c>
      <c r="B286" s="4" t="str">
        <f t="shared" si="24"/>
        <v>11</v>
      </c>
      <c r="C286" s="4" t="str">
        <f t="shared" si="25"/>
        <v>10</v>
      </c>
      <c r="D286" s="4" t="str">
        <f t="shared" si="26"/>
        <v>2020</v>
      </c>
      <c r="E286" s="3" t="str">
        <f t="shared" si="27"/>
        <v>Sunday</v>
      </c>
      <c r="F286" s="4" t="str">
        <f t="shared" si="28"/>
        <v>Y</v>
      </c>
      <c r="G286" s="4" t="str">
        <f>IF(COUNTIF(PublicHols[Date], A286)&gt;0, "Y", "N")</f>
        <v>N</v>
      </c>
      <c r="H286" s="3" t="str">
        <f>IFERROR(_xlfn.XLOOKUP(A286, PublicHols[Date], PublicHols[PH_Name]),"")</f>
        <v/>
      </c>
      <c r="I286" s="4" t="str">
        <f>IF(COUNTIF(EventsAll[Date], A286)&gt;0, "Y", "N")</f>
        <v>N</v>
      </c>
      <c r="J286" s="11" t="str">
        <f>IFERROR(_xlfn.XLOOKUP(A286, EventsAll[Date], EventsAll[Event]),"")</f>
        <v/>
      </c>
      <c r="K286" s="4" t="str" cm="1">
        <f t="array" ref="K286">IF(SUMPRODUCT((A286&gt;=SchoolHols[Start])*(A286&lt;=SchoolHols[End]))&gt;0,"Y","N")</f>
        <v>N</v>
      </c>
    </row>
    <row r="287" spans="1:11">
      <c r="A287" s="6">
        <f t="shared" si="29"/>
        <v>44116</v>
      </c>
      <c r="B287" s="4" t="str">
        <f t="shared" si="24"/>
        <v>12</v>
      </c>
      <c r="C287" s="4" t="str">
        <f t="shared" si="25"/>
        <v>10</v>
      </c>
      <c r="D287" s="4" t="str">
        <f t="shared" si="26"/>
        <v>2020</v>
      </c>
      <c r="E287" s="3" t="str">
        <f t="shared" si="27"/>
        <v>Monday</v>
      </c>
      <c r="F287" s="4" t="str">
        <f t="shared" si="28"/>
        <v>N</v>
      </c>
      <c r="G287" s="4" t="str">
        <f>IF(COUNTIF(PublicHols[Date], A287)&gt;0, "Y", "N")</f>
        <v>N</v>
      </c>
      <c r="H287" s="3" t="str">
        <f>IFERROR(_xlfn.XLOOKUP(A287, PublicHols[Date], PublicHols[PH_Name]),"")</f>
        <v/>
      </c>
      <c r="I287" s="4" t="str">
        <f>IF(COUNTIF(EventsAll[Date], A287)&gt;0, "Y", "N")</f>
        <v>N</v>
      </c>
      <c r="J287" s="11" t="str">
        <f>IFERROR(_xlfn.XLOOKUP(A287, EventsAll[Date], EventsAll[Event]),"")</f>
        <v/>
      </c>
      <c r="K287" s="4" t="str" cm="1">
        <f t="array" ref="K287">IF(SUMPRODUCT((A287&gt;=SchoolHols[Start])*(A287&lt;=SchoolHols[End]))&gt;0,"Y","N")</f>
        <v>N</v>
      </c>
    </row>
    <row r="288" spans="1:11">
      <c r="A288" s="6">
        <f t="shared" si="29"/>
        <v>44117</v>
      </c>
      <c r="B288" s="4" t="str">
        <f t="shared" si="24"/>
        <v>13</v>
      </c>
      <c r="C288" s="4" t="str">
        <f t="shared" si="25"/>
        <v>10</v>
      </c>
      <c r="D288" s="4" t="str">
        <f t="shared" si="26"/>
        <v>2020</v>
      </c>
      <c r="E288" s="3" t="str">
        <f t="shared" si="27"/>
        <v>Tuesday</v>
      </c>
      <c r="F288" s="4" t="str">
        <f t="shared" si="28"/>
        <v>N</v>
      </c>
      <c r="G288" s="4" t="str">
        <f>IF(COUNTIF(PublicHols[Date], A288)&gt;0, "Y", "N")</f>
        <v>N</v>
      </c>
      <c r="H288" s="3" t="str">
        <f>IFERROR(_xlfn.XLOOKUP(A288, PublicHols[Date], PublicHols[PH_Name]),"")</f>
        <v/>
      </c>
      <c r="I288" s="4" t="str">
        <f>IF(COUNTIF(EventsAll[Date], A288)&gt;0, "Y", "N")</f>
        <v>N</v>
      </c>
      <c r="J288" s="11" t="str">
        <f>IFERROR(_xlfn.XLOOKUP(A288, EventsAll[Date], EventsAll[Event]),"")</f>
        <v/>
      </c>
      <c r="K288" s="4" t="str" cm="1">
        <f t="array" ref="K288">IF(SUMPRODUCT((A288&gt;=SchoolHols[Start])*(A288&lt;=SchoolHols[End]))&gt;0,"Y","N")</f>
        <v>N</v>
      </c>
    </row>
    <row r="289" spans="1:11">
      <c r="A289" s="6">
        <f t="shared" si="29"/>
        <v>44118</v>
      </c>
      <c r="B289" s="4" t="str">
        <f t="shared" si="24"/>
        <v>14</v>
      </c>
      <c r="C289" s="4" t="str">
        <f t="shared" si="25"/>
        <v>10</v>
      </c>
      <c r="D289" s="4" t="str">
        <f t="shared" si="26"/>
        <v>2020</v>
      </c>
      <c r="E289" s="3" t="str">
        <f t="shared" si="27"/>
        <v>Wednesday</v>
      </c>
      <c r="F289" s="4" t="str">
        <f t="shared" si="28"/>
        <v>N</v>
      </c>
      <c r="G289" s="4" t="str">
        <f>IF(COUNTIF(PublicHols[Date], A289)&gt;0, "Y", "N")</f>
        <v>N</v>
      </c>
      <c r="H289" s="3" t="str">
        <f>IFERROR(_xlfn.XLOOKUP(A289, PublicHols[Date], PublicHols[PH_Name]),"")</f>
        <v/>
      </c>
      <c r="I289" s="4" t="str">
        <f>IF(COUNTIF(EventsAll[Date], A289)&gt;0, "Y", "N")</f>
        <v>N</v>
      </c>
      <c r="J289" s="11" t="str">
        <f>IFERROR(_xlfn.XLOOKUP(A289, EventsAll[Date], EventsAll[Event]),"")</f>
        <v/>
      </c>
      <c r="K289" s="4" t="str" cm="1">
        <f t="array" ref="K289">IF(SUMPRODUCT((A289&gt;=SchoolHols[Start])*(A289&lt;=SchoolHols[End]))&gt;0,"Y","N")</f>
        <v>N</v>
      </c>
    </row>
    <row r="290" spans="1:11">
      <c r="A290" s="6">
        <f t="shared" si="29"/>
        <v>44119</v>
      </c>
      <c r="B290" s="4" t="str">
        <f t="shared" si="24"/>
        <v>15</v>
      </c>
      <c r="C290" s="4" t="str">
        <f t="shared" si="25"/>
        <v>10</v>
      </c>
      <c r="D290" s="4" t="str">
        <f t="shared" si="26"/>
        <v>2020</v>
      </c>
      <c r="E290" s="3" t="str">
        <f t="shared" si="27"/>
        <v>Thursday</v>
      </c>
      <c r="F290" s="4" t="str">
        <f t="shared" si="28"/>
        <v>N</v>
      </c>
      <c r="G290" s="4" t="str">
        <f>IF(COUNTIF(PublicHols[Date], A290)&gt;0, "Y", "N")</f>
        <v>N</v>
      </c>
      <c r="H290" s="3" t="str">
        <f>IFERROR(_xlfn.XLOOKUP(A290, PublicHols[Date], PublicHols[PH_Name]),"")</f>
        <v/>
      </c>
      <c r="I290" s="4" t="str">
        <f>IF(COUNTIF(EventsAll[Date], A290)&gt;0, "Y", "N")</f>
        <v>N</v>
      </c>
      <c r="J290" s="11" t="str">
        <f>IFERROR(_xlfn.XLOOKUP(A290, EventsAll[Date], EventsAll[Event]),"")</f>
        <v/>
      </c>
      <c r="K290" s="4" t="str" cm="1">
        <f t="array" ref="K290">IF(SUMPRODUCT((A290&gt;=SchoolHols[Start])*(A290&lt;=SchoolHols[End]))&gt;0,"Y","N")</f>
        <v>N</v>
      </c>
    </row>
    <row r="291" spans="1:11">
      <c r="A291" s="6">
        <f t="shared" si="29"/>
        <v>44120</v>
      </c>
      <c r="B291" s="4" t="str">
        <f t="shared" si="24"/>
        <v>16</v>
      </c>
      <c r="C291" s="4" t="str">
        <f t="shared" si="25"/>
        <v>10</v>
      </c>
      <c r="D291" s="4" t="str">
        <f t="shared" si="26"/>
        <v>2020</v>
      </c>
      <c r="E291" s="3" t="str">
        <f t="shared" si="27"/>
        <v>Friday</v>
      </c>
      <c r="F291" s="4" t="str">
        <f t="shared" si="28"/>
        <v>N</v>
      </c>
      <c r="G291" s="4" t="str">
        <f>IF(COUNTIF(PublicHols[Date], A291)&gt;0, "Y", "N")</f>
        <v>N</v>
      </c>
      <c r="H291" s="3" t="str">
        <f>IFERROR(_xlfn.XLOOKUP(A291, PublicHols[Date], PublicHols[PH_Name]),"")</f>
        <v/>
      </c>
      <c r="I291" s="4" t="str">
        <f>IF(COUNTIF(EventsAll[Date], A291)&gt;0, "Y", "N")</f>
        <v>N</v>
      </c>
      <c r="J291" s="11" t="str">
        <f>IFERROR(_xlfn.XLOOKUP(A291, EventsAll[Date], EventsAll[Event]),"")</f>
        <v/>
      </c>
      <c r="K291" s="4" t="str" cm="1">
        <f t="array" ref="K291">IF(SUMPRODUCT((A291&gt;=SchoolHols[Start])*(A291&lt;=SchoolHols[End]))&gt;0,"Y","N")</f>
        <v>N</v>
      </c>
    </row>
    <row r="292" spans="1:11">
      <c r="A292" s="6">
        <f t="shared" si="29"/>
        <v>44121</v>
      </c>
      <c r="B292" s="4" t="str">
        <f t="shared" si="24"/>
        <v>17</v>
      </c>
      <c r="C292" s="4" t="str">
        <f t="shared" si="25"/>
        <v>10</v>
      </c>
      <c r="D292" s="4" t="str">
        <f t="shared" si="26"/>
        <v>2020</v>
      </c>
      <c r="E292" s="3" t="str">
        <f t="shared" si="27"/>
        <v>Saturday</v>
      </c>
      <c r="F292" s="4" t="str">
        <f t="shared" si="28"/>
        <v>N</v>
      </c>
      <c r="G292" s="4" t="str">
        <f>IF(COUNTIF(PublicHols[Date], A292)&gt;0, "Y", "N")</f>
        <v>N</v>
      </c>
      <c r="H292" s="3" t="str">
        <f>IFERROR(_xlfn.XLOOKUP(A292, PublicHols[Date], PublicHols[PH_Name]),"")</f>
        <v/>
      </c>
      <c r="I292" s="4" t="str">
        <f>IF(COUNTIF(EventsAll[Date], A292)&gt;0, "Y", "N")</f>
        <v>N</v>
      </c>
      <c r="J292" s="11" t="str">
        <f>IFERROR(_xlfn.XLOOKUP(A292, EventsAll[Date], EventsAll[Event]),"")</f>
        <v/>
      </c>
      <c r="K292" s="4" t="str" cm="1">
        <f t="array" ref="K292">IF(SUMPRODUCT((A292&gt;=SchoolHols[Start])*(A292&lt;=SchoolHols[End]))&gt;0,"Y","N")</f>
        <v>N</v>
      </c>
    </row>
    <row r="293" spans="1:11">
      <c r="A293" s="6">
        <f t="shared" si="29"/>
        <v>44122</v>
      </c>
      <c r="B293" s="4" t="str">
        <f t="shared" si="24"/>
        <v>18</v>
      </c>
      <c r="C293" s="4" t="str">
        <f t="shared" si="25"/>
        <v>10</v>
      </c>
      <c r="D293" s="4" t="str">
        <f t="shared" si="26"/>
        <v>2020</v>
      </c>
      <c r="E293" s="3" t="str">
        <f t="shared" si="27"/>
        <v>Sunday</v>
      </c>
      <c r="F293" s="4" t="str">
        <f t="shared" si="28"/>
        <v>Y</v>
      </c>
      <c r="G293" s="4" t="str">
        <f>IF(COUNTIF(PublicHols[Date], A293)&gt;0, "Y", "N")</f>
        <v>N</v>
      </c>
      <c r="H293" s="3" t="str">
        <f>IFERROR(_xlfn.XLOOKUP(A293, PublicHols[Date], PublicHols[PH_Name]),"")</f>
        <v/>
      </c>
      <c r="I293" s="4" t="str">
        <f>IF(COUNTIF(EventsAll[Date], A293)&gt;0, "Y", "N")</f>
        <v>N</v>
      </c>
      <c r="J293" s="11" t="str">
        <f>IFERROR(_xlfn.XLOOKUP(A293, EventsAll[Date], EventsAll[Event]),"")</f>
        <v/>
      </c>
      <c r="K293" s="4" t="str" cm="1">
        <f t="array" ref="K293">IF(SUMPRODUCT((A293&gt;=SchoolHols[Start])*(A293&lt;=SchoolHols[End]))&gt;0,"Y","N")</f>
        <v>N</v>
      </c>
    </row>
    <row r="294" spans="1:11">
      <c r="A294" s="6">
        <f t="shared" si="29"/>
        <v>44123</v>
      </c>
      <c r="B294" s="4" t="str">
        <f t="shared" si="24"/>
        <v>19</v>
      </c>
      <c r="C294" s="4" t="str">
        <f t="shared" si="25"/>
        <v>10</v>
      </c>
      <c r="D294" s="4" t="str">
        <f t="shared" si="26"/>
        <v>2020</v>
      </c>
      <c r="E294" s="3" t="str">
        <f t="shared" si="27"/>
        <v>Monday</v>
      </c>
      <c r="F294" s="4" t="str">
        <f t="shared" si="28"/>
        <v>N</v>
      </c>
      <c r="G294" s="4" t="str">
        <f>IF(COUNTIF(PublicHols[Date], A294)&gt;0, "Y", "N")</f>
        <v>N</v>
      </c>
      <c r="H294" s="3" t="str">
        <f>IFERROR(_xlfn.XLOOKUP(A294, PublicHols[Date], PublicHols[PH_Name]),"")</f>
        <v/>
      </c>
      <c r="I294" s="4" t="str">
        <f>IF(COUNTIF(EventsAll[Date], A294)&gt;0, "Y", "N")</f>
        <v>N</v>
      </c>
      <c r="J294" s="11" t="str">
        <f>IFERROR(_xlfn.XLOOKUP(A294, EventsAll[Date], EventsAll[Event]),"")</f>
        <v/>
      </c>
      <c r="K294" s="4" t="str" cm="1">
        <f t="array" ref="K294">IF(SUMPRODUCT((A294&gt;=SchoolHols[Start])*(A294&lt;=SchoolHols[End]))&gt;0,"Y","N")</f>
        <v>N</v>
      </c>
    </row>
    <row r="295" spans="1:11">
      <c r="A295" s="6">
        <f t="shared" si="29"/>
        <v>44124</v>
      </c>
      <c r="B295" s="4" t="str">
        <f t="shared" si="24"/>
        <v>20</v>
      </c>
      <c r="C295" s="4" t="str">
        <f t="shared" si="25"/>
        <v>10</v>
      </c>
      <c r="D295" s="4" t="str">
        <f t="shared" si="26"/>
        <v>2020</v>
      </c>
      <c r="E295" s="3" t="str">
        <f t="shared" si="27"/>
        <v>Tuesday</v>
      </c>
      <c r="F295" s="4" t="str">
        <f t="shared" si="28"/>
        <v>N</v>
      </c>
      <c r="G295" s="4" t="str">
        <f>IF(COUNTIF(PublicHols[Date], A295)&gt;0, "Y", "N")</f>
        <v>N</v>
      </c>
      <c r="H295" s="3" t="str">
        <f>IFERROR(_xlfn.XLOOKUP(A295, PublicHols[Date], PublicHols[PH_Name]),"")</f>
        <v/>
      </c>
      <c r="I295" s="4" t="str">
        <f>IF(COUNTIF(EventsAll[Date], A295)&gt;0, "Y", "N")</f>
        <v>N</v>
      </c>
      <c r="J295" s="11" t="str">
        <f>IFERROR(_xlfn.XLOOKUP(A295, EventsAll[Date], EventsAll[Event]),"")</f>
        <v/>
      </c>
      <c r="K295" s="4" t="str" cm="1">
        <f t="array" ref="K295">IF(SUMPRODUCT((A295&gt;=SchoolHols[Start])*(A295&lt;=SchoolHols[End]))&gt;0,"Y","N")</f>
        <v>N</v>
      </c>
    </row>
    <row r="296" spans="1:11">
      <c r="A296" s="6">
        <f t="shared" si="29"/>
        <v>44125</v>
      </c>
      <c r="B296" s="4" t="str">
        <f t="shared" si="24"/>
        <v>21</v>
      </c>
      <c r="C296" s="4" t="str">
        <f t="shared" si="25"/>
        <v>10</v>
      </c>
      <c r="D296" s="4" t="str">
        <f t="shared" si="26"/>
        <v>2020</v>
      </c>
      <c r="E296" s="3" t="str">
        <f t="shared" si="27"/>
        <v>Wednesday</v>
      </c>
      <c r="F296" s="4" t="str">
        <f t="shared" si="28"/>
        <v>N</v>
      </c>
      <c r="G296" s="4" t="str">
        <f>IF(COUNTIF(PublicHols[Date], A296)&gt;0, "Y", "N")</f>
        <v>N</v>
      </c>
      <c r="H296" s="3" t="str">
        <f>IFERROR(_xlfn.XLOOKUP(A296, PublicHols[Date], PublicHols[PH_Name]),"")</f>
        <v/>
      </c>
      <c r="I296" s="4" t="str">
        <f>IF(COUNTIF(EventsAll[Date], A296)&gt;0, "Y", "N")</f>
        <v>N</v>
      </c>
      <c r="J296" s="11" t="str">
        <f>IFERROR(_xlfn.XLOOKUP(A296, EventsAll[Date], EventsAll[Event]),"")</f>
        <v/>
      </c>
      <c r="K296" s="4" t="str" cm="1">
        <f t="array" ref="K296">IF(SUMPRODUCT((A296&gt;=SchoolHols[Start])*(A296&lt;=SchoolHols[End]))&gt;0,"Y","N")</f>
        <v>N</v>
      </c>
    </row>
    <row r="297" spans="1:11">
      <c r="A297" s="6">
        <f t="shared" si="29"/>
        <v>44126</v>
      </c>
      <c r="B297" s="4" t="str">
        <f t="shared" si="24"/>
        <v>22</v>
      </c>
      <c r="C297" s="4" t="str">
        <f t="shared" si="25"/>
        <v>10</v>
      </c>
      <c r="D297" s="4" t="str">
        <f t="shared" si="26"/>
        <v>2020</v>
      </c>
      <c r="E297" s="3" t="str">
        <f t="shared" si="27"/>
        <v>Thursday</v>
      </c>
      <c r="F297" s="4" t="str">
        <f t="shared" si="28"/>
        <v>N</v>
      </c>
      <c r="G297" s="4" t="str">
        <f>IF(COUNTIF(PublicHols[Date], A297)&gt;0, "Y", "N")</f>
        <v>N</v>
      </c>
      <c r="H297" s="3" t="str">
        <f>IFERROR(_xlfn.XLOOKUP(A297, PublicHols[Date], PublicHols[PH_Name]),"")</f>
        <v/>
      </c>
      <c r="I297" s="4" t="str">
        <f>IF(COUNTIF(EventsAll[Date], A297)&gt;0, "Y", "N")</f>
        <v>N</v>
      </c>
      <c r="J297" s="11" t="str">
        <f>IFERROR(_xlfn.XLOOKUP(A297, EventsAll[Date], EventsAll[Event]),"")</f>
        <v/>
      </c>
      <c r="K297" s="4" t="str" cm="1">
        <f t="array" ref="K297">IF(SUMPRODUCT((A297&gt;=SchoolHols[Start])*(A297&lt;=SchoolHols[End]))&gt;0,"Y","N")</f>
        <v>N</v>
      </c>
    </row>
    <row r="298" spans="1:11">
      <c r="A298" s="6">
        <f t="shared" si="29"/>
        <v>44127</v>
      </c>
      <c r="B298" s="4" t="str">
        <f t="shared" si="24"/>
        <v>23</v>
      </c>
      <c r="C298" s="4" t="str">
        <f t="shared" si="25"/>
        <v>10</v>
      </c>
      <c r="D298" s="4" t="str">
        <f t="shared" si="26"/>
        <v>2020</v>
      </c>
      <c r="E298" s="3" t="str">
        <f t="shared" si="27"/>
        <v>Friday</v>
      </c>
      <c r="F298" s="4" t="str">
        <f t="shared" si="28"/>
        <v>N</v>
      </c>
      <c r="G298" s="4" t="str">
        <f>IF(COUNTIF(PublicHols[Date], A298)&gt;0, "Y", "N")</f>
        <v>N</v>
      </c>
      <c r="H298" s="3" t="str">
        <f>IFERROR(_xlfn.XLOOKUP(A298, PublicHols[Date], PublicHols[PH_Name]),"")</f>
        <v/>
      </c>
      <c r="I298" s="4" t="str">
        <f>IF(COUNTIF(EventsAll[Date], A298)&gt;0, "Y", "N")</f>
        <v>N</v>
      </c>
      <c r="J298" s="11" t="str">
        <f>IFERROR(_xlfn.XLOOKUP(A298, EventsAll[Date], EventsAll[Event]),"")</f>
        <v/>
      </c>
      <c r="K298" s="4" t="str" cm="1">
        <f t="array" ref="K298">IF(SUMPRODUCT((A298&gt;=SchoolHols[Start])*(A298&lt;=SchoolHols[End]))&gt;0,"Y","N")</f>
        <v>N</v>
      </c>
    </row>
    <row r="299" spans="1:11">
      <c r="A299" s="6">
        <f t="shared" si="29"/>
        <v>44128</v>
      </c>
      <c r="B299" s="4" t="str">
        <f t="shared" si="24"/>
        <v>24</v>
      </c>
      <c r="C299" s="4" t="str">
        <f t="shared" si="25"/>
        <v>10</v>
      </c>
      <c r="D299" s="4" t="str">
        <f t="shared" si="26"/>
        <v>2020</v>
      </c>
      <c r="E299" s="3" t="str">
        <f t="shared" si="27"/>
        <v>Saturday</v>
      </c>
      <c r="F299" s="4" t="str">
        <f t="shared" si="28"/>
        <v>N</v>
      </c>
      <c r="G299" s="4" t="str">
        <f>IF(COUNTIF(PublicHols[Date], A299)&gt;0, "Y", "N")</f>
        <v>N</v>
      </c>
      <c r="H299" s="3" t="str">
        <f>IFERROR(_xlfn.XLOOKUP(A299, PublicHols[Date], PublicHols[PH_Name]),"")</f>
        <v/>
      </c>
      <c r="I299" s="4" t="str">
        <f>IF(COUNTIF(EventsAll[Date], A299)&gt;0, "Y", "N")</f>
        <v>N</v>
      </c>
      <c r="J299" s="11" t="str">
        <f>IFERROR(_xlfn.XLOOKUP(A299, EventsAll[Date], EventsAll[Event]),"")</f>
        <v/>
      </c>
      <c r="K299" s="4" t="str" cm="1">
        <f t="array" ref="K299">IF(SUMPRODUCT((A299&gt;=SchoolHols[Start])*(A299&lt;=SchoolHols[End]))&gt;0,"Y","N")</f>
        <v>N</v>
      </c>
    </row>
    <row r="300" spans="1:11">
      <c r="A300" s="6">
        <f t="shared" si="29"/>
        <v>44129</v>
      </c>
      <c r="B300" s="4" t="str">
        <f t="shared" si="24"/>
        <v>25</v>
      </c>
      <c r="C300" s="4" t="str">
        <f t="shared" si="25"/>
        <v>10</v>
      </c>
      <c r="D300" s="4" t="str">
        <f t="shared" si="26"/>
        <v>2020</v>
      </c>
      <c r="E300" s="3" t="str">
        <f t="shared" si="27"/>
        <v>Sunday</v>
      </c>
      <c r="F300" s="4" t="str">
        <f t="shared" si="28"/>
        <v>Y</v>
      </c>
      <c r="G300" s="4" t="str">
        <f>IF(COUNTIF(PublicHols[Date], A300)&gt;0, "Y", "N")</f>
        <v>N</v>
      </c>
      <c r="H300" s="3" t="str">
        <f>IFERROR(_xlfn.XLOOKUP(A300, PublicHols[Date], PublicHols[PH_Name]),"")</f>
        <v/>
      </c>
      <c r="I300" s="4" t="str">
        <f>IF(COUNTIF(EventsAll[Date], A300)&gt;0, "Y", "N")</f>
        <v>N</v>
      </c>
      <c r="J300" s="11" t="str">
        <f>IFERROR(_xlfn.XLOOKUP(A300, EventsAll[Date], EventsAll[Event]),"")</f>
        <v/>
      </c>
      <c r="K300" s="4" t="str" cm="1">
        <f t="array" ref="K300">IF(SUMPRODUCT((A300&gt;=SchoolHols[Start])*(A300&lt;=SchoolHols[End]))&gt;0,"Y","N")</f>
        <v>N</v>
      </c>
    </row>
    <row r="301" spans="1:11">
      <c r="A301" s="6">
        <f t="shared" si="29"/>
        <v>44130</v>
      </c>
      <c r="B301" s="4" t="str">
        <f t="shared" si="24"/>
        <v>26</v>
      </c>
      <c r="C301" s="4" t="str">
        <f t="shared" si="25"/>
        <v>10</v>
      </c>
      <c r="D301" s="4" t="str">
        <f t="shared" si="26"/>
        <v>2020</v>
      </c>
      <c r="E301" s="3" t="str">
        <f t="shared" si="27"/>
        <v>Monday</v>
      </c>
      <c r="F301" s="4" t="str">
        <f t="shared" si="28"/>
        <v>N</v>
      </c>
      <c r="G301" s="4" t="str">
        <f>IF(COUNTIF(PublicHols[Date], A301)&gt;0, "Y", "N")</f>
        <v>N</v>
      </c>
      <c r="H301" s="3" t="str">
        <f>IFERROR(_xlfn.XLOOKUP(A301, PublicHols[Date], PublicHols[PH_Name]),"")</f>
        <v/>
      </c>
      <c r="I301" s="4" t="str">
        <f>IF(COUNTIF(EventsAll[Date], A301)&gt;0, "Y", "N")</f>
        <v>N</v>
      </c>
      <c r="J301" s="11" t="str">
        <f>IFERROR(_xlfn.XLOOKUP(A301, EventsAll[Date], EventsAll[Event]),"")</f>
        <v/>
      </c>
      <c r="K301" s="4" t="str" cm="1">
        <f t="array" ref="K301">IF(SUMPRODUCT((A301&gt;=SchoolHols[Start])*(A301&lt;=SchoolHols[End]))&gt;0,"Y","N")</f>
        <v>N</v>
      </c>
    </row>
    <row r="302" spans="1:11">
      <c r="A302" s="6">
        <f t="shared" si="29"/>
        <v>44131</v>
      </c>
      <c r="B302" s="4" t="str">
        <f t="shared" si="24"/>
        <v>27</v>
      </c>
      <c r="C302" s="4" t="str">
        <f t="shared" si="25"/>
        <v>10</v>
      </c>
      <c r="D302" s="4" t="str">
        <f t="shared" si="26"/>
        <v>2020</v>
      </c>
      <c r="E302" s="3" t="str">
        <f t="shared" si="27"/>
        <v>Tuesday</v>
      </c>
      <c r="F302" s="4" t="str">
        <f t="shared" si="28"/>
        <v>N</v>
      </c>
      <c r="G302" s="4" t="str">
        <f>IF(COUNTIF(PublicHols[Date], A302)&gt;0, "Y", "N")</f>
        <v>N</v>
      </c>
      <c r="H302" s="3" t="str">
        <f>IFERROR(_xlfn.XLOOKUP(A302, PublicHols[Date], PublicHols[PH_Name]),"")</f>
        <v/>
      </c>
      <c r="I302" s="4" t="str">
        <f>IF(COUNTIF(EventsAll[Date], A302)&gt;0, "Y", "N")</f>
        <v>N</v>
      </c>
      <c r="J302" s="11" t="str">
        <f>IFERROR(_xlfn.XLOOKUP(A302, EventsAll[Date], EventsAll[Event]),"")</f>
        <v/>
      </c>
      <c r="K302" s="4" t="str" cm="1">
        <f t="array" ref="K302">IF(SUMPRODUCT((A302&gt;=SchoolHols[Start])*(A302&lt;=SchoolHols[End]))&gt;0,"Y","N")</f>
        <v>N</v>
      </c>
    </row>
    <row r="303" spans="1:11">
      <c r="A303" s="6">
        <f t="shared" si="29"/>
        <v>44132</v>
      </c>
      <c r="B303" s="4" t="str">
        <f t="shared" si="24"/>
        <v>28</v>
      </c>
      <c r="C303" s="4" t="str">
        <f t="shared" si="25"/>
        <v>10</v>
      </c>
      <c r="D303" s="4" t="str">
        <f t="shared" si="26"/>
        <v>2020</v>
      </c>
      <c r="E303" s="3" t="str">
        <f t="shared" si="27"/>
        <v>Wednesday</v>
      </c>
      <c r="F303" s="4" t="str">
        <f t="shared" si="28"/>
        <v>N</v>
      </c>
      <c r="G303" s="4" t="str">
        <f>IF(COUNTIF(PublicHols[Date], A303)&gt;0, "Y", "N")</f>
        <v>N</v>
      </c>
      <c r="H303" s="3" t="str">
        <f>IFERROR(_xlfn.XLOOKUP(A303, PublicHols[Date], PublicHols[PH_Name]),"")</f>
        <v/>
      </c>
      <c r="I303" s="4" t="str">
        <f>IF(COUNTIF(EventsAll[Date], A303)&gt;0, "Y", "N")</f>
        <v>N</v>
      </c>
      <c r="J303" s="11" t="str">
        <f>IFERROR(_xlfn.XLOOKUP(A303, EventsAll[Date], EventsAll[Event]),"")</f>
        <v/>
      </c>
      <c r="K303" s="4" t="str" cm="1">
        <f t="array" ref="K303">IF(SUMPRODUCT((A303&gt;=SchoolHols[Start])*(A303&lt;=SchoolHols[End]))&gt;0,"Y","N")</f>
        <v>N</v>
      </c>
    </row>
    <row r="304" spans="1:11">
      <c r="A304" s="6">
        <f t="shared" si="29"/>
        <v>44133</v>
      </c>
      <c r="B304" s="4" t="str">
        <f t="shared" si="24"/>
        <v>29</v>
      </c>
      <c r="C304" s="4" t="str">
        <f t="shared" si="25"/>
        <v>10</v>
      </c>
      <c r="D304" s="4" t="str">
        <f t="shared" si="26"/>
        <v>2020</v>
      </c>
      <c r="E304" s="3" t="str">
        <f t="shared" si="27"/>
        <v>Thursday</v>
      </c>
      <c r="F304" s="4" t="str">
        <f t="shared" si="28"/>
        <v>N</v>
      </c>
      <c r="G304" s="4" t="str">
        <f>IF(COUNTIF(PublicHols[Date], A304)&gt;0, "Y", "N")</f>
        <v>N</v>
      </c>
      <c r="H304" s="3" t="str">
        <f>IFERROR(_xlfn.XLOOKUP(A304, PublicHols[Date], PublicHols[PH_Name]),"")</f>
        <v/>
      </c>
      <c r="I304" s="4" t="str">
        <f>IF(COUNTIF(EventsAll[Date], A304)&gt;0, "Y", "N")</f>
        <v>N</v>
      </c>
      <c r="J304" s="11" t="str">
        <f>IFERROR(_xlfn.XLOOKUP(A304, EventsAll[Date], EventsAll[Event]),"")</f>
        <v/>
      </c>
      <c r="K304" s="4" t="str" cm="1">
        <f t="array" ref="K304">IF(SUMPRODUCT((A304&gt;=SchoolHols[Start])*(A304&lt;=SchoolHols[End]))&gt;0,"Y","N")</f>
        <v>N</v>
      </c>
    </row>
    <row r="305" spans="1:11">
      <c r="A305" s="6">
        <f t="shared" si="29"/>
        <v>44134</v>
      </c>
      <c r="B305" s="4" t="str">
        <f t="shared" si="24"/>
        <v>30</v>
      </c>
      <c r="C305" s="4" t="str">
        <f t="shared" si="25"/>
        <v>10</v>
      </c>
      <c r="D305" s="4" t="str">
        <f t="shared" si="26"/>
        <v>2020</v>
      </c>
      <c r="E305" s="3" t="str">
        <f t="shared" si="27"/>
        <v>Friday</v>
      </c>
      <c r="F305" s="4" t="str">
        <f t="shared" si="28"/>
        <v>N</v>
      </c>
      <c r="G305" s="4" t="str">
        <f>IF(COUNTIF(PublicHols[Date], A305)&gt;0, "Y", "N")</f>
        <v>N</v>
      </c>
      <c r="H305" s="3" t="str">
        <f>IFERROR(_xlfn.XLOOKUP(A305, PublicHols[Date], PublicHols[PH_Name]),"")</f>
        <v/>
      </c>
      <c r="I305" s="4" t="str">
        <f>IF(COUNTIF(EventsAll[Date], A305)&gt;0, "Y", "N")</f>
        <v>N</v>
      </c>
      <c r="J305" s="11" t="str">
        <f>IFERROR(_xlfn.XLOOKUP(A305, EventsAll[Date], EventsAll[Event]),"")</f>
        <v/>
      </c>
      <c r="K305" s="4" t="str" cm="1">
        <f t="array" ref="K305">IF(SUMPRODUCT((A305&gt;=SchoolHols[Start])*(A305&lt;=SchoolHols[End]))&gt;0,"Y","N")</f>
        <v>N</v>
      </c>
    </row>
    <row r="306" spans="1:11">
      <c r="A306" s="6">
        <f t="shared" si="29"/>
        <v>44135</v>
      </c>
      <c r="B306" s="4" t="str">
        <f t="shared" si="24"/>
        <v>31</v>
      </c>
      <c r="C306" s="4" t="str">
        <f t="shared" si="25"/>
        <v>10</v>
      </c>
      <c r="D306" s="4" t="str">
        <f t="shared" si="26"/>
        <v>2020</v>
      </c>
      <c r="E306" s="3" t="str">
        <f t="shared" si="27"/>
        <v>Saturday</v>
      </c>
      <c r="F306" s="4" t="str">
        <f t="shared" si="28"/>
        <v>N</v>
      </c>
      <c r="G306" s="4" t="str">
        <f>IF(COUNTIF(PublicHols[Date], A306)&gt;0, "Y", "N")</f>
        <v>N</v>
      </c>
      <c r="H306" s="3" t="str">
        <f>IFERROR(_xlfn.XLOOKUP(A306, PublicHols[Date], PublicHols[PH_Name]),"")</f>
        <v/>
      </c>
      <c r="I306" s="4" t="str">
        <f>IF(COUNTIF(EventsAll[Date], A306)&gt;0, "Y", "N")</f>
        <v>Y</v>
      </c>
      <c r="J306" s="11" t="str">
        <f>IFERROR(_xlfn.XLOOKUP(A306, EventsAll[Date], EventsAll[Event]),"")</f>
        <v xml:space="preserve"> Halloween</v>
      </c>
      <c r="K306" s="4" t="str" cm="1">
        <f t="array" ref="K306">IF(SUMPRODUCT((A306&gt;=SchoolHols[Start])*(A306&lt;=SchoolHols[End]))&gt;0,"Y","N")</f>
        <v>N</v>
      </c>
    </row>
    <row r="307" spans="1:11">
      <c r="A307" s="6">
        <f t="shared" si="29"/>
        <v>44136</v>
      </c>
      <c r="B307" s="4" t="str">
        <f t="shared" si="24"/>
        <v>01</v>
      </c>
      <c r="C307" s="4" t="str">
        <f t="shared" si="25"/>
        <v>11</v>
      </c>
      <c r="D307" s="4" t="str">
        <f t="shared" si="26"/>
        <v>2020</v>
      </c>
      <c r="E307" s="3" t="str">
        <f t="shared" si="27"/>
        <v>Sunday</v>
      </c>
      <c r="F307" s="4" t="str">
        <f t="shared" si="28"/>
        <v>Y</v>
      </c>
      <c r="G307" s="4" t="str">
        <f>IF(COUNTIF(PublicHols[Date], A307)&gt;0, "Y", "N")</f>
        <v>N</v>
      </c>
      <c r="H307" s="3" t="str">
        <f>IFERROR(_xlfn.XLOOKUP(A307, PublicHols[Date], PublicHols[PH_Name]),"")</f>
        <v/>
      </c>
      <c r="I307" s="4" t="str">
        <f>IF(COUNTIF(EventsAll[Date], A307)&gt;0, "Y", "N")</f>
        <v>N</v>
      </c>
      <c r="J307" s="11" t="str">
        <f>IFERROR(_xlfn.XLOOKUP(A307, EventsAll[Date], EventsAll[Event]),"")</f>
        <v/>
      </c>
      <c r="K307" s="4" t="str" cm="1">
        <f t="array" ref="K307">IF(SUMPRODUCT((A307&gt;=SchoolHols[Start])*(A307&lt;=SchoolHols[End]))&gt;0,"Y","N")</f>
        <v>N</v>
      </c>
    </row>
    <row r="308" spans="1:11">
      <c r="A308" s="6">
        <f t="shared" si="29"/>
        <v>44137</v>
      </c>
      <c r="B308" s="4" t="str">
        <f t="shared" si="24"/>
        <v>02</v>
      </c>
      <c r="C308" s="4" t="str">
        <f t="shared" si="25"/>
        <v>11</v>
      </c>
      <c r="D308" s="4" t="str">
        <f t="shared" si="26"/>
        <v>2020</v>
      </c>
      <c r="E308" s="3" t="str">
        <f t="shared" si="27"/>
        <v>Monday</v>
      </c>
      <c r="F308" s="4" t="str">
        <f t="shared" si="28"/>
        <v>N</v>
      </c>
      <c r="G308" s="4" t="str">
        <f>IF(COUNTIF(PublicHols[Date], A308)&gt;0, "Y", "N")</f>
        <v>N</v>
      </c>
      <c r="H308" s="3" t="str">
        <f>IFERROR(_xlfn.XLOOKUP(A308, PublicHols[Date], PublicHols[PH_Name]),"")</f>
        <v/>
      </c>
      <c r="I308" s="4" t="str">
        <f>IF(COUNTIF(EventsAll[Date], A308)&gt;0, "Y", "N")</f>
        <v>N</v>
      </c>
      <c r="J308" s="11" t="str">
        <f>IFERROR(_xlfn.XLOOKUP(A308, EventsAll[Date], EventsAll[Event]),"")</f>
        <v/>
      </c>
      <c r="K308" s="4" t="str" cm="1">
        <f t="array" ref="K308">IF(SUMPRODUCT((A308&gt;=SchoolHols[Start])*(A308&lt;=SchoolHols[End]))&gt;0,"Y","N")</f>
        <v>N</v>
      </c>
    </row>
    <row r="309" spans="1:11">
      <c r="A309" s="6">
        <f t="shared" si="29"/>
        <v>44138</v>
      </c>
      <c r="B309" s="4" t="str">
        <f t="shared" si="24"/>
        <v>03</v>
      </c>
      <c r="C309" s="4" t="str">
        <f t="shared" si="25"/>
        <v>11</v>
      </c>
      <c r="D309" s="4" t="str">
        <f t="shared" si="26"/>
        <v>2020</v>
      </c>
      <c r="E309" s="3" t="str">
        <f t="shared" si="27"/>
        <v>Tuesday</v>
      </c>
      <c r="F309" s="4" t="str">
        <f t="shared" si="28"/>
        <v>N</v>
      </c>
      <c r="G309" s="4" t="str">
        <f>IF(COUNTIF(PublicHols[Date], A309)&gt;0, "Y", "N")</f>
        <v>N</v>
      </c>
      <c r="H309" s="3" t="str">
        <f>IFERROR(_xlfn.XLOOKUP(A309, PublicHols[Date], PublicHols[PH_Name]),"")</f>
        <v/>
      </c>
      <c r="I309" s="4" t="str">
        <f>IF(COUNTIF(EventsAll[Date], A309)&gt;0, "Y", "N")</f>
        <v>N</v>
      </c>
      <c r="J309" s="11" t="str">
        <f>IFERROR(_xlfn.XLOOKUP(A309, EventsAll[Date], EventsAll[Event]),"")</f>
        <v/>
      </c>
      <c r="K309" s="4" t="str" cm="1">
        <f t="array" ref="K309">IF(SUMPRODUCT((A309&gt;=SchoolHols[Start])*(A309&lt;=SchoolHols[End]))&gt;0,"Y","N")</f>
        <v>N</v>
      </c>
    </row>
    <row r="310" spans="1:11">
      <c r="A310" s="6">
        <f t="shared" si="29"/>
        <v>44139</v>
      </c>
      <c r="B310" s="4" t="str">
        <f t="shared" si="24"/>
        <v>04</v>
      </c>
      <c r="C310" s="4" t="str">
        <f t="shared" si="25"/>
        <v>11</v>
      </c>
      <c r="D310" s="4" t="str">
        <f t="shared" si="26"/>
        <v>2020</v>
      </c>
      <c r="E310" s="3" t="str">
        <f t="shared" si="27"/>
        <v>Wednesday</v>
      </c>
      <c r="F310" s="4" t="str">
        <f t="shared" si="28"/>
        <v>N</v>
      </c>
      <c r="G310" s="4" t="str">
        <f>IF(COUNTIF(PublicHols[Date], A310)&gt;0, "Y", "N")</f>
        <v>N</v>
      </c>
      <c r="H310" s="3" t="str">
        <f>IFERROR(_xlfn.XLOOKUP(A310, PublicHols[Date], PublicHols[PH_Name]),"")</f>
        <v/>
      </c>
      <c r="I310" s="4" t="str">
        <f>IF(COUNTIF(EventsAll[Date], A310)&gt;0, "Y", "N")</f>
        <v>N</v>
      </c>
      <c r="J310" s="11" t="str">
        <f>IFERROR(_xlfn.XLOOKUP(A310, EventsAll[Date], EventsAll[Event]),"")</f>
        <v/>
      </c>
      <c r="K310" s="4" t="str" cm="1">
        <f t="array" ref="K310">IF(SUMPRODUCT((A310&gt;=SchoolHols[Start])*(A310&lt;=SchoolHols[End]))&gt;0,"Y","N")</f>
        <v>N</v>
      </c>
    </row>
    <row r="311" spans="1:11">
      <c r="A311" s="6">
        <f t="shared" si="29"/>
        <v>44140</v>
      </c>
      <c r="B311" s="4" t="str">
        <f t="shared" si="24"/>
        <v>05</v>
      </c>
      <c r="C311" s="4" t="str">
        <f t="shared" si="25"/>
        <v>11</v>
      </c>
      <c r="D311" s="4" t="str">
        <f t="shared" si="26"/>
        <v>2020</v>
      </c>
      <c r="E311" s="3" t="str">
        <f t="shared" si="27"/>
        <v>Thursday</v>
      </c>
      <c r="F311" s="4" t="str">
        <f t="shared" si="28"/>
        <v>N</v>
      </c>
      <c r="G311" s="4" t="str">
        <f>IF(COUNTIF(PublicHols[Date], A311)&gt;0, "Y", "N")</f>
        <v>N</v>
      </c>
      <c r="H311" s="3" t="str">
        <f>IFERROR(_xlfn.XLOOKUP(A311, PublicHols[Date], PublicHols[PH_Name]),"")</f>
        <v/>
      </c>
      <c r="I311" s="4" t="str">
        <f>IF(COUNTIF(EventsAll[Date], A311)&gt;0, "Y", "N")</f>
        <v>N</v>
      </c>
      <c r="J311" s="11" t="str">
        <f>IFERROR(_xlfn.XLOOKUP(A311, EventsAll[Date], EventsAll[Event]),"")</f>
        <v/>
      </c>
      <c r="K311" s="4" t="str" cm="1">
        <f t="array" ref="K311">IF(SUMPRODUCT((A311&gt;=SchoolHols[Start])*(A311&lt;=SchoolHols[End]))&gt;0,"Y","N")</f>
        <v>N</v>
      </c>
    </row>
    <row r="312" spans="1:11">
      <c r="A312" s="6">
        <f t="shared" si="29"/>
        <v>44141</v>
      </c>
      <c r="B312" s="4" t="str">
        <f t="shared" si="24"/>
        <v>06</v>
      </c>
      <c r="C312" s="4" t="str">
        <f t="shared" si="25"/>
        <v>11</v>
      </c>
      <c r="D312" s="4" t="str">
        <f t="shared" si="26"/>
        <v>2020</v>
      </c>
      <c r="E312" s="3" t="str">
        <f t="shared" si="27"/>
        <v>Friday</v>
      </c>
      <c r="F312" s="4" t="str">
        <f t="shared" si="28"/>
        <v>N</v>
      </c>
      <c r="G312" s="4" t="str">
        <f>IF(COUNTIF(PublicHols[Date], A312)&gt;0, "Y", "N")</f>
        <v>N</v>
      </c>
      <c r="H312" s="3" t="str">
        <f>IFERROR(_xlfn.XLOOKUP(A312, PublicHols[Date], PublicHols[PH_Name]),"")</f>
        <v/>
      </c>
      <c r="I312" s="4" t="str">
        <f>IF(COUNTIF(EventsAll[Date], A312)&gt;0, "Y", "N")</f>
        <v>N</v>
      </c>
      <c r="J312" s="11" t="str">
        <f>IFERROR(_xlfn.XLOOKUP(A312, EventsAll[Date], EventsAll[Event]),"")</f>
        <v/>
      </c>
      <c r="K312" s="4" t="str" cm="1">
        <f t="array" ref="K312">IF(SUMPRODUCT((A312&gt;=SchoolHols[Start])*(A312&lt;=SchoolHols[End]))&gt;0,"Y","N")</f>
        <v>N</v>
      </c>
    </row>
    <row r="313" spans="1:11">
      <c r="A313" s="6">
        <f t="shared" si="29"/>
        <v>44142</v>
      </c>
      <c r="B313" s="4" t="str">
        <f t="shared" si="24"/>
        <v>07</v>
      </c>
      <c r="C313" s="4" t="str">
        <f t="shared" si="25"/>
        <v>11</v>
      </c>
      <c r="D313" s="4" t="str">
        <f t="shared" si="26"/>
        <v>2020</v>
      </c>
      <c r="E313" s="3" t="str">
        <f t="shared" si="27"/>
        <v>Saturday</v>
      </c>
      <c r="F313" s="4" t="str">
        <f t="shared" si="28"/>
        <v>N</v>
      </c>
      <c r="G313" s="4" t="str">
        <f>IF(COUNTIF(PublicHols[Date], A313)&gt;0, "Y", "N")</f>
        <v>N</v>
      </c>
      <c r="H313" s="3" t="str">
        <f>IFERROR(_xlfn.XLOOKUP(A313, PublicHols[Date], PublicHols[PH_Name]),"")</f>
        <v/>
      </c>
      <c r="I313" s="4" t="str">
        <f>IF(COUNTIF(EventsAll[Date], A313)&gt;0, "Y", "N")</f>
        <v>N</v>
      </c>
      <c r="J313" s="11" t="str">
        <f>IFERROR(_xlfn.XLOOKUP(A313, EventsAll[Date], EventsAll[Event]),"")</f>
        <v/>
      </c>
      <c r="K313" s="4" t="str" cm="1">
        <f t="array" ref="K313">IF(SUMPRODUCT((A313&gt;=SchoolHols[Start])*(A313&lt;=SchoolHols[End]))&gt;0,"Y","N")</f>
        <v>N</v>
      </c>
    </row>
    <row r="314" spans="1:11">
      <c r="A314" s="6">
        <f t="shared" si="29"/>
        <v>44143</v>
      </c>
      <c r="B314" s="4" t="str">
        <f t="shared" si="24"/>
        <v>08</v>
      </c>
      <c r="C314" s="4" t="str">
        <f t="shared" si="25"/>
        <v>11</v>
      </c>
      <c r="D314" s="4" t="str">
        <f t="shared" si="26"/>
        <v>2020</v>
      </c>
      <c r="E314" s="3" t="str">
        <f t="shared" si="27"/>
        <v>Sunday</v>
      </c>
      <c r="F314" s="4" t="str">
        <f t="shared" si="28"/>
        <v>Y</v>
      </c>
      <c r="G314" s="4" t="str">
        <f>IF(COUNTIF(PublicHols[Date], A314)&gt;0, "Y", "N")</f>
        <v>N</v>
      </c>
      <c r="H314" s="3" t="str">
        <f>IFERROR(_xlfn.XLOOKUP(A314, PublicHols[Date], PublicHols[PH_Name]),"")</f>
        <v/>
      </c>
      <c r="I314" s="4" t="str">
        <f>IF(COUNTIF(EventsAll[Date], A314)&gt;0, "Y", "N")</f>
        <v>N</v>
      </c>
      <c r="J314" s="11" t="str">
        <f>IFERROR(_xlfn.XLOOKUP(A314, EventsAll[Date], EventsAll[Event]),"")</f>
        <v/>
      </c>
      <c r="K314" s="4" t="str" cm="1">
        <f t="array" ref="K314">IF(SUMPRODUCT((A314&gt;=SchoolHols[Start])*(A314&lt;=SchoolHols[End]))&gt;0,"Y","N")</f>
        <v>N</v>
      </c>
    </row>
    <row r="315" spans="1:11">
      <c r="A315" s="6">
        <f t="shared" si="29"/>
        <v>44144</v>
      </c>
      <c r="B315" s="4" t="str">
        <f t="shared" si="24"/>
        <v>09</v>
      </c>
      <c r="C315" s="4" t="str">
        <f t="shared" si="25"/>
        <v>11</v>
      </c>
      <c r="D315" s="4" t="str">
        <f t="shared" si="26"/>
        <v>2020</v>
      </c>
      <c r="E315" s="3" t="str">
        <f t="shared" si="27"/>
        <v>Monday</v>
      </c>
      <c r="F315" s="4" t="str">
        <f t="shared" si="28"/>
        <v>N</v>
      </c>
      <c r="G315" s="4" t="str">
        <f>IF(COUNTIF(PublicHols[Date], A315)&gt;0, "Y", "N")</f>
        <v>N</v>
      </c>
      <c r="H315" s="3" t="str">
        <f>IFERROR(_xlfn.XLOOKUP(A315, PublicHols[Date], PublicHols[PH_Name]),"")</f>
        <v/>
      </c>
      <c r="I315" s="4" t="str">
        <f>IF(COUNTIF(EventsAll[Date], A315)&gt;0, "Y", "N")</f>
        <v>N</v>
      </c>
      <c r="J315" s="11" t="str">
        <f>IFERROR(_xlfn.XLOOKUP(A315, EventsAll[Date], EventsAll[Event]),"")</f>
        <v/>
      </c>
      <c r="K315" s="4" t="str" cm="1">
        <f t="array" ref="K315">IF(SUMPRODUCT((A315&gt;=SchoolHols[Start])*(A315&lt;=SchoolHols[End]))&gt;0,"Y","N")</f>
        <v>N</v>
      </c>
    </row>
    <row r="316" spans="1:11">
      <c r="A316" s="6">
        <f t="shared" si="29"/>
        <v>44145</v>
      </c>
      <c r="B316" s="4" t="str">
        <f t="shared" si="24"/>
        <v>10</v>
      </c>
      <c r="C316" s="4" t="str">
        <f t="shared" si="25"/>
        <v>11</v>
      </c>
      <c r="D316" s="4" t="str">
        <f t="shared" si="26"/>
        <v>2020</v>
      </c>
      <c r="E316" s="3" t="str">
        <f t="shared" si="27"/>
        <v>Tuesday</v>
      </c>
      <c r="F316" s="4" t="str">
        <f t="shared" si="28"/>
        <v>N</v>
      </c>
      <c r="G316" s="4" t="str">
        <f>IF(COUNTIF(PublicHols[Date], A316)&gt;0, "Y", "N")</f>
        <v>N</v>
      </c>
      <c r="H316" s="3" t="str">
        <f>IFERROR(_xlfn.XLOOKUP(A316, PublicHols[Date], PublicHols[PH_Name]),"")</f>
        <v/>
      </c>
      <c r="I316" s="4" t="str">
        <f>IF(COUNTIF(EventsAll[Date], A316)&gt;0, "Y", "N")</f>
        <v>N</v>
      </c>
      <c r="J316" s="11" t="str">
        <f>IFERROR(_xlfn.XLOOKUP(A316, EventsAll[Date], EventsAll[Event]),"")</f>
        <v/>
      </c>
      <c r="K316" s="4" t="str" cm="1">
        <f t="array" ref="K316">IF(SUMPRODUCT((A316&gt;=SchoolHols[Start])*(A316&lt;=SchoolHols[End]))&gt;0,"Y","N")</f>
        <v>N</v>
      </c>
    </row>
    <row r="317" spans="1:11">
      <c r="A317" s="6">
        <f t="shared" si="29"/>
        <v>44146</v>
      </c>
      <c r="B317" s="4" t="str">
        <f t="shared" si="24"/>
        <v>11</v>
      </c>
      <c r="C317" s="4" t="str">
        <f t="shared" si="25"/>
        <v>11</v>
      </c>
      <c r="D317" s="4" t="str">
        <f t="shared" si="26"/>
        <v>2020</v>
      </c>
      <c r="E317" s="3" t="str">
        <f t="shared" si="27"/>
        <v>Wednesday</v>
      </c>
      <c r="F317" s="4" t="str">
        <f t="shared" si="28"/>
        <v>N</v>
      </c>
      <c r="G317" s="4" t="str">
        <f>IF(COUNTIF(PublicHols[Date], A317)&gt;0, "Y", "N")</f>
        <v>N</v>
      </c>
      <c r="H317" s="3" t="str">
        <f>IFERROR(_xlfn.XLOOKUP(A317, PublicHols[Date], PublicHols[PH_Name]),"")</f>
        <v/>
      </c>
      <c r="I317" s="4" t="str">
        <f>IF(COUNTIF(EventsAll[Date], A317)&gt;0, "Y", "N")</f>
        <v>N</v>
      </c>
      <c r="J317" s="11" t="str">
        <f>IFERROR(_xlfn.XLOOKUP(A317, EventsAll[Date], EventsAll[Event]),"")</f>
        <v/>
      </c>
      <c r="K317" s="4" t="str" cm="1">
        <f t="array" ref="K317">IF(SUMPRODUCT((A317&gt;=SchoolHols[Start])*(A317&lt;=SchoolHols[End]))&gt;0,"Y","N")</f>
        <v>N</v>
      </c>
    </row>
    <row r="318" spans="1:11">
      <c r="A318" s="6">
        <f t="shared" si="29"/>
        <v>44147</v>
      </c>
      <c r="B318" s="4" t="str">
        <f t="shared" si="24"/>
        <v>12</v>
      </c>
      <c r="C318" s="4" t="str">
        <f t="shared" si="25"/>
        <v>11</v>
      </c>
      <c r="D318" s="4" t="str">
        <f t="shared" si="26"/>
        <v>2020</v>
      </c>
      <c r="E318" s="3" t="str">
        <f t="shared" si="27"/>
        <v>Thursday</v>
      </c>
      <c r="F318" s="4" t="str">
        <f t="shared" si="28"/>
        <v>N</v>
      </c>
      <c r="G318" s="4" t="str">
        <f>IF(COUNTIF(PublicHols[Date], A318)&gt;0, "Y", "N")</f>
        <v>N</v>
      </c>
      <c r="H318" s="3" t="str">
        <f>IFERROR(_xlfn.XLOOKUP(A318, PublicHols[Date], PublicHols[PH_Name]),"")</f>
        <v/>
      </c>
      <c r="I318" s="4" t="str">
        <f>IF(COUNTIF(EventsAll[Date], A318)&gt;0, "Y", "N")</f>
        <v>N</v>
      </c>
      <c r="J318" s="11" t="str">
        <f>IFERROR(_xlfn.XLOOKUP(A318, EventsAll[Date], EventsAll[Event]),"")</f>
        <v/>
      </c>
      <c r="K318" s="4" t="str" cm="1">
        <f t="array" ref="K318">IF(SUMPRODUCT((A318&gt;=SchoolHols[Start])*(A318&lt;=SchoolHols[End]))&gt;0,"Y","N")</f>
        <v>N</v>
      </c>
    </row>
    <row r="319" spans="1:11">
      <c r="A319" s="6">
        <f t="shared" si="29"/>
        <v>44148</v>
      </c>
      <c r="B319" s="4" t="str">
        <f t="shared" si="24"/>
        <v>13</v>
      </c>
      <c r="C319" s="4" t="str">
        <f t="shared" si="25"/>
        <v>11</v>
      </c>
      <c r="D319" s="4" t="str">
        <f t="shared" si="26"/>
        <v>2020</v>
      </c>
      <c r="E319" s="3" t="str">
        <f t="shared" si="27"/>
        <v>Friday</v>
      </c>
      <c r="F319" s="4" t="str">
        <f t="shared" si="28"/>
        <v>N</v>
      </c>
      <c r="G319" s="4" t="str">
        <f>IF(COUNTIF(PublicHols[Date], A319)&gt;0, "Y", "N")</f>
        <v>N</v>
      </c>
      <c r="H319" s="3" t="str">
        <f>IFERROR(_xlfn.XLOOKUP(A319, PublicHols[Date], PublicHols[PH_Name]),"")</f>
        <v/>
      </c>
      <c r="I319" s="4" t="str">
        <f>IF(COUNTIF(EventsAll[Date], A319)&gt;0, "Y", "N")</f>
        <v>N</v>
      </c>
      <c r="J319" s="11" t="str">
        <f>IFERROR(_xlfn.XLOOKUP(A319, EventsAll[Date], EventsAll[Event]),"")</f>
        <v/>
      </c>
      <c r="K319" s="4" t="str" cm="1">
        <f t="array" ref="K319">IF(SUMPRODUCT((A319&gt;=SchoolHols[Start])*(A319&lt;=SchoolHols[End]))&gt;0,"Y","N")</f>
        <v>N</v>
      </c>
    </row>
    <row r="320" spans="1:11">
      <c r="A320" s="6">
        <f t="shared" si="29"/>
        <v>44149</v>
      </c>
      <c r="B320" s="4" t="str">
        <f t="shared" si="24"/>
        <v>14</v>
      </c>
      <c r="C320" s="4" t="str">
        <f t="shared" si="25"/>
        <v>11</v>
      </c>
      <c r="D320" s="4" t="str">
        <f t="shared" si="26"/>
        <v>2020</v>
      </c>
      <c r="E320" s="3" t="str">
        <f t="shared" si="27"/>
        <v>Saturday</v>
      </c>
      <c r="F320" s="4" t="str">
        <f t="shared" si="28"/>
        <v>N</v>
      </c>
      <c r="G320" s="4" t="str">
        <f>IF(COUNTIF(PublicHols[Date], A320)&gt;0, "Y", "N")</f>
        <v>N</v>
      </c>
      <c r="H320" s="3" t="str">
        <f>IFERROR(_xlfn.XLOOKUP(A320, PublicHols[Date], PublicHols[PH_Name]),"")</f>
        <v/>
      </c>
      <c r="I320" s="4" t="str">
        <f>IF(COUNTIF(EventsAll[Date], A320)&gt;0, "Y", "N")</f>
        <v>N</v>
      </c>
      <c r="J320" s="11" t="str">
        <f>IFERROR(_xlfn.XLOOKUP(A320, EventsAll[Date], EventsAll[Event]),"")</f>
        <v/>
      </c>
      <c r="K320" s="4" t="str" cm="1">
        <f t="array" ref="K320">IF(SUMPRODUCT((A320&gt;=SchoolHols[Start])*(A320&lt;=SchoolHols[End]))&gt;0,"Y","N")</f>
        <v>N</v>
      </c>
    </row>
    <row r="321" spans="1:11">
      <c r="A321" s="6">
        <f t="shared" si="29"/>
        <v>44150</v>
      </c>
      <c r="B321" s="4" t="str">
        <f t="shared" si="24"/>
        <v>15</v>
      </c>
      <c r="C321" s="4" t="str">
        <f t="shared" si="25"/>
        <v>11</v>
      </c>
      <c r="D321" s="4" t="str">
        <f t="shared" si="26"/>
        <v>2020</v>
      </c>
      <c r="E321" s="3" t="str">
        <f t="shared" si="27"/>
        <v>Sunday</v>
      </c>
      <c r="F321" s="4" t="str">
        <f t="shared" si="28"/>
        <v>Y</v>
      </c>
      <c r="G321" s="4" t="str">
        <f>IF(COUNTIF(PublicHols[Date], A321)&gt;0, "Y", "N")</f>
        <v>N</v>
      </c>
      <c r="H321" s="3" t="str">
        <f>IFERROR(_xlfn.XLOOKUP(A321, PublicHols[Date], PublicHols[PH_Name]),"")</f>
        <v/>
      </c>
      <c r="I321" s="4" t="str">
        <f>IF(COUNTIF(EventsAll[Date], A321)&gt;0, "Y", "N")</f>
        <v>N</v>
      </c>
      <c r="J321" s="11" t="str">
        <f>IFERROR(_xlfn.XLOOKUP(A321, EventsAll[Date], EventsAll[Event]),"")</f>
        <v/>
      </c>
      <c r="K321" s="4" t="str" cm="1">
        <f t="array" ref="K321">IF(SUMPRODUCT((A321&gt;=SchoolHols[Start])*(A321&lt;=SchoolHols[End]))&gt;0,"Y","N")</f>
        <v>N</v>
      </c>
    </row>
    <row r="322" spans="1:11">
      <c r="A322" s="6">
        <f t="shared" si="29"/>
        <v>44151</v>
      </c>
      <c r="B322" s="4" t="str">
        <f t="shared" si="24"/>
        <v>16</v>
      </c>
      <c r="C322" s="4" t="str">
        <f t="shared" si="25"/>
        <v>11</v>
      </c>
      <c r="D322" s="4" t="str">
        <f t="shared" si="26"/>
        <v>2020</v>
      </c>
      <c r="E322" s="3" t="str">
        <f t="shared" si="27"/>
        <v>Monday</v>
      </c>
      <c r="F322" s="4" t="str">
        <f t="shared" si="28"/>
        <v>N</v>
      </c>
      <c r="G322" s="4" t="str">
        <f>IF(COUNTIF(PublicHols[Date], A322)&gt;0, "Y", "N")</f>
        <v>N</v>
      </c>
      <c r="H322" s="3" t="str">
        <f>IFERROR(_xlfn.XLOOKUP(A322, PublicHols[Date], PublicHols[PH_Name]),"")</f>
        <v/>
      </c>
      <c r="I322" s="4" t="str">
        <f>IF(COUNTIF(EventsAll[Date], A322)&gt;0, "Y", "N")</f>
        <v>N</v>
      </c>
      <c r="J322" s="11" t="str">
        <f>IFERROR(_xlfn.XLOOKUP(A322, EventsAll[Date], EventsAll[Event]),"")</f>
        <v/>
      </c>
      <c r="K322" s="4" t="str" cm="1">
        <f t="array" ref="K322">IF(SUMPRODUCT((A322&gt;=SchoolHols[Start])*(A322&lt;=SchoolHols[End]))&gt;0,"Y","N")</f>
        <v>N</v>
      </c>
    </row>
    <row r="323" spans="1:11">
      <c r="A323" s="6">
        <f t="shared" si="29"/>
        <v>44152</v>
      </c>
      <c r="B323" s="4" t="str">
        <f t="shared" ref="B323:B366" si="30">TEXT($A323, "dd")</f>
        <v>17</v>
      </c>
      <c r="C323" s="4" t="str">
        <f t="shared" ref="C323:C366" si="31">TEXT($A323, "mm")</f>
        <v>11</v>
      </c>
      <c r="D323" s="4" t="str">
        <f t="shared" ref="D323:D366" si="32">TEXT($A323, "yyyy")</f>
        <v>2020</v>
      </c>
      <c r="E323" s="3" t="str">
        <f t="shared" ref="E323:E366" si="33">TEXT($A323, "dddd")</f>
        <v>Tuesday</v>
      </c>
      <c r="F323" s="4" t="str">
        <f t="shared" ref="F323:F366" si="34">IF($E323="Sunday", "Y", "N")</f>
        <v>N</v>
      </c>
      <c r="G323" s="4" t="str">
        <f>IF(COUNTIF(PublicHols[Date], A323)&gt;0, "Y", "N")</f>
        <v>N</v>
      </c>
      <c r="H323" s="3" t="str">
        <f>IFERROR(_xlfn.XLOOKUP(A323, PublicHols[Date], PublicHols[PH_Name]),"")</f>
        <v/>
      </c>
      <c r="I323" s="4" t="str">
        <f>IF(COUNTIF(EventsAll[Date], A323)&gt;0, "Y", "N")</f>
        <v>N</v>
      </c>
      <c r="J323" s="11" t="str">
        <f>IFERROR(_xlfn.XLOOKUP(A323, EventsAll[Date], EventsAll[Event]),"")</f>
        <v/>
      </c>
      <c r="K323" s="4" t="str" cm="1">
        <f t="array" ref="K323">IF(SUMPRODUCT((A323&gt;=SchoolHols[Start])*(A323&lt;=SchoolHols[End]))&gt;0,"Y","N")</f>
        <v>N</v>
      </c>
    </row>
    <row r="324" spans="1:11">
      <c r="A324" s="6">
        <f t="shared" ref="A324:A366" si="35">$A323+1</f>
        <v>44153</v>
      </c>
      <c r="B324" s="4" t="str">
        <f t="shared" si="30"/>
        <v>18</v>
      </c>
      <c r="C324" s="4" t="str">
        <f t="shared" si="31"/>
        <v>11</v>
      </c>
      <c r="D324" s="4" t="str">
        <f t="shared" si="32"/>
        <v>2020</v>
      </c>
      <c r="E324" s="3" t="str">
        <f t="shared" si="33"/>
        <v>Wednesday</v>
      </c>
      <c r="F324" s="4" t="str">
        <f t="shared" si="34"/>
        <v>N</v>
      </c>
      <c r="G324" s="4" t="str">
        <f>IF(COUNTIF(PublicHols[Date], A324)&gt;0, "Y", "N")</f>
        <v>N</v>
      </c>
      <c r="H324" s="3" t="str">
        <f>IFERROR(_xlfn.XLOOKUP(A324, PublicHols[Date], PublicHols[PH_Name]),"")</f>
        <v/>
      </c>
      <c r="I324" s="4" t="str">
        <f>IF(COUNTIF(EventsAll[Date], A324)&gt;0, "Y", "N")</f>
        <v>N</v>
      </c>
      <c r="J324" s="11" t="str">
        <f>IFERROR(_xlfn.XLOOKUP(A324, EventsAll[Date], EventsAll[Event]),"")</f>
        <v/>
      </c>
      <c r="K324" s="4" t="str" cm="1">
        <f t="array" ref="K324">IF(SUMPRODUCT((A324&gt;=SchoolHols[Start])*(A324&lt;=SchoolHols[End]))&gt;0,"Y","N")</f>
        <v>N</v>
      </c>
    </row>
    <row r="325" spans="1:11">
      <c r="A325" s="6">
        <f t="shared" si="35"/>
        <v>44154</v>
      </c>
      <c r="B325" s="4" t="str">
        <f t="shared" si="30"/>
        <v>19</v>
      </c>
      <c r="C325" s="4" t="str">
        <f t="shared" si="31"/>
        <v>11</v>
      </c>
      <c r="D325" s="4" t="str">
        <f t="shared" si="32"/>
        <v>2020</v>
      </c>
      <c r="E325" s="3" t="str">
        <f t="shared" si="33"/>
        <v>Thursday</v>
      </c>
      <c r="F325" s="4" t="str">
        <f t="shared" si="34"/>
        <v>N</v>
      </c>
      <c r="G325" s="4" t="str">
        <f>IF(COUNTIF(PublicHols[Date], A325)&gt;0, "Y", "N")</f>
        <v>N</v>
      </c>
      <c r="H325" s="3" t="str">
        <f>IFERROR(_xlfn.XLOOKUP(A325, PublicHols[Date], PublicHols[PH_Name]),"")</f>
        <v/>
      </c>
      <c r="I325" s="4" t="str">
        <f>IF(COUNTIF(EventsAll[Date], A325)&gt;0, "Y", "N")</f>
        <v>N</v>
      </c>
      <c r="J325" s="11" t="str">
        <f>IFERROR(_xlfn.XLOOKUP(A325, EventsAll[Date], EventsAll[Event]),"")</f>
        <v/>
      </c>
      <c r="K325" s="4" t="str" cm="1">
        <f t="array" ref="K325">IF(SUMPRODUCT((A325&gt;=SchoolHols[Start])*(A325&lt;=SchoolHols[End]))&gt;0,"Y","N")</f>
        <v>N</v>
      </c>
    </row>
    <row r="326" spans="1:11">
      <c r="A326" s="6">
        <f t="shared" si="35"/>
        <v>44155</v>
      </c>
      <c r="B326" s="4" t="str">
        <f t="shared" si="30"/>
        <v>20</v>
      </c>
      <c r="C326" s="4" t="str">
        <f t="shared" si="31"/>
        <v>11</v>
      </c>
      <c r="D326" s="4" t="str">
        <f t="shared" si="32"/>
        <v>2020</v>
      </c>
      <c r="E326" s="3" t="str">
        <f t="shared" si="33"/>
        <v>Friday</v>
      </c>
      <c r="F326" s="4" t="str">
        <f t="shared" si="34"/>
        <v>N</v>
      </c>
      <c r="G326" s="4" t="str">
        <f>IF(COUNTIF(PublicHols[Date], A326)&gt;0, "Y", "N")</f>
        <v>N</v>
      </c>
      <c r="H326" s="3" t="str">
        <f>IFERROR(_xlfn.XLOOKUP(A326, PublicHols[Date], PublicHols[PH_Name]),"")</f>
        <v/>
      </c>
      <c r="I326" s="4" t="str">
        <f>IF(COUNTIF(EventsAll[Date], A326)&gt;0, "Y", "N")</f>
        <v>N</v>
      </c>
      <c r="J326" s="11" t="str">
        <f>IFERROR(_xlfn.XLOOKUP(A326, EventsAll[Date], EventsAll[Event]),"")</f>
        <v/>
      </c>
      <c r="K326" s="4" t="str" cm="1">
        <f t="array" ref="K326">IF(SUMPRODUCT((A326&gt;=SchoolHols[Start])*(A326&lt;=SchoolHols[End]))&gt;0,"Y","N")</f>
        <v>N</v>
      </c>
    </row>
    <row r="327" spans="1:11">
      <c r="A327" s="6">
        <f t="shared" si="35"/>
        <v>44156</v>
      </c>
      <c r="B327" s="4" t="str">
        <f t="shared" si="30"/>
        <v>21</v>
      </c>
      <c r="C327" s="4" t="str">
        <f t="shared" si="31"/>
        <v>11</v>
      </c>
      <c r="D327" s="4" t="str">
        <f t="shared" si="32"/>
        <v>2020</v>
      </c>
      <c r="E327" s="3" t="str">
        <f t="shared" si="33"/>
        <v>Saturday</v>
      </c>
      <c r="F327" s="4" t="str">
        <f t="shared" si="34"/>
        <v>N</v>
      </c>
      <c r="G327" s="4" t="str">
        <f>IF(COUNTIF(PublicHols[Date], A327)&gt;0, "Y", "N")</f>
        <v>N</v>
      </c>
      <c r="H327" s="3" t="str">
        <f>IFERROR(_xlfn.XLOOKUP(A327, PublicHols[Date], PublicHols[PH_Name]),"")</f>
        <v/>
      </c>
      <c r="I327" s="4" t="str">
        <f>IF(COUNTIF(EventsAll[Date], A327)&gt;0, "Y", "N")</f>
        <v>N</v>
      </c>
      <c r="J327" s="11" t="str">
        <f>IFERROR(_xlfn.XLOOKUP(A327, EventsAll[Date], EventsAll[Event]),"")</f>
        <v/>
      </c>
      <c r="K327" s="4" t="str" cm="1">
        <f t="array" ref="K327">IF(SUMPRODUCT((A327&gt;=SchoolHols[Start])*(A327&lt;=SchoolHols[End]))&gt;0,"Y","N")</f>
        <v>N</v>
      </c>
    </row>
    <row r="328" spans="1:11">
      <c r="A328" s="6">
        <f t="shared" si="35"/>
        <v>44157</v>
      </c>
      <c r="B328" s="4" t="str">
        <f t="shared" si="30"/>
        <v>22</v>
      </c>
      <c r="C328" s="4" t="str">
        <f t="shared" si="31"/>
        <v>11</v>
      </c>
      <c r="D328" s="4" t="str">
        <f t="shared" si="32"/>
        <v>2020</v>
      </c>
      <c r="E328" s="3" t="str">
        <f t="shared" si="33"/>
        <v>Sunday</v>
      </c>
      <c r="F328" s="4" t="str">
        <f t="shared" si="34"/>
        <v>Y</v>
      </c>
      <c r="G328" s="4" t="str">
        <f>IF(COUNTIF(PublicHols[Date], A328)&gt;0, "Y", "N")</f>
        <v>N</v>
      </c>
      <c r="H328" s="3" t="str">
        <f>IFERROR(_xlfn.XLOOKUP(A328, PublicHols[Date], PublicHols[PH_Name]),"")</f>
        <v/>
      </c>
      <c r="I328" s="4" t="str">
        <f>IF(COUNTIF(EventsAll[Date], A328)&gt;0, "Y", "N")</f>
        <v>N</v>
      </c>
      <c r="J328" s="11" t="str">
        <f>IFERROR(_xlfn.XLOOKUP(A328, EventsAll[Date], EventsAll[Event]),"")</f>
        <v/>
      </c>
      <c r="K328" s="4" t="str" cm="1">
        <f t="array" ref="K328">IF(SUMPRODUCT((A328&gt;=SchoolHols[Start])*(A328&lt;=SchoolHols[End]))&gt;0,"Y","N")</f>
        <v>N</v>
      </c>
    </row>
    <row r="329" spans="1:11">
      <c r="A329" s="6">
        <f t="shared" si="35"/>
        <v>44158</v>
      </c>
      <c r="B329" s="4" t="str">
        <f t="shared" si="30"/>
        <v>23</v>
      </c>
      <c r="C329" s="4" t="str">
        <f t="shared" si="31"/>
        <v>11</v>
      </c>
      <c r="D329" s="4" t="str">
        <f t="shared" si="32"/>
        <v>2020</v>
      </c>
      <c r="E329" s="3" t="str">
        <f t="shared" si="33"/>
        <v>Monday</v>
      </c>
      <c r="F329" s="4" t="str">
        <f t="shared" si="34"/>
        <v>N</v>
      </c>
      <c r="G329" s="4" t="str">
        <f>IF(COUNTIF(PublicHols[Date], A329)&gt;0, "Y", "N")</f>
        <v>N</v>
      </c>
      <c r="H329" s="3" t="str">
        <f>IFERROR(_xlfn.XLOOKUP(A329, PublicHols[Date], PublicHols[PH_Name]),"")</f>
        <v/>
      </c>
      <c r="I329" s="4" t="str">
        <f>IF(COUNTIF(EventsAll[Date], A329)&gt;0, "Y", "N")</f>
        <v>N</v>
      </c>
      <c r="J329" s="11" t="str">
        <f>IFERROR(_xlfn.XLOOKUP(A329, EventsAll[Date], EventsAll[Event]),"")</f>
        <v/>
      </c>
      <c r="K329" s="4" t="str" cm="1">
        <f t="array" ref="K329">IF(SUMPRODUCT((A329&gt;=SchoolHols[Start])*(A329&lt;=SchoolHols[End]))&gt;0,"Y","N")</f>
        <v>N</v>
      </c>
    </row>
    <row r="330" spans="1:11">
      <c r="A330" s="6">
        <f t="shared" si="35"/>
        <v>44159</v>
      </c>
      <c r="B330" s="4" t="str">
        <f t="shared" si="30"/>
        <v>24</v>
      </c>
      <c r="C330" s="4" t="str">
        <f t="shared" si="31"/>
        <v>11</v>
      </c>
      <c r="D330" s="4" t="str">
        <f t="shared" si="32"/>
        <v>2020</v>
      </c>
      <c r="E330" s="3" t="str">
        <f t="shared" si="33"/>
        <v>Tuesday</v>
      </c>
      <c r="F330" s="4" t="str">
        <f t="shared" si="34"/>
        <v>N</v>
      </c>
      <c r="G330" s="4" t="str">
        <f>IF(COUNTIF(PublicHols[Date], A330)&gt;0, "Y", "N")</f>
        <v>N</v>
      </c>
      <c r="H330" s="3" t="str">
        <f>IFERROR(_xlfn.XLOOKUP(A330, PublicHols[Date], PublicHols[PH_Name]),"")</f>
        <v/>
      </c>
      <c r="I330" s="4" t="str">
        <f>IF(COUNTIF(EventsAll[Date], A330)&gt;0, "Y", "N")</f>
        <v>N</v>
      </c>
      <c r="J330" s="11" t="str">
        <f>IFERROR(_xlfn.XLOOKUP(A330, EventsAll[Date], EventsAll[Event]),"")</f>
        <v/>
      </c>
      <c r="K330" s="4" t="str" cm="1">
        <f t="array" ref="K330">IF(SUMPRODUCT((A330&gt;=SchoolHols[Start])*(A330&lt;=SchoolHols[End]))&gt;0,"Y","N")</f>
        <v>N</v>
      </c>
    </row>
    <row r="331" spans="1:11">
      <c r="A331" s="6">
        <f t="shared" si="35"/>
        <v>44160</v>
      </c>
      <c r="B331" s="4" t="str">
        <f t="shared" si="30"/>
        <v>25</v>
      </c>
      <c r="C331" s="4" t="str">
        <f t="shared" si="31"/>
        <v>11</v>
      </c>
      <c r="D331" s="4" t="str">
        <f t="shared" si="32"/>
        <v>2020</v>
      </c>
      <c r="E331" s="3" t="str">
        <f t="shared" si="33"/>
        <v>Wednesday</v>
      </c>
      <c r="F331" s="4" t="str">
        <f t="shared" si="34"/>
        <v>N</v>
      </c>
      <c r="G331" s="4" t="str">
        <f>IF(COUNTIF(PublicHols[Date], A331)&gt;0, "Y", "N")</f>
        <v>N</v>
      </c>
      <c r="H331" s="3" t="str">
        <f>IFERROR(_xlfn.XLOOKUP(A331, PublicHols[Date], PublicHols[PH_Name]),"")</f>
        <v/>
      </c>
      <c r="I331" s="4" t="str">
        <f>IF(COUNTIF(EventsAll[Date], A331)&gt;0, "Y", "N")</f>
        <v>N</v>
      </c>
      <c r="J331" s="11" t="str">
        <f>IFERROR(_xlfn.XLOOKUP(A331, EventsAll[Date], EventsAll[Event]),"")</f>
        <v/>
      </c>
      <c r="K331" s="4" t="str" cm="1">
        <f t="array" ref="K331">IF(SUMPRODUCT((A331&gt;=SchoolHols[Start])*(A331&lt;=SchoolHols[End]))&gt;0,"Y","N")</f>
        <v>N</v>
      </c>
    </row>
    <row r="332" spans="1:11">
      <c r="A332" s="6">
        <f t="shared" si="35"/>
        <v>44161</v>
      </c>
      <c r="B332" s="4" t="str">
        <f t="shared" si="30"/>
        <v>26</v>
      </c>
      <c r="C332" s="4" t="str">
        <f t="shared" si="31"/>
        <v>11</v>
      </c>
      <c r="D332" s="4" t="str">
        <f t="shared" si="32"/>
        <v>2020</v>
      </c>
      <c r="E332" s="3" t="str">
        <f t="shared" si="33"/>
        <v>Thursday</v>
      </c>
      <c r="F332" s="4" t="str">
        <f t="shared" si="34"/>
        <v>N</v>
      </c>
      <c r="G332" s="4" t="str">
        <f>IF(COUNTIF(PublicHols[Date], A332)&gt;0, "Y", "N")</f>
        <v>N</v>
      </c>
      <c r="H332" s="3" t="str">
        <f>IFERROR(_xlfn.XLOOKUP(A332, PublicHols[Date], PublicHols[PH_Name]),"")</f>
        <v/>
      </c>
      <c r="I332" s="4" t="str">
        <f>IF(COUNTIF(EventsAll[Date], A332)&gt;0, "Y", "N")</f>
        <v>N</v>
      </c>
      <c r="J332" s="11" t="str">
        <f>IFERROR(_xlfn.XLOOKUP(A332, EventsAll[Date], EventsAll[Event]),"")</f>
        <v/>
      </c>
      <c r="K332" s="4" t="str" cm="1">
        <f t="array" ref="K332">IF(SUMPRODUCT((A332&gt;=SchoolHols[Start])*(A332&lt;=SchoolHols[End]))&gt;0,"Y","N")</f>
        <v>N</v>
      </c>
    </row>
    <row r="333" spans="1:11">
      <c r="A333" s="6">
        <f t="shared" si="35"/>
        <v>44162</v>
      </c>
      <c r="B333" s="4" t="str">
        <f t="shared" si="30"/>
        <v>27</v>
      </c>
      <c r="C333" s="4" t="str">
        <f t="shared" si="31"/>
        <v>11</v>
      </c>
      <c r="D333" s="4" t="str">
        <f t="shared" si="32"/>
        <v>2020</v>
      </c>
      <c r="E333" s="3" t="str">
        <f t="shared" si="33"/>
        <v>Friday</v>
      </c>
      <c r="F333" s="4" t="str">
        <f t="shared" si="34"/>
        <v>N</v>
      </c>
      <c r="G333" s="4" t="str">
        <f>IF(COUNTIF(PublicHols[Date], A333)&gt;0, "Y", "N")</f>
        <v>N</v>
      </c>
      <c r="H333" s="3" t="str">
        <f>IFERROR(_xlfn.XLOOKUP(A333, PublicHols[Date], PublicHols[PH_Name]),"")</f>
        <v/>
      </c>
      <c r="I333" s="4" t="str">
        <f>IF(COUNTIF(EventsAll[Date], A333)&gt;0, "Y", "N")</f>
        <v>Y</v>
      </c>
      <c r="J333" s="11" t="str">
        <f>IFERROR(_xlfn.XLOOKUP(A333, EventsAll[Date], EventsAll[Event]),"")</f>
        <v xml:space="preserve"> Black Friday</v>
      </c>
      <c r="K333" s="4" t="str" cm="1">
        <f t="array" ref="K333">IF(SUMPRODUCT((A333&gt;=SchoolHols[Start])*(A333&lt;=SchoolHols[End]))&gt;0,"Y","N")</f>
        <v>N</v>
      </c>
    </row>
    <row r="334" spans="1:11">
      <c r="A334" s="6">
        <f t="shared" si="35"/>
        <v>44163</v>
      </c>
      <c r="B334" s="4" t="str">
        <f t="shared" si="30"/>
        <v>28</v>
      </c>
      <c r="C334" s="4" t="str">
        <f t="shared" si="31"/>
        <v>11</v>
      </c>
      <c r="D334" s="4" t="str">
        <f t="shared" si="32"/>
        <v>2020</v>
      </c>
      <c r="E334" s="3" t="str">
        <f t="shared" si="33"/>
        <v>Saturday</v>
      </c>
      <c r="F334" s="4" t="str">
        <f t="shared" si="34"/>
        <v>N</v>
      </c>
      <c r="G334" s="4" t="str">
        <f>IF(COUNTIF(PublicHols[Date], A334)&gt;0, "Y", "N")</f>
        <v>N</v>
      </c>
      <c r="H334" s="3" t="str">
        <f>IFERROR(_xlfn.XLOOKUP(A334, PublicHols[Date], PublicHols[PH_Name]),"")</f>
        <v/>
      </c>
      <c r="I334" s="4" t="str">
        <f>IF(COUNTIF(EventsAll[Date], A334)&gt;0, "Y", "N")</f>
        <v>N</v>
      </c>
      <c r="J334" s="11" t="str">
        <f>IFERROR(_xlfn.XLOOKUP(A334, EventsAll[Date], EventsAll[Event]),"")</f>
        <v/>
      </c>
      <c r="K334" s="4" t="str" cm="1">
        <f t="array" ref="K334">IF(SUMPRODUCT((A334&gt;=SchoolHols[Start])*(A334&lt;=SchoolHols[End]))&gt;0,"Y","N")</f>
        <v>N</v>
      </c>
    </row>
    <row r="335" spans="1:11">
      <c r="A335" s="6">
        <f t="shared" si="35"/>
        <v>44164</v>
      </c>
      <c r="B335" s="4" t="str">
        <f t="shared" si="30"/>
        <v>29</v>
      </c>
      <c r="C335" s="4" t="str">
        <f t="shared" si="31"/>
        <v>11</v>
      </c>
      <c r="D335" s="4" t="str">
        <f t="shared" si="32"/>
        <v>2020</v>
      </c>
      <c r="E335" s="3" t="str">
        <f t="shared" si="33"/>
        <v>Sunday</v>
      </c>
      <c r="F335" s="4" t="str">
        <f t="shared" si="34"/>
        <v>Y</v>
      </c>
      <c r="G335" s="4" t="str">
        <f>IF(COUNTIF(PublicHols[Date], A335)&gt;0, "Y", "N")</f>
        <v>N</v>
      </c>
      <c r="H335" s="3" t="str">
        <f>IFERROR(_xlfn.XLOOKUP(A335, PublicHols[Date], PublicHols[PH_Name]),"")</f>
        <v/>
      </c>
      <c r="I335" s="4" t="str">
        <f>IF(COUNTIF(EventsAll[Date], A335)&gt;0, "Y", "N")</f>
        <v>N</v>
      </c>
      <c r="J335" s="11" t="str">
        <f>IFERROR(_xlfn.XLOOKUP(A335, EventsAll[Date], EventsAll[Event]),"")</f>
        <v/>
      </c>
      <c r="K335" s="4" t="str" cm="1">
        <f t="array" ref="K335">IF(SUMPRODUCT((A335&gt;=SchoolHols[Start])*(A335&lt;=SchoolHols[End]))&gt;0,"Y","N")</f>
        <v>N</v>
      </c>
    </row>
    <row r="336" spans="1:11">
      <c r="A336" s="6">
        <f t="shared" si="35"/>
        <v>44165</v>
      </c>
      <c r="B336" s="4" t="str">
        <f t="shared" si="30"/>
        <v>30</v>
      </c>
      <c r="C336" s="4" t="str">
        <f t="shared" si="31"/>
        <v>11</v>
      </c>
      <c r="D336" s="4" t="str">
        <f t="shared" si="32"/>
        <v>2020</v>
      </c>
      <c r="E336" s="3" t="str">
        <f t="shared" si="33"/>
        <v>Monday</v>
      </c>
      <c r="F336" s="4" t="str">
        <f t="shared" si="34"/>
        <v>N</v>
      </c>
      <c r="G336" s="4" t="str">
        <f>IF(COUNTIF(PublicHols[Date], A336)&gt;0, "Y", "N")</f>
        <v>N</v>
      </c>
      <c r="H336" s="3" t="str">
        <f>IFERROR(_xlfn.XLOOKUP(A336, PublicHols[Date], PublicHols[PH_Name]),"")</f>
        <v/>
      </c>
      <c r="I336" s="4" t="str">
        <f>IF(COUNTIF(EventsAll[Date], A336)&gt;0, "Y", "N")</f>
        <v>Y</v>
      </c>
      <c r="J336" s="11" t="str">
        <f>IFERROR(_xlfn.XLOOKUP(A336, EventsAll[Date], EventsAll[Event]),"")</f>
        <v xml:space="preserve"> Cyber Monday</v>
      </c>
      <c r="K336" s="4" t="str" cm="1">
        <f t="array" ref="K336">IF(SUMPRODUCT((A336&gt;=SchoolHols[Start])*(A336&lt;=SchoolHols[End]))&gt;0,"Y","N")</f>
        <v>N</v>
      </c>
    </row>
    <row r="337" spans="1:11">
      <c r="A337" s="6">
        <f t="shared" si="35"/>
        <v>44166</v>
      </c>
      <c r="B337" s="4" t="str">
        <f t="shared" si="30"/>
        <v>01</v>
      </c>
      <c r="C337" s="4" t="str">
        <f t="shared" si="31"/>
        <v>12</v>
      </c>
      <c r="D337" s="4" t="str">
        <f t="shared" si="32"/>
        <v>2020</v>
      </c>
      <c r="E337" s="3" t="str">
        <f t="shared" si="33"/>
        <v>Tuesday</v>
      </c>
      <c r="F337" s="4" t="str">
        <f t="shared" si="34"/>
        <v>N</v>
      </c>
      <c r="G337" s="4" t="str">
        <f>IF(COUNTIF(PublicHols[Date], A337)&gt;0, "Y", "N")</f>
        <v>N</v>
      </c>
      <c r="H337" s="3" t="str">
        <f>IFERROR(_xlfn.XLOOKUP(A337, PublicHols[Date], PublicHols[PH_Name]),"")</f>
        <v/>
      </c>
      <c r="I337" s="4" t="str">
        <f>IF(COUNTIF(EventsAll[Date], A337)&gt;0, "Y", "N")</f>
        <v>Y</v>
      </c>
      <c r="J337" s="11" t="str">
        <f>IFERROR(_xlfn.XLOOKUP(A337, EventsAll[Date], EventsAll[Event]),"")</f>
        <v xml:space="preserve"> Start of Festive Trading</v>
      </c>
      <c r="K337" s="4" t="str" cm="1">
        <f t="array" ref="K337">IF(SUMPRODUCT((A337&gt;=SchoolHols[Start])*(A337&lt;=SchoolHols[End]))&gt;0,"Y","N")</f>
        <v>N</v>
      </c>
    </row>
    <row r="338" spans="1:11">
      <c r="A338" s="6">
        <f t="shared" si="35"/>
        <v>44167</v>
      </c>
      <c r="B338" s="4" t="str">
        <f t="shared" si="30"/>
        <v>02</v>
      </c>
      <c r="C338" s="4" t="str">
        <f t="shared" si="31"/>
        <v>12</v>
      </c>
      <c r="D338" s="4" t="str">
        <f t="shared" si="32"/>
        <v>2020</v>
      </c>
      <c r="E338" s="3" t="str">
        <f t="shared" si="33"/>
        <v>Wednesday</v>
      </c>
      <c r="F338" s="4" t="str">
        <f t="shared" si="34"/>
        <v>N</v>
      </c>
      <c r="G338" s="4" t="str">
        <f>IF(COUNTIF(PublicHols[Date], A338)&gt;0, "Y", "N")</f>
        <v>N</v>
      </c>
      <c r="H338" s="3" t="str">
        <f>IFERROR(_xlfn.XLOOKUP(A338, PublicHols[Date], PublicHols[PH_Name]),"")</f>
        <v/>
      </c>
      <c r="I338" s="4" t="str">
        <f>IF(COUNTIF(EventsAll[Date], A338)&gt;0, "Y", "N")</f>
        <v>N</v>
      </c>
      <c r="J338" s="11" t="str">
        <f>IFERROR(_xlfn.XLOOKUP(A338, EventsAll[Date], EventsAll[Event]),"")</f>
        <v/>
      </c>
      <c r="K338" s="4" t="str" cm="1">
        <f t="array" ref="K338">IF(SUMPRODUCT((A338&gt;=SchoolHols[Start])*(A338&lt;=SchoolHols[End]))&gt;0,"Y","N")</f>
        <v>Y</v>
      </c>
    </row>
    <row r="339" spans="1:11">
      <c r="A339" s="6">
        <f t="shared" si="35"/>
        <v>44168</v>
      </c>
      <c r="B339" s="4" t="str">
        <f t="shared" si="30"/>
        <v>03</v>
      </c>
      <c r="C339" s="4" t="str">
        <f t="shared" si="31"/>
        <v>12</v>
      </c>
      <c r="D339" s="4" t="str">
        <f t="shared" si="32"/>
        <v>2020</v>
      </c>
      <c r="E339" s="3" t="str">
        <f t="shared" si="33"/>
        <v>Thursday</v>
      </c>
      <c r="F339" s="4" t="str">
        <f t="shared" si="34"/>
        <v>N</v>
      </c>
      <c r="G339" s="4" t="str">
        <f>IF(COUNTIF(PublicHols[Date], A339)&gt;0, "Y", "N")</f>
        <v>N</v>
      </c>
      <c r="H339" s="3" t="str">
        <f>IFERROR(_xlfn.XLOOKUP(A339, PublicHols[Date], PublicHols[PH_Name]),"")</f>
        <v/>
      </c>
      <c r="I339" s="4" t="str">
        <f>IF(COUNTIF(EventsAll[Date], A339)&gt;0, "Y", "N")</f>
        <v>N</v>
      </c>
      <c r="J339" s="11" t="str">
        <f>IFERROR(_xlfn.XLOOKUP(A339, EventsAll[Date], EventsAll[Event]),"")</f>
        <v/>
      </c>
      <c r="K339" s="4" t="str" cm="1">
        <f t="array" ref="K339">IF(SUMPRODUCT((A339&gt;=SchoolHols[Start])*(A339&lt;=SchoolHols[End]))&gt;0,"Y","N")</f>
        <v>Y</v>
      </c>
    </row>
    <row r="340" spans="1:11">
      <c r="A340" s="6">
        <f t="shared" si="35"/>
        <v>44169</v>
      </c>
      <c r="B340" s="4" t="str">
        <f t="shared" si="30"/>
        <v>04</v>
      </c>
      <c r="C340" s="4" t="str">
        <f t="shared" si="31"/>
        <v>12</v>
      </c>
      <c r="D340" s="4" t="str">
        <f t="shared" si="32"/>
        <v>2020</v>
      </c>
      <c r="E340" s="3" t="str">
        <f t="shared" si="33"/>
        <v>Friday</v>
      </c>
      <c r="F340" s="4" t="str">
        <f t="shared" si="34"/>
        <v>N</v>
      </c>
      <c r="G340" s="4" t="str">
        <f>IF(COUNTIF(PublicHols[Date], A340)&gt;0, "Y", "N")</f>
        <v>N</v>
      </c>
      <c r="H340" s="3" t="str">
        <f>IFERROR(_xlfn.XLOOKUP(A340, PublicHols[Date], PublicHols[PH_Name]),"")</f>
        <v/>
      </c>
      <c r="I340" s="4" t="str">
        <f>IF(COUNTIF(EventsAll[Date], A340)&gt;0, "Y", "N")</f>
        <v>N</v>
      </c>
      <c r="J340" s="11" t="str">
        <f>IFERROR(_xlfn.XLOOKUP(A340, EventsAll[Date], EventsAll[Event]),"")</f>
        <v/>
      </c>
      <c r="K340" s="4" t="str" cm="1">
        <f t="array" ref="K340">IF(SUMPRODUCT((A340&gt;=SchoolHols[Start])*(A340&lt;=SchoolHols[End]))&gt;0,"Y","N")</f>
        <v>Y</v>
      </c>
    </row>
    <row r="341" spans="1:11">
      <c r="A341" s="6">
        <f t="shared" si="35"/>
        <v>44170</v>
      </c>
      <c r="B341" s="4" t="str">
        <f t="shared" si="30"/>
        <v>05</v>
      </c>
      <c r="C341" s="4" t="str">
        <f t="shared" si="31"/>
        <v>12</v>
      </c>
      <c r="D341" s="4" t="str">
        <f t="shared" si="32"/>
        <v>2020</v>
      </c>
      <c r="E341" s="3" t="str">
        <f t="shared" si="33"/>
        <v>Saturday</v>
      </c>
      <c r="F341" s="4" t="str">
        <f t="shared" si="34"/>
        <v>N</v>
      </c>
      <c r="G341" s="4" t="str">
        <f>IF(COUNTIF(PublicHols[Date], A341)&gt;0, "Y", "N")</f>
        <v>N</v>
      </c>
      <c r="H341" s="3" t="str">
        <f>IFERROR(_xlfn.XLOOKUP(A341, PublicHols[Date], PublicHols[PH_Name]),"")</f>
        <v/>
      </c>
      <c r="I341" s="4" t="str">
        <f>IF(COUNTIF(EventsAll[Date], A341)&gt;0, "Y", "N")</f>
        <v>N</v>
      </c>
      <c r="J341" s="11" t="str">
        <f>IFERROR(_xlfn.XLOOKUP(A341, EventsAll[Date], EventsAll[Event]),"")</f>
        <v/>
      </c>
      <c r="K341" s="4" t="str" cm="1">
        <f t="array" ref="K341">IF(SUMPRODUCT((A341&gt;=SchoolHols[Start])*(A341&lt;=SchoolHols[End]))&gt;0,"Y","N")</f>
        <v>Y</v>
      </c>
    </row>
    <row r="342" spans="1:11">
      <c r="A342" s="6">
        <f t="shared" si="35"/>
        <v>44171</v>
      </c>
      <c r="B342" s="4" t="str">
        <f t="shared" si="30"/>
        <v>06</v>
      </c>
      <c r="C342" s="4" t="str">
        <f t="shared" si="31"/>
        <v>12</v>
      </c>
      <c r="D342" s="4" t="str">
        <f t="shared" si="32"/>
        <v>2020</v>
      </c>
      <c r="E342" s="3" t="str">
        <f t="shared" si="33"/>
        <v>Sunday</v>
      </c>
      <c r="F342" s="4" t="str">
        <f t="shared" si="34"/>
        <v>Y</v>
      </c>
      <c r="G342" s="4" t="str">
        <f>IF(COUNTIF(PublicHols[Date], A342)&gt;0, "Y", "N")</f>
        <v>N</v>
      </c>
      <c r="H342" s="3" t="str">
        <f>IFERROR(_xlfn.XLOOKUP(A342, PublicHols[Date], PublicHols[PH_Name]),"")</f>
        <v/>
      </c>
      <c r="I342" s="4" t="str">
        <f>IF(COUNTIF(EventsAll[Date], A342)&gt;0, "Y", "N")</f>
        <v>N</v>
      </c>
      <c r="J342" s="11" t="str">
        <f>IFERROR(_xlfn.XLOOKUP(A342, EventsAll[Date], EventsAll[Event]),"")</f>
        <v/>
      </c>
      <c r="K342" s="4" t="str" cm="1">
        <f t="array" ref="K342">IF(SUMPRODUCT((A342&gt;=SchoolHols[Start])*(A342&lt;=SchoolHols[End]))&gt;0,"Y","N")</f>
        <v>Y</v>
      </c>
    </row>
    <row r="343" spans="1:11">
      <c r="A343" s="6">
        <f t="shared" si="35"/>
        <v>44172</v>
      </c>
      <c r="B343" s="4" t="str">
        <f t="shared" si="30"/>
        <v>07</v>
      </c>
      <c r="C343" s="4" t="str">
        <f t="shared" si="31"/>
        <v>12</v>
      </c>
      <c r="D343" s="4" t="str">
        <f t="shared" si="32"/>
        <v>2020</v>
      </c>
      <c r="E343" s="3" t="str">
        <f t="shared" si="33"/>
        <v>Monday</v>
      </c>
      <c r="F343" s="4" t="str">
        <f t="shared" si="34"/>
        <v>N</v>
      </c>
      <c r="G343" s="4" t="str">
        <f>IF(COUNTIF(PublicHols[Date], A343)&gt;0, "Y", "N")</f>
        <v>N</v>
      </c>
      <c r="H343" s="3" t="str">
        <f>IFERROR(_xlfn.XLOOKUP(A343, PublicHols[Date], PublicHols[PH_Name]),"")</f>
        <v/>
      </c>
      <c r="I343" s="4" t="str">
        <f>IF(COUNTIF(EventsAll[Date], A343)&gt;0, "Y", "N")</f>
        <v>N</v>
      </c>
      <c r="J343" s="11" t="str">
        <f>IFERROR(_xlfn.XLOOKUP(A343, EventsAll[Date], EventsAll[Event]),"")</f>
        <v/>
      </c>
      <c r="K343" s="4" t="str" cm="1">
        <f t="array" ref="K343">IF(SUMPRODUCT((A343&gt;=SchoolHols[Start])*(A343&lt;=SchoolHols[End]))&gt;0,"Y","N")</f>
        <v>Y</v>
      </c>
    </row>
    <row r="344" spans="1:11">
      <c r="A344" s="6">
        <f t="shared" si="35"/>
        <v>44173</v>
      </c>
      <c r="B344" s="4" t="str">
        <f t="shared" si="30"/>
        <v>08</v>
      </c>
      <c r="C344" s="4" t="str">
        <f t="shared" si="31"/>
        <v>12</v>
      </c>
      <c r="D344" s="4" t="str">
        <f t="shared" si="32"/>
        <v>2020</v>
      </c>
      <c r="E344" s="3" t="str">
        <f t="shared" si="33"/>
        <v>Tuesday</v>
      </c>
      <c r="F344" s="4" t="str">
        <f t="shared" si="34"/>
        <v>N</v>
      </c>
      <c r="G344" s="4" t="str">
        <f>IF(COUNTIF(PublicHols[Date], A344)&gt;0, "Y", "N")</f>
        <v>N</v>
      </c>
      <c r="H344" s="3" t="str">
        <f>IFERROR(_xlfn.XLOOKUP(A344, PublicHols[Date], PublicHols[PH_Name]),"")</f>
        <v/>
      </c>
      <c r="I344" s="4" t="str">
        <f>IF(COUNTIF(EventsAll[Date], A344)&gt;0, "Y", "N")</f>
        <v>N</v>
      </c>
      <c r="J344" s="11" t="str">
        <f>IFERROR(_xlfn.XLOOKUP(A344, EventsAll[Date], EventsAll[Event]),"")</f>
        <v/>
      </c>
      <c r="K344" s="4" t="str" cm="1">
        <f t="array" ref="K344">IF(SUMPRODUCT((A344&gt;=SchoolHols[Start])*(A344&lt;=SchoolHols[End]))&gt;0,"Y","N")</f>
        <v>Y</v>
      </c>
    </row>
    <row r="345" spans="1:11">
      <c r="A345" s="6">
        <f t="shared" si="35"/>
        <v>44174</v>
      </c>
      <c r="B345" s="4" t="str">
        <f t="shared" si="30"/>
        <v>09</v>
      </c>
      <c r="C345" s="4" t="str">
        <f t="shared" si="31"/>
        <v>12</v>
      </c>
      <c r="D345" s="4" t="str">
        <f t="shared" si="32"/>
        <v>2020</v>
      </c>
      <c r="E345" s="3" t="str">
        <f t="shared" si="33"/>
        <v>Wednesday</v>
      </c>
      <c r="F345" s="4" t="str">
        <f t="shared" si="34"/>
        <v>N</v>
      </c>
      <c r="G345" s="4" t="str">
        <f>IF(COUNTIF(PublicHols[Date], A345)&gt;0, "Y", "N")</f>
        <v>N</v>
      </c>
      <c r="H345" s="3" t="str">
        <f>IFERROR(_xlfn.XLOOKUP(A345, PublicHols[Date], PublicHols[PH_Name]),"")</f>
        <v/>
      </c>
      <c r="I345" s="4" t="str">
        <f>IF(COUNTIF(EventsAll[Date], A345)&gt;0, "Y", "N")</f>
        <v>N</v>
      </c>
      <c r="J345" s="11" t="str">
        <f>IFERROR(_xlfn.XLOOKUP(A345, EventsAll[Date], EventsAll[Event]),"")</f>
        <v/>
      </c>
      <c r="K345" s="4" t="str" cm="1">
        <f t="array" ref="K345">IF(SUMPRODUCT((A345&gt;=SchoolHols[Start])*(A345&lt;=SchoolHols[End]))&gt;0,"Y","N")</f>
        <v>Y</v>
      </c>
    </row>
    <row r="346" spans="1:11">
      <c r="A346" s="6">
        <f t="shared" si="35"/>
        <v>44175</v>
      </c>
      <c r="B346" s="4" t="str">
        <f t="shared" si="30"/>
        <v>10</v>
      </c>
      <c r="C346" s="4" t="str">
        <f t="shared" si="31"/>
        <v>12</v>
      </c>
      <c r="D346" s="4" t="str">
        <f t="shared" si="32"/>
        <v>2020</v>
      </c>
      <c r="E346" s="3" t="str">
        <f t="shared" si="33"/>
        <v>Thursday</v>
      </c>
      <c r="F346" s="4" t="str">
        <f t="shared" si="34"/>
        <v>N</v>
      </c>
      <c r="G346" s="4" t="str">
        <f>IF(COUNTIF(PublicHols[Date], A346)&gt;0, "Y", "N")</f>
        <v>N</v>
      </c>
      <c r="H346" s="3" t="str">
        <f>IFERROR(_xlfn.XLOOKUP(A346, PublicHols[Date], PublicHols[PH_Name]),"")</f>
        <v/>
      </c>
      <c r="I346" s="4" t="str">
        <f>IF(COUNTIF(EventsAll[Date], A346)&gt;0, "Y", "N")</f>
        <v>N</v>
      </c>
      <c r="J346" s="11" t="str">
        <f>IFERROR(_xlfn.XLOOKUP(A346, EventsAll[Date], EventsAll[Event]),"")</f>
        <v/>
      </c>
      <c r="K346" s="4" t="str" cm="1">
        <f t="array" ref="K346">IF(SUMPRODUCT((A346&gt;=SchoolHols[Start])*(A346&lt;=SchoolHols[End]))&gt;0,"Y","N")</f>
        <v>Y</v>
      </c>
    </row>
    <row r="347" spans="1:11">
      <c r="A347" s="6">
        <f t="shared" si="35"/>
        <v>44176</v>
      </c>
      <c r="B347" s="4" t="str">
        <f t="shared" si="30"/>
        <v>11</v>
      </c>
      <c r="C347" s="4" t="str">
        <f t="shared" si="31"/>
        <v>12</v>
      </c>
      <c r="D347" s="4" t="str">
        <f t="shared" si="32"/>
        <v>2020</v>
      </c>
      <c r="E347" s="3" t="str">
        <f t="shared" si="33"/>
        <v>Friday</v>
      </c>
      <c r="F347" s="4" t="str">
        <f t="shared" si="34"/>
        <v>N</v>
      </c>
      <c r="G347" s="4" t="str">
        <f>IF(COUNTIF(PublicHols[Date], A347)&gt;0, "Y", "N")</f>
        <v>N</v>
      </c>
      <c r="H347" s="3" t="str">
        <f>IFERROR(_xlfn.XLOOKUP(A347, PublicHols[Date], PublicHols[PH_Name]),"")</f>
        <v/>
      </c>
      <c r="I347" s="4" t="str">
        <f>IF(COUNTIF(EventsAll[Date], A347)&gt;0, "Y", "N")</f>
        <v>N</v>
      </c>
      <c r="J347" s="11" t="str">
        <f>IFERROR(_xlfn.XLOOKUP(A347, EventsAll[Date], EventsAll[Event]),"")</f>
        <v/>
      </c>
      <c r="K347" s="4" t="str" cm="1">
        <f t="array" ref="K347">IF(SUMPRODUCT((A347&gt;=SchoolHols[Start])*(A347&lt;=SchoolHols[End]))&gt;0,"Y","N")</f>
        <v>Y</v>
      </c>
    </row>
    <row r="348" spans="1:11">
      <c r="A348" s="6">
        <f t="shared" si="35"/>
        <v>44177</v>
      </c>
      <c r="B348" s="4" t="str">
        <f t="shared" si="30"/>
        <v>12</v>
      </c>
      <c r="C348" s="4" t="str">
        <f t="shared" si="31"/>
        <v>12</v>
      </c>
      <c r="D348" s="4" t="str">
        <f t="shared" si="32"/>
        <v>2020</v>
      </c>
      <c r="E348" s="3" t="str">
        <f t="shared" si="33"/>
        <v>Saturday</v>
      </c>
      <c r="F348" s="4" t="str">
        <f t="shared" si="34"/>
        <v>N</v>
      </c>
      <c r="G348" s="4" t="str">
        <f>IF(COUNTIF(PublicHols[Date], A348)&gt;0, "Y", "N")</f>
        <v>N</v>
      </c>
      <c r="H348" s="3" t="str">
        <f>IFERROR(_xlfn.XLOOKUP(A348, PublicHols[Date], PublicHols[PH_Name]),"")</f>
        <v/>
      </c>
      <c r="I348" s="4" t="str">
        <f>IF(COUNTIF(EventsAll[Date], A348)&gt;0, "Y", "N")</f>
        <v>N</v>
      </c>
      <c r="J348" s="11" t="str">
        <f>IFERROR(_xlfn.XLOOKUP(A348, EventsAll[Date], EventsAll[Event]),"")</f>
        <v/>
      </c>
      <c r="K348" s="4" t="str" cm="1">
        <f t="array" ref="K348">IF(SUMPRODUCT((A348&gt;=SchoolHols[Start])*(A348&lt;=SchoolHols[End]))&gt;0,"Y","N")</f>
        <v>Y</v>
      </c>
    </row>
    <row r="349" spans="1:11">
      <c r="A349" s="6">
        <f t="shared" si="35"/>
        <v>44178</v>
      </c>
      <c r="B349" s="4" t="str">
        <f t="shared" si="30"/>
        <v>13</v>
      </c>
      <c r="C349" s="4" t="str">
        <f t="shared" si="31"/>
        <v>12</v>
      </c>
      <c r="D349" s="4" t="str">
        <f t="shared" si="32"/>
        <v>2020</v>
      </c>
      <c r="E349" s="3" t="str">
        <f t="shared" si="33"/>
        <v>Sunday</v>
      </c>
      <c r="F349" s="4" t="str">
        <f t="shared" si="34"/>
        <v>Y</v>
      </c>
      <c r="G349" s="4" t="str">
        <f>IF(COUNTIF(PublicHols[Date], A349)&gt;0, "Y", "N")</f>
        <v>N</v>
      </c>
      <c r="H349" s="3" t="str">
        <f>IFERROR(_xlfn.XLOOKUP(A349, PublicHols[Date], PublicHols[PH_Name]),"")</f>
        <v/>
      </c>
      <c r="I349" s="4" t="str">
        <f>IF(COUNTIF(EventsAll[Date], A349)&gt;0, "Y", "N")</f>
        <v>N</v>
      </c>
      <c r="J349" s="11" t="str">
        <f>IFERROR(_xlfn.XLOOKUP(A349, EventsAll[Date], EventsAll[Event]),"")</f>
        <v/>
      </c>
      <c r="K349" s="4" t="str" cm="1">
        <f t="array" ref="K349">IF(SUMPRODUCT((A349&gt;=SchoolHols[Start])*(A349&lt;=SchoolHols[End]))&gt;0,"Y","N")</f>
        <v>Y</v>
      </c>
    </row>
    <row r="350" spans="1:11">
      <c r="A350" s="6">
        <f t="shared" si="35"/>
        <v>44179</v>
      </c>
      <c r="B350" s="4" t="str">
        <f t="shared" si="30"/>
        <v>14</v>
      </c>
      <c r="C350" s="4" t="str">
        <f t="shared" si="31"/>
        <v>12</v>
      </c>
      <c r="D350" s="4" t="str">
        <f t="shared" si="32"/>
        <v>2020</v>
      </c>
      <c r="E350" s="3" t="str">
        <f t="shared" si="33"/>
        <v>Monday</v>
      </c>
      <c r="F350" s="4" t="str">
        <f t="shared" si="34"/>
        <v>N</v>
      </c>
      <c r="G350" s="4" t="str">
        <f>IF(COUNTIF(PublicHols[Date], A350)&gt;0, "Y", "N")</f>
        <v>N</v>
      </c>
      <c r="H350" s="3" t="str">
        <f>IFERROR(_xlfn.XLOOKUP(A350, PublicHols[Date], PublicHols[PH_Name]),"")</f>
        <v/>
      </c>
      <c r="I350" s="4" t="str">
        <f>IF(COUNTIF(EventsAll[Date], A350)&gt;0, "Y", "N")</f>
        <v>N</v>
      </c>
      <c r="J350" s="11" t="str">
        <f>IFERROR(_xlfn.XLOOKUP(A350, EventsAll[Date], EventsAll[Event]),"")</f>
        <v/>
      </c>
      <c r="K350" s="4" t="str" cm="1">
        <f t="array" ref="K350">IF(SUMPRODUCT((A350&gt;=SchoolHols[Start])*(A350&lt;=SchoolHols[End]))&gt;0,"Y","N")</f>
        <v>Y</v>
      </c>
    </row>
    <row r="351" spans="1:11">
      <c r="A351" s="6">
        <f t="shared" si="35"/>
        <v>44180</v>
      </c>
      <c r="B351" s="4" t="str">
        <f t="shared" si="30"/>
        <v>15</v>
      </c>
      <c r="C351" s="4" t="str">
        <f t="shared" si="31"/>
        <v>12</v>
      </c>
      <c r="D351" s="4" t="str">
        <f t="shared" si="32"/>
        <v>2020</v>
      </c>
      <c r="E351" s="3" t="str">
        <f t="shared" si="33"/>
        <v>Tuesday</v>
      </c>
      <c r="F351" s="4" t="str">
        <f t="shared" si="34"/>
        <v>N</v>
      </c>
      <c r="G351" s="4" t="str">
        <f>IF(COUNTIF(PublicHols[Date], A351)&gt;0, "Y", "N")</f>
        <v>N</v>
      </c>
      <c r="H351" s="3" t="str">
        <f>IFERROR(_xlfn.XLOOKUP(A351, PublicHols[Date], PublicHols[PH_Name]),"")</f>
        <v/>
      </c>
      <c r="I351" s="4" t="str">
        <f>IF(COUNTIF(EventsAll[Date], A351)&gt;0, "Y", "N")</f>
        <v>Y</v>
      </c>
      <c r="J351" s="11" t="str">
        <f>IFERROR(_xlfn.XLOOKUP(A351, EventsAll[Date], EventsAll[Event]),"")</f>
        <v xml:space="preserve"> Peak Festive Trading</v>
      </c>
      <c r="K351" s="4" t="str" cm="1">
        <f t="array" ref="K351">IF(SUMPRODUCT((A351&gt;=SchoolHols[Start])*(A351&lt;=SchoolHols[End]))&gt;0,"Y","N")</f>
        <v>Y</v>
      </c>
    </row>
    <row r="352" spans="1:11">
      <c r="A352" s="6">
        <f t="shared" si="35"/>
        <v>44181</v>
      </c>
      <c r="B352" s="4" t="str">
        <f t="shared" si="30"/>
        <v>16</v>
      </c>
      <c r="C352" s="4" t="str">
        <f t="shared" si="31"/>
        <v>12</v>
      </c>
      <c r="D352" s="4" t="str">
        <f t="shared" si="32"/>
        <v>2020</v>
      </c>
      <c r="E352" s="3" t="str">
        <f t="shared" si="33"/>
        <v>Wednesday</v>
      </c>
      <c r="F352" s="4" t="str">
        <f t="shared" si="34"/>
        <v>N</v>
      </c>
      <c r="G352" s="4" t="str">
        <f>IF(COUNTIF(PublicHols[Date], A352)&gt;0, "Y", "N")</f>
        <v>Y</v>
      </c>
      <c r="H352" s="3" t="str">
        <f>IFERROR(_xlfn.XLOOKUP(A352, PublicHols[Date], PublicHols[PH_Name]),"")</f>
        <v>Day of Reconciliation</v>
      </c>
      <c r="I352" s="4" t="str">
        <f>IF(COUNTIF(EventsAll[Date], A352)&gt;0, "Y", "N")</f>
        <v>N</v>
      </c>
      <c r="J352" s="11" t="str">
        <f>IFERROR(_xlfn.XLOOKUP(A352, EventsAll[Date], EventsAll[Event]),"")</f>
        <v/>
      </c>
      <c r="K352" s="4" t="str" cm="1">
        <f t="array" ref="K352">IF(SUMPRODUCT((A352&gt;=SchoolHols[Start])*(A352&lt;=SchoolHols[End]))&gt;0,"Y","N")</f>
        <v>Y</v>
      </c>
    </row>
    <row r="353" spans="1:11">
      <c r="A353" s="6">
        <f t="shared" si="35"/>
        <v>44182</v>
      </c>
      <c r="B353" s="4" t="str">
        <f t="shared" si="30"/>
        <v>17</v>
      </c>
      <c r="C353" s="4" t="str">
        <f t="shared" si="31"/>
        <v>12</v>
      </c>
      <c r="D353" s="4" t="str">
        <f t="shared" si="32"/>
        <v>2020</v>
      </c>
      <c r="E353" s="3" t="str">
        <f t="shared" si="33"/>
        <v>Thursday</v>
      </c>
      <c r="F353" s="4" t="str">
        <f t="shared" si="34"/>
        <v>N</v>
      </c>
      <c r="G353" s="4" t="str">
        <f>IF(COUNTIF(PublicHols[Date], A353)&gt;0, "Y", "N")</f>
        <v>N</v>
      </c>
      <c r="H353" s="3" t="str">
        <f>IFERROR(_xlfn.XLOOKUP(A353, PublicHols[Date], PublicHols[PH_Name]),"")</f>
        <v/>
      </c>
      <c r="I353" s="4" t="str">
        <f>IF(COUNTIF(EventsAll[Date], A353)&gt;0, "Y", "N")</f>
        <v>N</v>
      </c>
      <c r="J353" s="11" t="str">
        <f>IFERROR(_xlfn.XLOOKUP(A353, EventsAll[Date], EventsAll[Event]),"")</f>
        <v/>
      </c>
      <c r="K353" s="4" t="str" cm="1">
        <f t="array" ref="K353">IF(SUMPRODUCT((A353&gt;=SchoolHols[Start])*(A353&lt;=SchoolHols[End]))&gt;0,"Y","N")</f>
        <v>Y</v>
      </c>
    </row>
    <row r="354" spans="1:11">
      <c r="A354" s="6">
        <f t="shared" si="35"/>
        <v>44183</v>
      </c>
      <c r="B354" s="4" t="str">
        <f t="shared" si="30"/>
        <v>18</v>
      </c>
      <c r="C354" s="4" t="str">
        <f t="shared" si="31"/>
        <v>12</v>
      </c>
      <c r="D354" s="4" t="str">
        <f t="shared" si="32"/>
        <v>2020</v>
      </c>
      <c r="E354" s="3" t="str">
        <f t="shared" si="33"/>
        <v>Friday</v>
      </c>
      <c r="F354" s="4" t="str">
        <f t="shared" si="34"/>
        <v>N</v>
      </c>
      <c r="G354" s="4" t="str">
        <f>IF(COUNTIF(PublicHols[Date], A354)&gt;0, "Y", "N")</f>
        <v>N</v>
      </c>
      <c r="H354" s="3" t="str">
        <f>IFERROR(_xlfn.XLOOKUP(A354, PublicHols[Date], PublicHols[PH_Name]),"")</f>
        <v/>
      </c>
      <c r="I354" s="4" t="str">
        <f>IF(COUNTIF(EventsAll[Date], A354)&gt;0, "Y", "N")</f>
        <v>N</v>
      </c>
      <c r="J354" s="11" t="str">
        <f>IFERROR(_xlfn.XLOOKUP(A354, EventsAll[Date], EventsAll[Event]),"")</f>
        <v/>
      </c>
      <c r="K354" s="4" t="str" cm="1">
        <f t="array" ref="K354">IF(SUMPRODUCT((A354&gt;=SchoolHols[Start])*(A354&lt;=SchoolHols[End]))&gt;0,"Y","N")</f>
        <v>Y</v>
      </c>
    </row>
    <row r="355" spans="1:11">
      <c r="A355" s="6">
        <f t="shared" si="35"/>
        <v>44184</v>
      </c>
      <c r="B355" s="4" t="str">
        <f t="shared" si="30"/>
        <v>19</v>
      </c>
      <c r="C355" s="4" t="str">
        <f t="shared" si="31"/>
        <v>12</v>
      </c>
      <c r="D355" s="4" t="str">
        <f t="shared" si="32"/>
        <v>2020</v>
      </c>
      <c r="E355" s="3" t="str">
        <f t="shared" si="33"/>
        <v>Saturday</v>
      </c>
      <c r="F355" s="4" t="str">
        <f t="shared" si="34"/>
        <v>N</v>
      </c>
      <c r="G355" s="4" t="str">
        <f>IF(COUNTIF(PublicHols[Date], A355)&gt;0, "Y", "N")</f>
        <v>N</v>
      </c>
      <c r="H355" s="3" t="str">
        <f>IFERROR(_xlfn.XLOOKUP(A355, PublicHols[Date], PublicHols[PH_Name]),"")</f>
        <v/>
      </c>
      <c r="I355" s="4" t="str">
        <f>IF(COUNTIF(EventsAll[Date], A355)&gt;0, "Y", "N")</f>
        <v>N</v>
      </c>
      <c r="J355" s="11" t="str">
        <f>IFERROR(_xlfn.XLOOKUP(A355, EventsAll[Date], EventsAll[Event]),"")</f>
        <v/>
      </c>
      <c r="K355" s="4" t="str" cm="1">
        <f t="array" ref="K355">IF(SUMPRODUCT((A355&gt;=SchoolHols[Start])*(A355&lt;=SchoolHols[End]))&gt;0,"Y","N")</f>
        <v>Y</v>
      </c>
    </row>
    <row r="356" spans="1:11">
      <c r="A356" s="6">
        <f t="shared" si="35"/>
        <v>44185</v>
      </c>
      <c r="B356" s="4" t="str">
        <f t="shared" si="30"/>
        <v>20</v>
      </c>
      <c r="C356" s="4" t="str">
        <f t="shared" si="31"/>
        <v>12</v>
      </c>
      <c r="D356" s="4" t="str">
        <f t="shared" si="32"/>
        <v>2020</v>
      </c>
      <c r="E356" s="3" t="str">
        <f t="shared" si="33"/>
        <v>Sunday</v>
      </c>
      <c r="F356" s="4" t="str">
        <f t="shared" si="34"/>
        <v>Y</v>
      </c>
      <c r="G356" s="4" t="str">
        <f>IF(COUNTIF(PublicHols[Date], A356)&gt;0, "Y", "N")</f>
        <v>N</v>
      </c>
      <c r="H356" s="3" t="str">
        <f>IFERROR(_xlfn.XLOOKUP(A356, PublicHols[Date], PublicHols[PH_Name]),"")</f>
        <v/>
      </c>
      <c r="I356" s="4" t="str">
        <f>IF(COUNTIF(EventsAll[Date], A356)&gt;0, "Y", "N")</f>
        <v>N</v>
      </c>
      <c r="J356" s="11" t="str">
        <f>IFERROR(_xlfn.XLOOKUP(A356, EventsAll[Date], EventsAll[Event]),"")</f>
        <v/>
      </c>
      <c r="K356" s="4" t="str" cm="1">
        <f t="array" ref="K356">IF(SUMPRODUCT((A356&gt;=SchoolHols[Start])*(A356&lt;=SchoolHols[End]))&gt;0,"Y","N")</f>
        <v>Y</v>
      </c>
    </row>
    <row r="357" spans="1:11">
      <c r="A357" s="6">
        <f t="shared" si="35"/>
        <v>44186</v>
      </c>
      <c r="B357" s="4" t="str">
        <f t="shared" si="30"/>
        <v>21</v>
      </c>
      <c r="C357" s="4" t="str">
        <f t="shared" si="31"/>
        <v>12</v>
      </c>
      <c r="D357" s="4" t="str">
        <f t="shared" si="32"/>
        <v>2020</v>
      </c>
      <c r="E357" s="3" t="str">
        <f t="shared" si="33"/>
        <v>Monday</v>
      </c>
      <c r="F357" s="4" t="str">
        <f t="shared" si="34"/>
        <v>N</v>
      </c>
      <c r="G357" s="4" t="str">
        <f>IF(COUNTIF(PublicHols[Date], A357)&gt;0, "Y", "N")</f>
        <v>N</v>
      </c>
      <c r="H357" s="3" t="str">
        <f>IFERROR(_xlfn.XLOOKUP(A357, PublicHols[Date], PublicHols[PH_Name]),"")</f>
        <v/>
      </c>
      <c r="I357" s="4" t="str">
        <f>IF(COUNTIF(EventsAll[Date], A357)&gt;0, "Y", "N")</f>
        <v>N</v>
      </c>
      <c r="J357" s="11" t="str">
        <f>IFERROR(_xlfn.XLOOKUP(A357, EventsAll[Date], EventsAll[Event]),"")</f>
        <v/>
      </c>
      <c r="K357" s="4" t="str" cm="1">
        <f t="array" ref="K357">IF(SUMPRODUCT((A357&gt;=SchoolHols[Start])*(A357&lt;=SchoolHols[End]))&gt;0,"Y","N")</f>
        <v>Y</v>
      </c>
    </row>
    <row r="358" spans="1:11">
      <c r="A358" s="6">
        <f t="shared" si="35"/>
        <v>44187</v>
      </c>
      <c r="B358" s="4" t="str">
        <f t="shared" si="30"/>
        <v>22</v>
      </c>
      <c r="C358" s="4" t="str">
        <f t="shared" si="31"/>
        <v>12</v>
      </c>
      <c r="D358" s="4" t="str">
        <f t="shared" si="32"/>
        <v>2020</v>
      </c>
      <c r="E358" s="3" t="str">
        <f t="shared" si="33"/>
        <v>Tuesday</v>
      </c>
      <c r="F358" s="4" t="str">
        <f t="shared" si="34"/>
        <v>N</v>
      </c>
      <c r="G358" s="4" t="str">
        <f>IF(COUNTIF(PublicHols[Date], A358)&gt;0, "Y", "N")</f>
        <v>N</v>
      </c>
      <c r="H358" s="3" t="str">
        <f>IFERROR(_xlfn.XLOOKUP(A358, PublicHols[Date], PublicHols[PH_Name]),"")</f>
        <v/>
      </c>
      <c r="I358" s="4" t="str">
        <f>IF(COUNTIF(EventsAll[Date], A358)&gt;0, "Y", "N")</f>
        <v>N</v>
      </c>
      <c r="J358" s="11" t="str">
        <f>IFERROR(_xlfn.XLOOKUP(A358, EventsAll[Date], EventsAll[Event]),"")</f>
        <v/>
      </c>
      <c r="K358" s="4" t="str" cm="1">
        <f t="array" ref="K358">IF(SUMPRODUCT((A358&gt;=SchoolHols[Start])*(A358&lt;=SchoolHols[End]))&gt;0,"Y","N")</f>
        <v>Y</v>
      </c>
    </row>
    <row r="359" spans="1:11">
      <c r="A359" s="6">
        <f t="shared" si="35"/>
        <v>44188</v>
      </c>
      <c r="B359" s="4" t="str">
        <f t="shared" si="30"/>
        <v>23</v>
      </c>
      <c r="C359" s="4" t="str">
        <f t="shared" si="31"/>
        <v>12</v>
      </c>
      <c r="D359" s="4" t="str">
        <f t="shared" si="32"/>
        <v>2020</v>
      </c>
      <c r="E359" s="3" t="str">
        <f t="shared" si="33"/>
        <v>Wednesday</v>
      </c>
      <c r="F359" s="4" t="str">
        <f t="shared" si="34"/>
        <v>N</v>
      </c>
      <c r="G359" s="4" t="str">
        <f>IF(COUNTIF(PublicHols[Date], A359)&gt;0, "Y", "N")</f>
        <v>N</v>
      </c>
      <c r="H359" s="3" t="str">
        <f>IFERROR(_xlfn.XLOOKUP(A359, PublicHols[Date], PublicHols[PH_Name]),"")</f>
        <v/>
      </c>
      <c r="I359" s="4" t="str">
        <f>IF(COUNTIF(EventsAll[Date], A359)&gt;0, "Y", "N")</f>
        <v>N</v>
      </c>
      <c r="J359" s="11" t="str">
        <f>IFERROR(_xlfn.XLOOKUP(A359, EventsAll[Date], EventsAll[Event]),"")</f>
        <v/>
      </c>
      <c r="K359" s="4" t="str" cm="1">
        <f t="array" ref="K359">IF(SUMPRODUCT((A359&gt;=SchoolHols[Start])*(A359&lt;=SchoolHols[End]))&gt;0,"Y","N")</f>
        <v>Y</v>
      </c>
    </row>
    <row r="360" spans="1:11">
      <c r="A360" s="6">
        <f t="shared" si="35"/>
        <v>44189</v>
      </c>
      <c r="B360" s="4" t="str">
        <f t="shared" si="30"/>
        <v>24</v>
      </c>
      <c r="C360" s="4" t="str">
        <f t="shared" si="31"/>
        <v>12</v>
      </c>
      <c r="D360" s="4" t="str">
        <f t="shared" si="32"/>
        <v>2020</v>
      </c>
      <c r="E360" s="3" t="str">
        <f t="shared" si="33"/>
        <v>Thursday</v>
      </c>
      <c r="F360" s="4" t="str">
        <f t="shared" si="34"/>
        <v>N</v>
      </c>
      <c r="G360" s="4" t="str">
        <f>IF(COUNTIF(PublicHols[Date], A360)&gt;0, "Y", "N")</f>
        <v>N</v>
      </c>
      <c r="H360" s="3" t="str">
        <f>IFERROR(_xlfn.XLOOKUP(A360, PublicHols[Date], PublicHols[PH_Name]),"")</f>
        <v/>
      </c>
      <c r="I360" s="4" t="str">
        <f>IF(COUNTIF(EventsAll[Date], A360)&gt;0, "Y", "N")</f>
        <v>N</v>
      </c>
      <c r="J360" s="11" t="str">
        <f>IFERROR(_xlfn.XLOOKUP(A360, EventsAll[Date], EventsAll[Event]),"")</f>
        <v/>
      </c>
      <c r="K360" s="4" t="str" cm="1">
        <f t="array" ref="K360">IF(SUMPRODUCT((A360&gt;=SchoolHols[Start])*(A360&lt;=SchoolHols[End]))&gt;0,"Y","N")</f>
        <v>Y</v>
      </c>
    </row>
    <row r="361" spans="1:11">
      <c r="A361" s="6">
        <f t="shared" si="35"/>
        <v>44190</v>
      </c>
      <c r="B361" s="4" t="str">
        <f t="shared" si="30"/>
        <v>25</v>
      </c>
      <c r="C361" s="4" t="str">
        <f t="shared" si="31"/>
        <v>12</v>
      </c>
      <c r="D361" s="4" t="str">
        <f t="shared" si="32"/>
        <v>2020</v>
      </c>
      <c r="E361" s="3" t="str">
        <f t="shared" si="33"/>
        <v>Friday</v>
      </c>
      <c r="F361" s="4" t="str">
        <f t="shared" si="34"/>
        <v>N</v>
      </c>
      <c r="G361" s="4" t="str">
        <f>IF(COUNTIF(PublicHols[Date], A361)&gt;0, "Y", "N")</f>
        <v>Y</v>
      </c>
      <c r="H361" s="3" t="str">
        <f>IFERROR(_xlfn.XLOOKUP(A361, PublicHols[Date], PublicHols[PH_Name]),"")</f>
        <v>Christmas Day</v>
      </c>
      <c r="I361" s="4" t="str">
        <f>IF(COUNTIF(EventsAll[Date], A361)&gt;0, "Y", "N")</f>
        <v>N</v>
      </c>
      <c r="J361" s="11" t="str">
        <f>IFERROR(_xlfn.XLOOKUP(A361, EventsAll[Date], EventsAll[Event]),"")</f>
        <v/>
      </c>
      <c r="K361" s="4" t="str" cm="1">
        <f t="array" ref="K361">IF(SUMPRODUCT((A361&gt;=SchoolHols[Start])*(A361&lt;=SchoolHols[End]))&gt;0,"Y","N")</f>
        <v>Y</v>
      </c>
    </row>
    <row r="362" spans="1:11">
      <c r="A362" s="6">
        <f t="shared" si="35"/>
        <v>44191</v>
      </c>
      <c r="B362" s="4" t="str">
        <f t="shared" si="30"/>
        <v>26</v>
      </c>
      <c r="C362" s="4" t="str">
        <f t="shared" si="31"/>
        <v>12</v>
      </c>
      <c r="D362" s="4" t="str">
        <f t="shared" si="32"/>
        <v>2020</v>
      </c>
      <c r="E362" s="3" t="str">
        <f t="shared" si="33"/>
        <v>Saturday</v>
      </c>
      <c r="F362" s="4" t="str">
        <f t="shared" si="34"/>
        <v>N</v>
      </c>
      <c r="G362" s="4" t="str">
        <f>IF(COUNTIF(PublicHols[Date], A362)&gt;0, "Y", "N")</f>
        <v>Y</v>
      </c>
      <c r="H362" s="3" t="str">
        <f>IFERROR(_xlfn.XLOOKUP(A362, PublicHols[Date], PublicHols[PH_Name]),"")</f>
        <v>Day of Goodwill</v>
      </c>
      <c r="I362" s="4" t="str">
        <f>IF(COUNTIF(EventsAll[Date], A362)&gt;0, "Y", "N")</f>
        <v>N</v>
      </c>
      <c r="J362" s="11" t="str">
        <f>IFERROR(_xlfn.XLOOKUP(A362, EventsAll[Date], EventsAll[Event]),"")</f>
        <v/>
      </c>
      <c r="K362" s="4" t="str" cm="1">
        <f t="array" ref="K362">IF(SUMPRODUCT((A362&gt;=SchoolHols[Start])*(A362&lt;=SchoolHols[End]))&gt;0,"Y","N")</f>
        <v>Y</v>
      </c>
    </row>
    <row r="363" spans="1:11">
      <c r="A363" s="6">
        <f t="shared" si="35"/>
        <v>44192</v>
      </c>
      <c r="B363" s="4" t="str">
        <f t="shared" si="30"/>
        <v>27</v>
      </c>
      <c r="C363" s="4" t="str">
        <f t="shared" si="31"/>
        <v>12</v>
      </c>
      <c r="D363" s="4" t="str">
        <f t="shared" si="32"/>
        <v>2020</v>
      </c>
      <c r="E363" s="3" t="str">
        <f t="shared" si="33"/>
        <v>Sunday</v>
      </c>
      <c r="F363" s="4" t="str">
        <f t="shared" si="34"/>
        <v>Y</v>
      </c>
      <c r="G363" s="4" t="str">
        <f>IF(COUNTIF(PublicHols[Date], A363)&gt;0, "Y", "N")</f>
        <v>N</v>
      </c>
      <c r="H363" s="3" t="str">
        <f>IFERROR(_xlfn.XLOOKUP(A363, PublicHols[Date], PublicHols[PH_Name]),"")</f>
        <v/>
      </c>
      <c r="I363" s="4" t="str">
        <f>IF(COUNTIF(EventsAll[Date], A363)&gt;0, "Y", "N")</f>
        <v>N</v>
      </c>
      <c r="J363" s="11" t="str">
        <f>IFERROR(_xlfn.XLOOKUP(A363, EventsAll[Date], EventsAll[Event]),"")</f>
        <v/>
      </c>
      <c r="K363" s="4" t="str" cm="1">
        <f t="array" ref="K363">IF(SUMPRODUCT((A363&gt;=SchoolHols[Start])*(A363&lt;=SchoolHols[End]))&gt;0,"Y","N")</f>
        <v>Y</v>
      </c>
    </row>
    <row r="364" spans="1:11">
      <c r="A364" s="6">
        <f t="shared" si="35"/>
        <v>44193</v>
      </c>
      <c r="B364" s="4" t="str">
        <f t="shared" si="30"/>
        <v>28</v>
      </c>
      <c r="C364" s="4" t="str">
        <f t="shared" si="31"/>
        <v>12</v>
      </c>
      <c r="D364" s="4" t="str">
        <f t="shared" si="32"/>
        <v>2020</v>
      </c>
      <c r="E364" s="3" t="str">
        <f t="shared" si="33"/>
        <v>Monday</v>
      </c>
      <c r="F364" s="4" t="str">
        <f t="shared" si="34"/>
        <v>N</v>
      </c>
      <c r="G364" s="4" t="str">
        <f>IF(COUNTIF(PublicHols[Date], A364)&gt;0, "Y", "N")</f>
        <v>N</v>
      </c>
      <c r="H364" s="3" t="str">
        <f>IFERROR(_xlfn.XLOOKUP(A364, PublicHols[Date], PublicHols[PH_Name]),"")</f>
        <v/>
      </c>
      <c r="I364" s="4" t="str">
        <f>IF(COUNTIF(EventsAll[Date], A364)&gt;0, "Y", "N")</f>
        <v>N</v>
      </c>
      <c r="J364" s="11" t="str">
        <f>IFERROR(_xlfn.XLOOKUP(A364, EventsAll[Date], EventsAll[Event]),"")</f>
        <v/>
      </c>
      <c r="K364" s="4" t="str" cm="1">
        <f t="array" ref="K364">IF(SUMPRODUCT((A364&gt;=SchoolHols[Start])*(A364&lt;=SchoolHols[End]))&gt;0,"Y","N")</f>
        <v>Y</v>
      </c>
    </row>
    <row r="365" spans="1:11">
      <c r="A365" s="6">
        <f t="shared" si="35"/>
        <v>44194</v>
      </c>
      <c r="B365" s="4" t="str">
        <f t="shared" si="30"/>
        <v>29</v>
      </c>
      <c r="C365" s="4" t="str">
        <f t="shared" si="31"/>
        <v>12</v>
      </c>
      <c r="D365" s="4" t="str">
        <f t="shared" si="32"/>
        <v>2020</v>
      </c>
      <c r="E365" s="3" t="str">
        <f t="shared" si="33"/>
        <v>Tuesday</v>
      </c>
      <c r="F365" s="4" t="str">
        <f t="shared" si="34"/>
        <v>N</v>
      </c>
      <c r="G365" s="4" t="str">
        <f>IF(COUNTIF(PublicHols[Date], A365)&gt;0, "Y", "N")</f>
        <v>N</v>
      </c>
      <c r="H365" s="3" t="str">
        <f>IFERROR(_xlfn.XLOOKUP(A365, PublicHols[Date], PublicHols[PH_Name]),"")</f>
        <v/>
      </c>
      <c r="I365" s="4" t="str">
        <f>IF(COUNTIF(EventsAll[Date], A365)&gt;0, "Y", "N")</f>
        <v>N</v>
      </c>
      <c r="J365" s="11" t="str">
        <f>IFERROR(_xlfn.XLOOKUP(A365, EventsAll[Date], EventsAll[Event]),"")</f>
        <v/>
      </c>
      <c r="K365" s="4" t="str" cm="1">
        <f t="array" ref="K365">IF(SUMPRODUCT((A365&gt;=SchoolHols[Start])*(A365&lt;=SchoolHols[End]))&gt;0,"Y","N")</f>
        <v>Y</v>
      </c>
    </row>
    <row r="366" spans="1:11">
      <c r="A366" s="6">
        <f t="shared" si="35"/>
        <v>44195</v>
      </c>
      <c r="B366" s="4" t="str">
        <f t="shared" si="30"/>
        <v>30</v>
      </c>
      <c r="C366" s="4" t="str">
        <f t="shared" si="31"/>
        <v>12</v>
      </c>
      <c r="D366" s="4" t="str">
        <f t="shared" si="32"/>
        <v>2020</v>
      </c>
      <c r="E366" s="3" t="str">
        <f t="shared" si="33"/>
        <v>Wednesday</v>
      </c>
      <c r="F366" s="4" t="str">
        <f t="shared" si="34"/>
        <v>N</v>
      </c>
      <c r="G366" s="4" t="str">
        <f>IF(COUNTIF(PublicHols[Date], A366)&gt;0, "Y", "N")</f>
        <v>N</v>
      </c>
      <c r="H366" s="3" t="str">
        <f>IFERROR(_xlfn.XLOOKUP(A366, PublicHols[Date], PublicHols[PH_Name]),"")</f>
        <v/>
      </c>
      <c r="I366" s="4" t="str">
        <f>IF(COUNTIF(EventsAll[Date], A366)&gt;0, "Y", "N")</f>
        <v>N</v>
      </c>
      <c r="J366" s="11" t="str">
        <f>IFERROR(_xlfn.XLOOKUP(A366, EventsAll[Date], EventsAll[Event]),"")</f>
        <v/>
      </c>
      <c r="K366" s="4" t="str" cm="1">
        <f t="array" ref="K366">IF(SUMPRODUCT((A366&gt;=SchoolHols[Start])*(A366&lt;=SchoolHols[End]))&gt;0,"Y","N")</f>
        <v>Y</v>
      </c>
    </row>
  </sheetData>
  <sheetProtection sheet="1" objects="1" scenarios="1" selectLockedCells="1"/>
  <conditionalFormatting sqref="A2:K367">
    <cfRule type="expression" dxfId="11" priority="1">
      <formula>$I2="Y"</formula>
    </cfRule>
    <cfRule type="expression" dxfId="10" priority="2">
      <formula>$G2="Y"</formula>
    </cfRule>
    <cfRule type="expression" dxfId="9" priority="3">
      <formula>$F2="Y"</formula>
    </cfRule>
    <cfRule type="expression" dxfId="8" priority="4" stopIfTrue="1">
      <formula>$K2="Y"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5735-B7B8-44EB-A8C1-4B8B30BBC96C}">
  <dimension ref="A1:K366"/>
  <sheetViews>
    <sheetView tabSelected="1" workbookViewId="0">
      <pane ySplit="1" topLeftCell="A2" activePane="bottomLeft" state="frozen"/>
      <selection pane="bottomLeft" activeCell="A2" sqref="A2"/>
      <selection activeCell="B2" sqref="B2:B366"/>
    </sheetView>
  </sheetViews>
  <sheetFormatPr defaultRowHeight="14.45"/>
  <cols>
    <col min="1" max="1" width="12" style="10" customWidth="1"/>
    <col min="2" max="2" width="5" style="5" customWidth="1"/>
    <col min="3" max="3" width="7" style="5" customWidth="1"/>
    <col min="4" max="4" width="6" style="5" customWidth="1"/>
    <col min="5" max="5" width="14" customWidth="1"/>
    <col min="6" max="7" width="9.85546875" style="5" customWidth="1"/>
    <col min="8" max="8" width="29.42578125" customWidth="1"/>
    <col min="9" max="9" width="9.85546875" style="5" customWidth="1"/>
    <col min="10" max="10" width="29.42578125" style="8" customWidth="1"/>
    <col min="11" max="11" width="9.85546875" style="5" customWidth="1"/>
  </cols>
  <sheetData>
    <row r="1" spans="1:11" s="1" customFormat="1" ht="57.95">
      <c r="A1" s="9" t="s">
        <v>42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</row>
    <row r="2" spans="1:11">
      <c r="A2" s="20">
        <f>'2018'!A366+1</f>
        <v>43466</v>
      </c>
      <c r="B2" s="4" t="str">
        <f>TEXT($A2, "dd")</f>
        <v>01</v>
      </c>
      <c r="C2" s="4" t="str">
        <f>TEXT($A2, "mm")</f>
        <v>01</v>
      </c>
      <c r="D2" s="4" t="str">
        <f>TEXT($A2, "yyyy")</f>
        <v>2019</v>
      </c>
      <c r="E2" s="3" t="str">
        <f>TEXT($A2, "dddd")</f>
        <v>Tuesday</v>
      </c>
      <c r="F2" s="4" t="str">
        <f>IF($E2="Sunday", "Y", "N")</f>
        <v>N</v>
      </c>
      <c r="G2" s="4" t="str">
        <f>IF(COUNTIF(PublicHols[Date], A2)&gt;0, "Y", "N")</f>
        <v>Y</v>
      </c>
      <c r="H2" s="19" t="str">
        <f>IFERROR(_xlfn.XLOOKUP(A2, PublicHols[Date], PublicHols[PH_Name]),"")</f>
        <v>New Year's Day</v>
      </c>
      <c r="I2" s="18" t="str">
        <f>IF(COUNTIF(EventsAll[Date], A2)&gt;0, "Y", "N")</f>
        <v>N</v>
      </c>
      <c r="J2" s="11" t="str">
        <f>IFERROR(_xlfn.XLOOKUP(A2, EventsAll[Date], EventsAll[Event]),"")</f>
        <v/>
      </c>
      <c r="K2" s="18" t="str" cm="1">
        <f t="array" ref="K2">IF(SUMPRODUCT((A2&gt;=SchoolHols[Start])*(A2&lt;=SchoolHols[End]))&gt;0,"Y","N")</f>
        <v>Y</v>
      </c>
    </row>
    <row r="3" spans="1:11">
      <c r="A3" s="6">
        <f>$A2+1</f>
        <v>43467</v>
      </c>
      <c r="B3" s="4" t="str">
        <f t="shared" ref="B3:B66" si="0">TEXT($A3, "dd")</f>
        <v>02</v>
      </c>
      <c r="C3" s="4" t="str">
        <f t="shared" ref="C3:C66" si="1">TEXT($A3, "mm")</f>
        <v>01</v>
      </c>
      <c r="D3" s="4" t="str">
        <f t="shared" ref="D3:D66" si="2">TEXT($A3, "yyyy")</f>
        <v>2019</v>
      </c>
      <c r="E3" s="3" t="str">
        <f t="shared" ref="E3:E66" si="3">TEXT($A3, "dddd")</f>
        <v>Wednesday</v>
      </c>
      <c r="F3" s="4" t="str">
        <f t="shared" ref="F3:F66" si="4">IF($E3="Sunday", "Y", "N")</f>
        <v>N</v>
      </c>
      <c r="G3" s="4" t="str">
        <f>IF(COUNTIF(PublicHols[Date], A3)&gt;0, "Y", "N")</f>
        <v>N</v>
      </c>
      <c r="H3" s="3" t="str">
        <f>IFERROR(_xlfn.XLOOKUP(A3, PublicHols[Date], PublicHols[PH_Name]),"")</f>
        <v/>
      </c>
      <c r="I3" s="4" t="str">
        <f>IF(COUNTIF(EventsAll[Date], A3)&gt;0, "Y", "N")</f>
        <v>N</v>
      </c>
      <c r="J3" s="11" t="str">
        <f>IFERROR(_xlfn.XLOOKUP(A3, EventsAll[Date], EventsAll[Event]),"")</f>
        <v/>
      </c>
      <c r="K3" s="4" t="str" cm="1">
        <f t="array" ref="K3">IF(SUMPRODUCT((A3&gt;=SchoolHols[Start])*(A3&lt;=SchoolHols[End]))&gt;0,"Y","N")</f>
        <v>Y</v>
      </c>
    </row>
    <row r="4" spans="1:11">
      <c r="A4" s="6">
        <f t="shared" ref="A4:A67" si="5">$A3+1</f>
        <v>43468</v>
      </c>
      <c r="B4" s="4" t="str">
        <f t="shared" si="0"/>
        <v>03</v>
      </c>
      <c r="C4" s="4" t="str">
        <f t="shared" si="1"/>
        <v>01</v>
      </c>
      <c r="D4" s="4" t="str">
        <f t="shared" si="2"/>
        <v>2019</v>
      </c>
      <c r="E4" s="3" t="str">
        <f t="shared" si="3"/>
        <v>Thursday</v>
      </c>
      <c r="F4" s="4" t="str">
        <f t="shared" si="4"/>
        <v>N</v>
      </c>
      <c r="G4" s="4" t="str">
        <f>IF(COUNTIF(PublicHols[Date], A4)&gt;0, "Y", "N")</f>
        <v>N</v>
      </c>
      <c r="H4" s="3" t="str">
        <f>IFERROR(_xlfn.XLOOKUP(A4, PublicHols[Date], PublicHols[PH_Name]),"")</f>
        <v/>
      </c>
      <c r="I4" s="4" t="str">
        <f>IF(COUNTIF(EventsAll[Date], A4)&gt;0, "Y", "N")</f>
        <v>N</v>
      </c>
      <c r="J4" s="11" t="str">
        <f>IFERROR(_xlfn.XLOOKUP(A4, EventsAll[Date], EventsAll[Event]),"")</f>
        <v/>
      </c>
      <c r="K4" s="4" t="str" cm="1">
        <f t="array" ref="K4">IF(SUMPRODUCT((A4&gt;=SchoolHols[Start])*(A4&lt;=SchoolHols[End]))&gt;0,"Y","N")</f>
        <v>Y</v>
      </c>
    </row>
    <row r="5" spans="1:11">
      <c r="A5" s="6">
        <f t="shared" si="5"/>
        <v>43469</v>
      </c>
      <c r="B5" s="4" t="str">
        <f t="shared" si="0"/>
        <v>04</v>
      </c>
      <c r="C5" s="4" t="str">
        <f t="shared" si="1"/>
        <v>01</v>
      </c>
      <c r="D5" s="4" t="str">
        <f t="shared" si="2"/>
        <v>2019</v>
      </c>
      <c r="E5" s="3" t="str">
        <f t="shared" si="3"/>
        <v>Friday</v>
      </c>
      <c r="F5" s="4" t="str">
        <f t="shared" si="4"/>
        <v>N</v>
      </c>
      <c r="G5" s="4" t="str">
        <f>IF(COUNTIF(PublicHols[Date], A5)&gt;0, "Y", "N")</f>
        <v>N</v>
      </c>
      <c r="H5" s="3" t="str">
        <f>IFERROR(_xlfn.XLOOKUP(A5, PublicHols[Date], PublicHols[PH_Name]),"")</f>
        <v/>
      </c>
      <c r="I5" s="4" t="str">
        <f>IF(COUNTIF(EventsAll[Date], A5)&gt;0, "Y", "N")</f>
        <v>N</v>
      </c>
      <c r="J5" s="11" t="str">
        <f>IFERROR(_xlfn.XLOOKUP(A5, EventsAll[Date], EventsAll[Event]),"")</f>
        <v/>
      </c>
      <c r="K5" s="4" t="str" cm="1">
        <f t="array" ref="K5">IF(SUMPRODUCT((A5&gt;=SchoolHols[Start])*(A5&lt;=SchoolHols[End]))&gt;0,"Y","N")</f>
        <v>Y</v>
      </c>
    </row>
    <row r="6" spans="1:11">
      <c r="A6" s="6">
        <f t="shared" si="5"/>
        <v>43470</v>
      </c>
      <c r="B6" s="4" t="str">
        <f t="shared" si="0"/>
        <v>05</v>
      </c>
      <c r="C6" s="4" t="str">
        <f t="shared" si="1"/>
        <v>01</v>
      </c>
      <c r="D6" s="4" t="str">
        <f t="shared" si="2"/>
        <v>2019</v>
      </c>
      <c r="E6" s="3" t="str">
        <f t="shared" si="3"/>
        <v>Saturday</v>
      </c>
      <c r="F6" s="4" t="str">
        <f t="shared" si="4"/>
        <v>N</v>
      </c>
      <c r="G6" s="4" t="str">
        <f>IF(COUNTIF(PublicHols[Date], A6)&gt;0, "Y", "N")</f>
        <v>N</v>
      </c>
      <c r="H6" s="3" t="str">
        <f>IFERROR(_xlfn.XLOOKUP(A6, PublicHols[Date], PublicHols[PH_Name]),"")</f>
        <v/>
      </c>
      <c r="I6" s="4" t="str">
        <f>IF(COUNTIF(EventsAll[Date], A6)&gt;0, "Y", "N")</f>
        <v>N</v>
      </c>
      <c r="J6" s="11" t="str">
        <f>IFERROR(_xlfn.XLOOKUP(A6, EventsAll[Date], EventsAll[Event]),"")</f>
        <v/>
      </c>
      <c r="K6" s="4" t="str" cm="1">
        <f t="array" ref="K6">IF(SUMPRODUCT((A6&gt;=SchoolHols[Start])*(A6&lt;=SchoolHols[End]))&gt;0,"Y","N")</f>
        <v>Y</v>
      </c>
    </row>
    <row r="7" spans="1:11">
      <c r="A7" s="6">
        <f t="shared" si="5"/>
        <v>43471</v>
      </c>
      <c r="B7" s="4" t="str">
        <f t="shared" si="0"/>
        <v>06</v>
      </c>
      <c r="C7" s="4" t="str">
        <f t="shared" si="1"/>
        <v>01</v>
      </c>
      <c r="D7" s="4" t="str">
        <f t="shared" si="2"/>
        <v>2019</v>
      </c>
      <c r="E7" s="3" t="str">
        <f t="shared" si="3"/>
        <v>Sunday</v>
      </c>
      <c r="F7" s="4" t="str">
        <f t="shared" si="4"/>
        <v>Y</v>
      </c>
      <c r="G7" s="4" t="str">
        <f>IF(COUNTIF(PublicHols[Date], A7)&gt;0, "Y", "N")</f>
        <v>N</v>
      </c>
      <c r="H7" s="3" t="str">
        <f>IFERROR(_xlfn.XLOOKUP(A7, PublicHols[Date], PublicHols[PH_Name]),"")</f>
        <v/>
      </c>
      <c r="I7" s="4" t="str">
        <f>IF(COUNTIF(EventsAll[Date], A7)&gt;0, "Y", "N")</f>
        <v>N</v>
      </c>
      <c r="J7" s="11" t="str">
        <f>IFERROR(_xlfn.XLOOKUP(A7, EventsAll[Date], EventsAll[Event]),"")</f>
        <v/>
      </c>
      <c r="K7" s="4" t="str" cm="1">
        <f t="array" ref="K7">IF(SUMPRODUCT((A7&gt;=SchoolHols[Start])*(A7&lt;=SchoolHols[End]))&gt;0,"Y","N")</f>
        <v>Y</v>
      </c>
    </row>
    <row r="8" spans="1:11">
      <c r="A8" s="6">
        <f t="shared" si="5"/>
        <v>43472</v>
      </c>
      <c r="B8" s="4" t="str">
        <f t="shared" si="0"/>
        <v>07</v>
      </c>
      <c r="C8" s="4" t="str">
        <f t="shared" si="1"/>
        <v>01</v>
      </c>
      <c r="D8" s="4" t="str">
        <f t="shared" si="2"/>
        <v>2019</v>
      </c>
      <c r="E8" s="3" t="str">
        <f t="shared" si="3"/>
        <v>Monday</v>
      </c>
      <c r="F8" s="4" t="str">
        <f t="shared" si="4"/>
        <v>N</v>
      </c>
      <c r="G8" s="4" t="str">
        <f>IF(COUNTIF(PublicHols[Date], A8)&gt;0, "Y", "N")</f>
        <v>N</v>
      </c>
      <c r="H8" s="3" t="str">
        <f>IFERROR(_xlfn.XLOOKUP(A8, PublicHols[Date], PublicHols[PH_Name]),"")</f>
        <v/>
      </c>
      <c r="I8" s="4" t="str">
        <f>IF(COUNTIF(EventsAll[Date], A8)&gt;0, "Y", "N")</f>
        <v>N</v>
      </c>
      <c r="J8" s="11" t="str">
        <f>IFERROR(_xlfn.XLOOKUP(A8, EventsAll[Date], EventsAll[Event]),"")</f>
        <v/>
      </c>
      <c r="K8" s="4" t="str" cm="1">
        <f t="array" ref="K8">IF(SUMPRODUCT((A8&gt;=SchoolHols[Start])*(A8&lt;=SchoolHols[End]))&gt;0,"Y","N")</f>
        <v>Y</v>
      </c>
    </row>
    <row r="9" spans="1:11">
      <c r="A9" s="6">
        <f t="shared" si="5"/>
        <v>43473</v>
      </c>
      <c r="B9" s="4" t="str">
        <f t="shared" si="0"/>
        <v>08</v>
      </c>
      <c r="C9" s="4" t="str">
        <f t="shared" si="1"/>
        <v>01</v>
      </c>
      <c r="D9" s="4" t="str">
        <f t="shared" si="2"/>
        <v>2019</v>
      </c>
      <c r="E9" s="3" t="str">
        <f t="shared" si="3"/>
        <v>Tuesday</v>
      </c>
      <c r="F9" s="4" t="str">
        <f t="shared" si="4"/>
        <v>N</v>
      </c>
      <c r="G9" s="4" t="str">
        <f>IF(COUNTIF(PublicHols[Date], A9)&gt;0, "Y", "N")</f>
        <v>N</v>
      </c>
      <c r="H9" s="3" t="str">
        <f>IFERROR(_xlfn.XLOOKUP(A9, PublicHols[Date], PublicHols[PH_Name]),"")</f>
        <v/>
      </c>
      <c r="I9" s="4" t="str">
        <f>IF(COUNTIF(EventsAll[Date], A9)&gt;0, "Y", "N")</f>
        <v>N</v>
      </c>
      <c r="J9" s="11" t="str">
        <f>IFERROR(_xlfn.XLOOKUP(A9, EventsAll[Date], EventsAll[Event]),"")</f>
        <v/>
      </c>
      <c r="K9" s="4" t="str" cm="1">
        <f t="array" ref="K9">IF(SUMPRODUCT((A9&gt;=SchoolHols[Start])*(A9&lt;=SchoolHols[End]))&gt;0,"Y","N")</f>
        <v>Y</v>
      </c>
    </row>
    <row r="10" spans="1:11">
      <c r="A10" s="6">
        <f t="shared" si="5"/>
        <v>43474</v>
      </c>
      <c r="B10" s="4" t="str">
        <f t="shared" si="0"/>
        <v>09</v>
      </c>
      <c r="C10" s="4" t="str">
        <f t="shared" si="1"/>
        <v>01</v>
      </c>
      <c r="D10" s="4" t="str">
        <f t="shared" si="2"/>
        <v>2019</v>
      </c>
      <c r="E10" s="3" t="str">
        <f t="shared" si="3"/>
        <v>Wednesday</v>
      </c>
      <c r="F10" s="4" t="str">
        <f t="shared" si="4"/>
        <v>N</v>
      </c>
      <c r="G10" s="4" t="str">
        <f>IF(COUNTIF(PublicHols[Date], A10)&gt;0, "Y", "N")</f>
        <v>N</v>
      </c>
      <c r="H10" s="3" t="str">
        <f>IFERROR(_xlfn.XLOOKUP(A10, PublicHols[Date], PublicHols[PH_Name]),"")</f>
        <v/>
      </c>
      <c r="I10" s="4" t="str">
        <f>IF(COUNTIF(EventsAll[Date], A10)&gt;0, "Y", "N")</f>
        <v>N</v>
      </c>
      <c r="J10" s="11" t="str">
        <f>IFERROR(_xlfn.XLOOKUP(A10, EventsAll[Date], EventsAll[Event]),"")</f>
        <v/>
      </c>
      <c r="K10" s="4" t="str" cm="1">
        <f t="array" ref="K10">IF(SUMPRODUCT((A10&gt;=SchoolHols[Start])*(A10&lt;=SchoolHols[End]))&gt;0,"Y","N")</f>
        <v>N</v>
      </c>
    </row>
    <row r="11" spans="1:11">
      <c r="A11" s="6">
        <f t="shared" si="5"/>
        <v>43475</v>
      </c>
      <c r="B11" s="4" t="str">
        <f t="shared" si="0"/>
        <v>10</v>
      </c>
      <c r="C11" s="4" t="str">
        <f t="shared" si="1"/>
        <v>01</v>
      </c>
      <c r="D11" s="4" t="str">
        <f t="shared" si="2"/>
        <v>2019</v>
      </c>
      <c r="E11" s="3" t="str">
        <f t="shared" si="3"/>
        <v>Thursday</v>
      </c>
      <c r="F11" s="4" t="str">
        <f t="shared" si="4"/>
        <v>N</v>
      </c>
      <c r="G11" s="4" t="str">
        <f>IF(COUNTIF(PublicHols[Date], A11)&gt;0, "Y", "N")</f>
        <v>N</v>
      </c>
      <c r="H11" s="3" t="str">
        <f>IFERROR(_xlfn.XLOOKUP(A11, PublicHols[Date], PublicHols[PH_Name]),"")</f>
        <v/>
      </c>
      <c r="I11" s="4" t="str">
        <f>IF(COUNTIF(EventsAll[Date], A11)&gt;0, "Y", "N")</f>
        <v>N</v>
      </c>
      <c r="J11" s="11" t="str">
        <f>IFERROR(_xlfn.XLOOKUP(A11, EventsAll[Date], EventsAll[Event]),"")</f>
        <v/>
      </c>
      <c r="K11" s="4" t="str" cm="1">
        <f t="array" ref="K11">IF(SUMPRODUCT((A11&gt;=SchoolHols[Start])*(A11&lt;=SchoolHols[End]))&gt;0,"Y","N")</f>
        <v>N</v>
      </c>
    </row>
    <row r="12" spans="1:11">
      <c r="A12" s="6">
        <f t="shared" si="5"/>
        <v>43476</v>
      </c>
      <c r="B12" s="4" t="str">
        <f t="shared" si="0"/>
        <v>11</v>
      </c>
      <c r="C12" s="4" t="str">
        <f t="shared" si="1"/>
        <v>01</v>
      </c>
      <c r="D12" s="4" t="str">
        <f t="shared" si="2"/>
        <v>2019</v>
      </c>
      <c r="E12" s="3" t="str">
        <f t="shared" si="3"/>
        <v>Friday</v>
      </c>
      <c r="F12" s="4" t="str">
        <f t="shared" si="4"/>
        <v>N</v>
      </c>
      <c r="G12" s="4" t="str">
        <f>IF(COUNTIF(PublicHols[Date], A12)&gt;0, "Y", "N")</f>
        <v>N</v>
      </c>
      <c r="H12" s="3" t="str">
        <f>IFERROR(_xlfn.XLOOKUP(A12, PublicHols[Date], PublicHols[PH_Name]),"")</f>
        <v/>
      </c>
      <c r="I12" s="4" t="str">
        <f>IF(COUNTIF(EventsAll[Date], A12)&gt;0, "Y", "N")</f>
        <v>N</v>
      </c>
      <c r="J12" s="11" t="str">
        <f>IFERROR(_xlfn.XLOOKUP(A12, EventsAll[Date], EventsAll[Event]),"")</f>
        <v/>
      </c>
      <c r="K12" s="4" t="str" cm="1">
        <f t="array" ref="K12">IF(SUMPRODUCT((A12&gt;=SchoolHols[Start])*(A12&lt;=SchoolHols[End]))&gt;0,"Y","N")</f>
        <v>N</v>
      </c>
    </row>
    <row r="13" spans="1:11">
      <c r="A13" s="6">
        <f t="shared" si="5"/>
        <v>43477</v>
      </c>
      <c r="B13" s="4" t="str">
        <f t="shared" si="0"/>
        <v>12</v>
      </c>
      <c r="C13" s="4" t="str">
        <f t="shared" si="1"/>
        <v>01</v>
      </c>
      <c r="D13" s="4" t="str">
        <f t="shared" si="2"/>
        <v>2019</v>
      </c>
      <c r="E13" s="3" t="str">
        <f t="shared" si="3"/>
        <v>Saturday</v>
      </c>
      <c r="F13" s="4" t="str">
        <f t="shared" si="4"/>
        <v>N</v>
      </c>
      <c r="G13" s="4" t="str">
        <f>IF(COUNTIF(PublicHols[Date], A13)&gt;0, "Y", "N")</f>
        <v>N</v>
      </c>
      <c r="H13" s="3" t="str">
        <f>IFERROR(_xlfn.XLOOKUP(A13, PublicHols[Date], PublicHols[PH_Name]),"")</f>
        <v/>
      </c>
      <c r="I13" s="4" t="str">
        <f>IF(COUNTIF(EventsAll[Date], A13)&gt;0, "Y", "N")</f>
        <v>N</v>
      </c>
      <c r="J13" s="11" t="str">
        <f>IFERROR(_xlfn.XLOOKUP(A13, EventsAll[Date], EventsAll[Event]),"")</f>
        <v/>
      </c>
      <c r="K13" s="4" t="str" cm="1">
        <f t="array" ref="K13">IF(SUMPRODUCT((A13&gt;=SchoolHols[Start])*(A13&lt;=SchoolHols[End]))&gt;0,"Y","N")</f>
        <v>N</v>
      </c>
    </row>
    <row r="14" spans="1:11">
      <c r="A14" s="6">
        <f t="shared" si="5"/>
        <v>43478</v>
      </c>
      <c r="B14" s="4" t="str">
        <f t="shared" si="0"/>
        <v>13</v>
      </c>
      <c r="C14" s="4" t="str">
        <f t="shared" si="1"/>
        <v>01</v>
      </c>
      <c r="D14" s="4" t="str">
        <f t="shared" si="2"/>
        <v>2019</v>
      </c>
      <c r="E14" s="3" t="str">
        <f t="shared" si="3"/>
        <v>Sunday</v>
      </c>
      <c r="F14" s="4" t="str">
        <f t="shared" si="4"/>
        <v>Y</v>
      </c>
      <c r="G14" s="4" t="str">
        <f>IF(COUNTIF(PublicHols[Date], A14)&gt;0, "Y", "N")</f>
        <v>N</v>
      </c>
      <c r="H14" s="3" t="str">
        <f>IFERROR(_xlfn.XLOOKUP(A14, PublicHols[Date], PublicHols[PH_Name]),"")</f>
        <v/>
      </c>
      <c r="I14" s="4" t="str">
        <f>IF(COUNTIF(EventsAll[Date], A14)&gt;0, "Y", "N")</f>
        <v>N</v>
      </c>
      <c r="J14" s="11" t="str">
        <f>IFERROR(_xlfn.XLOOKUP(A14, EventsAll[Date], EventsAll[Event]),"")</f>
        <v/>
      </c>
      <c r="K14" s="4" t="str" cm="1">
        <f t="array" ref="K14">IF(SUMPRODUCT((A14&gt;=SchoolHols[Start])*(A14&lt;=SchoolHols[End]))&gt;0,"Y","N")</f>
        <v>N</v>
      </c>
    </row>
    <row r="15" spans="1:11">
      <c r="A15" s="6">
        <f t="shared" si="5"/>
        <v>43479</v>
      </c>
      <c r="B15" s="4" t="str">
        <f t="shared" si="0"/>
        <v>14</v>
      </c>
      <c r="C15" s="4" t="str">
        <f t="shared" si="1"/>
        <v>01</v>
      </c>
      <c r="D15" s="4" t="str">
        <f t="shared" si="2"/>
        <v>2019</v>
      </c>
      <c r="E15" s="3" t="str">
        <f t="shared" si="3"/>
        <v>Monday</v>
      </c>
      <c r="F15" s="4" t="str">
        <f t="shared" si="4"/>
        <v>N</v>
      </c>
      <c r="G15" s="4" t="str">
        <f>IF(COUNTIF(PublicHols[Date], A15)&gt;0, "Y", "N")</f>
        <v>N</v>
      </c>
      <c r="H15" s="3" t="str">
        <f>IFERROR(_xlfn.XLOOKUP(A15, PublicHols[Date], PublicHols[PH_Name]),"")</f>
        <v/>
      </c>
      <c r="I15" s="4" t="str">
        <f>IF(COUNTIF(EventsAll[Date], A15)&gt;0, "Y", "N")</f>
        <v>N</v>
      </c>
      <c r="J15" s="11" t="str">
        <f>IFERROR(_xlfn.XLOOKUP(A15, EventsAll[Date], EventsAll[Event]),"")</f>
        <v/>
      </c>
      <c r="K15" s="4" t="str" cm="1">
        <f t="array" ref="K15">IF(SUMPRODUCT((A15&gt;=SchoolHols[Start])*(A15&lt;=SchoolHols[End]))&gt;0,"Y","N")</f>
        <v>N</v>
      </c>
    </row>
    <row r="16" spans="1:11">
      <c r="A16" s="6">
        <f t="shared" si="5"/>
        <v>43480</v>
      </c>
      <c r="B16" s="4" t="str">
        <f t="shared" si="0"/>
        <v>15</v>
      </c>
      <c r="C16" s="4" t="str">
        <f t="shared" si="1"/>
        <v>01</v>
      </c>
      <c r="D16" s="4" t="str">
        <f t="shared" si="2"/>
        <v>2019</v>
      </c>
      <c r="E16" s="3" t="str">
        <f t="shared" si="3"/>
        <v>Tuesday</v>
      </c>
      <c r="F16" s="4" t="str">
        <f t="shared" si="4"/>
        <v>N</v>
      </c>
      <c r="G16" s="4" t="str">
        <f>IF(COUNTIF(PublicHols[Date], A16)&gt;0, "Y", "N")</f>
        <v>N</v>
      </c>
      <c r="H16" s="3" t="str">
        <f>IFERROR(_xlfn.XLOOKUP(A16, PublicHols[Date], PublicHols[PH_Name]),"")</f>
        <v/>
      </c>
      <c r="I16" s="4" t="str">
        <f>IF(COUNTIF(EventsAll[Date], A16)&gt;0, "Y", "N")</f>
        <v>Y</v>
      </c>
      <c r="J16" s="11" t="str">
        <f>IFERROR(_xlfn.XLOOKUP(A16, EventsAll[Date], EventsAll[Event]),"")</f>
        <v xml:space="preserve"> Back to School (Term 1)</v>
      </c>
      <c r="K16" s="4" t="str" cm="1">
        <f t="array" ref="K16">IF(SUMPRODUCT((A16&gt;=SchoolHols[Start])*(A16&lt;=SchoolHols[End]))&gt;0,"Y","N")</f>
        <v>N</v>
      </c>
    </row>
    <row r="17" spans="1:11">
      <c r="A17" s="6">
        <f t="shared" si="5"/>
        <v>43481</v>
      </c>
      <c r="B17" s="4" t="str">
        <f t="shared" si="0"/>
        <v>16</v>
      </c>
      <c r="C17" s="4" t="str">
        <f t="shared" si="1"/>
        <v>01</v>
      </c>
      <c r="D17" s="4" t="str">
        <f t="shared" si="2"/>
        <v>2019</v>
      </c>
      <c r="E17" s="3" t="str">
        <f t="shared" si="3"/>
        <v>Wednesday</v>
      </c>
      <c r="F17" s="4" t="str">
        <f t="shared" si="4"/>
        <v>N</v>
      </c>
      <c r="G17" s="4" t="str">
        <f>IF(COUNTIF(PublicHols[Date], A17)&gt;0, "Y", "N")</f>
        <v>N</v>
      </c>
      <c r="H17" s="3" t="str">
        <f>IFERROR(_xlfn.XLOOKUP(A17, PublicHols[Date], PublicHols[PH_Name]),"")</f>
        <v/>
      </c>
      <c r="I17" s="4" t="str">
        <f>IF(COUNTIF(EventsAll[Date], A17)&gt;0, "Y", "N")</f>
        <v>N</v>
      </c>
      <c r="J17" s="11" t="str">
        <f>IFERROR(_xlfn.XLOOKUP(A17, EventsAll[Date], EventsAll[Event]),"")</f>
        <v/>
      </c>
      <c r="K17" s="4" t="str" cm="1">
        <f t="array" ref="K17">IF(SUMPRODUCT((A17&gt;=SchoolHols[Start])*(A17&lt;=SchoolHols[End]))&gt;0,"Y","N")</f>
        <v>N</v>
      </c>
    </row>
    <row r="18" spans="1:11">
      <c r="A18" s="6">
        <f t="shared" si="5"/>
        <v>43482</v>
      </c>
      <c r="B18" s="4" t="str">
        <f t="shared" si="0"/>
        <v>17</v>
      </c>
      <c r="C18" s="4" t="str">
        <f t="shared" si="1"/>
        <v>01</v>
      </c>
      <c r="D18" s="4" t="str">
        <f t="shared" si="2"/>
        <v>2019</v>
      </c>
      <c r="E18" s="3" t="str">
        <f t="shared" si="3"/>
        <v>Thursday</v>
      </c>
      <c r="F18" s="4" t="str">
        <f t="shared" si="4"/>
        <v>N</v>
      </c>
      <c r="G18" s="4" t="str">
        <f>IF(COUNTIF(PublicHols[Date], A18)&gt;0, "Y", "N")</f>
        <v>N</v>
      </c>
      <c r="H18" s="3" t="str">
        <f>IFERROR(_xlfn.XLOOKUP(A18, PublicHols[Date], PublicHols[PH_Name]),"")</f>
        <v/>
      </c>
      <c r="I18" s="4" t="str">
        <f>IF(COUNTIF(EventsAll[Date], A18)&gt;0, "Y", "N")</f>
        <v>N</v>
      </c>
      <c r="J18" s="11" t="str">
        <f>IFERROR(_xlfn.XLOOKUP(A18, EventsAll[Date], EventsAll[Event]),"")</f>
        <v/>
      </c>
      <c r="K18" s="4" t="str" cm="1">
        <f t="array" ref="K18">IF(SUMPRODUCT((A18&gt;=SchoolHols[Start])*(A18&lt;=SchoolHols[End]))&gt;0,"Y","N")</f>
        <v>N</v>
      </c>
    </row>
    <row r="19" spans="1:11">
      <c r="A19" s="6">
        <f t="shared" si="5"/>
        <v>43483</v>
      </c>
      <c r="B19" s="4" t="str">
        <f t="shared" si="0"/>
        <v>18</v>
      </c>
      <c r="C19" s="4" t="str">
        <f t="shared" si="1"/>
        <v>01</v>
      </c>
      <c r="D19" s="4" t="str">
        <f t="shared" si="2"/>
        <v>2019</v>
      </c>
      <c r="E19" s="3" t="str">
        <f t="shared" si="3"/>
        <v>Friday</v>
      </c>
      <c r="F19" s="4" t="str">
        <f t="shared" si="4"/>
        <v>N</v>
      </c>
      <c r="G19" s="4" t="str">
        <f>IF(COUNTIF(PublicHols[Date], A19)&gt;0, "Y", "N")</f>
        <v>N</v>
      </c>
      <c r="H19" s="3" t="str">
        <f>IFERROR(_xlfn.XLOOKUP(A19, PublicHols[Date], PublicHols[PH_Name]),"")</f>
        <v/>
      </c>
      <c r="I19" s="4" t="str">
        <f>IF(COUNTIF(EventsAll[Date], A19)&gt;0, "Y", "N")</f>
        <v>N</v>
      </c>
      <c r="J19" s="11" t="str">
        <f>IFERROR(_xlfn.XLOOKUP(A19, EventsAll[Date], EventsAll[Event]),"")</f>
        <v/>
      </c>
      <c r="K19" s="4" t="str" cm="1">
        <f t="array" ref="K19">IF(SUMPRODUCT((A19&gt;=SchoolHols[Start])*(A19&lt;=SchoolHols[End]))&gt;0,"Y","N")</f>
        <v>N</v>
      </c>
    </row>
    <row r="20" spans="1:11">
      <c r="A20" s="6">
        <f t="shared" si="5"/>
        <v>43484</v>
      </c>
      <c r="B20" s="4" t="str">
        <f t="shared" si="0"/>
        <v>19</v>
      </c>
      <c r="C20" s="4" t="str">
        <f t="shared" si="1"/>
        <v>01</v>
      </c>
      <c r="D20" s="4" t="str">
        <f t="shared" si="2"/>
        <v>2019</v>
      </c>
      <c r="E20" s="3" t="str">
        <f t="shared" si="3"/>
        <v>Saturday</v>
      </c>
      <c r="F20" s="4" t="str">
        <f t="shared" si="4"/>
        <v>N</v>
      </c>
      <c r="G20" s="4" t="str">
        <f>IF(COUNTIF(PublicHols[Date], A20)&gt;0, "Y", "N")</f>
        <v>N</v>
      </c>
      <c r="H20" s="3" t="str">
        <f>IFERROR(_xlfn.XLOOKUP(A20, PublicHols[Date], PublicHols[PH_Name]),"")</f>
        <v/>
      </c>
      <c r="I20" s="4" t="str">
        <f>IF(COUNTIF(EventsAll[Date], A20)&gt;0, "Y", "N")</f>
        <v>N</v>
      </c>
      <c r="J20" s="11" t="str">
        <f>IFERROR(_xlfn.XLOOKUP(A20, EventsAll[Date], EventsAll[Event]),"")</f>
        <v/>
      </c>
      <c r="K20" s="4" t="str" cm="1">
        <f t="array" ref="K20">IF(SUMPRODUCT((A20&gt;=SchoolHols[Start])*(A20&lt;=SchoolHols[End]))&gt;0,"Y","N")</f>
        <v>N</v>
      </c>
    </row>
    <row r="21" spans="1:11">
      <c r="A21" s="6">
        <f t="shared" si="5"/>
        <v>43485</v>
      </c>
      <c r="B21" s="4" t="str">
        <f t="shared" si="0"/>
        <v>20</v>
      </c>
      <c r="C21" s="4" t="str">
        <f t="shared" si="1"/>
        <v>01</v>
      </c>
      <c r="D21" s="4" t="str">
        <f t="shared" si="2"/>
        <v>2019</v>
      </c>
      <c r="E21" s="3" t="str">
        <f t="shared" si="3"/>
        <v>Sunday</v>
      </c>
      <c r="F21" s="4" t="str">
        <f t="shared" si="4"/>
        <v>Y</v>
      </c>
      <c r="G21" s="4" t="str">
        <f>IF(COUNTIF(PublicHols[Date], A21)&gt;0, "Y", "N")</f>
        <v>N</v>
      </c>
      <c r="H21" s="3" t="str">
        <f>IFERROR(_xlfn.XLOOKUP(A21, PublicHols[Date], PublicHols[PH_Name]),"")</f>
        <v/>
      </c>
      <c r="I21" s="4" t="str">
        <f>IF(COUNTIF(EventsAll[Date], A21)&gt;0, "Y", "N")</f>
        <v>N</v>
      </c>
      <c r="J21" s="11" t="str">
        <f>IFERROR(_xlfn.XLOOKUP(A21, EventsAll[Date], EventsAll[Event]),"")</f>
        <v/>
      </c>
      <c r="K21" s="4" t="str" cm="1">
        <f t="array" ref="K21">IF(SUMPRODUCT((A21&gt;=SchoolHols[Start])*(A21&lt;=SchoolHols[End]))&gt;0,"Y","N")</f>
        <v>N</v>
      </c>
    </row>
    <row r="22" spans="1:11">
      <c r="A22" s="6">
        <f t="shared" si="5"/>
        <v>43486</v>
      </c>
      <c r="B22" s="4" t="str">
        <f t="shared" si="0"/>
        <v>21</v>
      </c>
      <c r="C22" s="4" t="str">
        <f t="shared" si="1"/>
        <v>01</v>
      </c>
      <c r="D22" s="4" t="str">
        <f t="shared" si="2"/>
        <v>2019</v>
      </c>
      <c r="E22" s="3" t="str">
        <f t="shared" si="3"/>
        <v>Monday</v>
      </c>
      <c r="F22" s="4" t="str">
        <f t="shared" si="4"/>
        <v>N</v>
      </c>
      <c r="G22" s="4" t="str">
        <f>IF(COUNTIF(PublicHols[Date], A22)&gt;0, "Y", "N")</f>
        <v>N</v>
      </c>
      <c r="H22" s="3" t="str">
        <f>IFERROR(_xlfn.XLOOKUP(A22, PublicHols[Date], PublicHols[PH_Name]),"")</f>
        <v/>
      </c>
      <c r="I22" s="4" t="str">
        <f>IF(COUNTIF(EventsAll[Date], A22)&gt;0, "Y", "N")</f>
        <v>N</v>
      </c>
      <c r="J22" s="11" t="str">
        <f>IFERROR(_xlfn.XLOOKUP(A22, EventsAll[Date], EventsAll[Event]),"")</f>
        <v/>
      </c>
      <c r="K22" s="4" t="str" cm="1">
        <f t="array" ref="K22">IF(SUMPRODUCT((A22&gt;=SchoolHols[Start])*(A22&lt;=SchoolHols[End]))&gt;0,"Y","N")</f>
        <v>N</v>
      </c>
    </row>
    <row r="23" spans="1:11">
      <c r="A23" s="6">
        <f t="shared" si="5"/>
        <v>43487</v>
      </c>
      <c r="B23" s="4" t="str">
        <f t="shared" si="0"/>
        <v>22</v>
      </c>
      <c r="C23" s="4" t="str">
        <f t="shared" si="1"/>
        <v>01</v>
      </c>
      <c r="D23" s="4" t="str">
        <f t="shared" si="2"/>
        <v>2019</v>
      </c>
      <c r="E23" s="3" t="str">
        <f t="shared" si="3"/>
        <v>Tuesday</v>
      </c>
      <c r="F23" s="4" t="str">
        <f t="shared" si="4"/>
        <v>N</v>
      </c>
      <c r="G23" s="4" t="str">
        <f>IF(COUNTIF(PublicHols[Date], A23)&gt;0, "Y", "N")</f>
        <v>N</v>
      </c>
      <c r="H23" s="3" t="str">
        <f>IFERROR(_xlfn.XLOOKUP(A23, PublicHols[Date], PublicHols[PH_Name]),"")</f>
        <v/>
      </c>
      <c r="I23" s="4" t="str">
        <f>IF(COUNTIF(EventsAll[Date], A23)&gt;0, "Y", "N")</f>
        <v>N</v>
      </c>
      <c r="J23" s="11" t="str">
        <f>IFERROR(_xlfn.XLOOKUP(A23, EventsAll[Date], EventsAll[Event]),"")</f>
        <v/>
      </c>
      <c r="K23" s="4" t="str" cm="1">
        <f t="array" ref="K23">IF(SUMPRODUCT((A23&gt;=SchoolHols[Start])*(A23&lt;=SchoolHols[End]))&gt;0,"Y","N")</f>
        <v>N</v>
      </c>
    </row>
    <row r="24" spans="1:11">
      <c r="A24" s="6">
        <f t="shared" si="5"/>
        <v>43488</v>
      </c>
      <c r="B24" s="4" t="str">
        <f t="shared" si="0"/>
        <v>23</v>
      </c>
      <c r="C24" s="4" t="str">
        <f t="shared" si="1"/>
        <v>01</v>
      </c>
      <c r="D24" s="4" t="str">
        <f t="shared" si="2"/>
        <v>2019</v>
      </c>
      <c r="E24" s="3" t="str">
        <f t="shared" si="3"/>
        <v>Wednesday</v>
      </c>
      <c r="F24" s="4" t="str">
        <f t="shared" si="4"/>
        <v>N</v>
      </c>
      <c r="G24" s="4" t="str">
        <f>IF(COUNTIF(PublicHols[Date], A24)&gt;0, "Y", "N")</f>
        <v>N</v>
      </c>
      <c r="H24" s="3" t="str">
        <f>IFERROR(_xlfn.XLOOKUP(A24, PublicHols[Date], PublicHols[PH_Name]),"")</f>
        <v/>
      </c>
      <c r="I24" s="4" t="str">
        <f>IF(COUNTIF(EventsAll[Date], A24)&gt;0, "Y", "N")</f>
        <v>N</v>
      </c>
      <c r="J24" s="11" t="str">
        <f>IFERROR(_xlfn.XLOOKUP(A24, EventsAll[Date], EventsAll[Event]),"")</f>
        <v/>
      </c>
      <c r="K24" s="4" t="str" cm="1">
        <f t="array" ref="K24">IF(SUMPRODUCT((A24&gt;=SchoolHols[Start])*(A24&lt;=SchoolHols[End]))&gt;0,"Y","N")</f>
        <v>N</v>
      </c>
    </row>
    <row r="25" spans="1:11">
      <c r="A25" s="6">
        <f t="shared" si="5"/>
        <v>43489</v>
      </c>
      <c r="B25" s="4" t="str">
        <f t="shared" si="0"/>
        <v>24</v>
      </c>
      <c r="C25" s="4" t="str">
        <f t="shared" si="1"/>
        <v>01</v>
      </c>
      <c r="D25" s="4" t="str">
        <f t="shared" si="2"/>
        <v>2019</v>
      </c>
      <c r="E25" s="3" t="str">
        <f t="shared" si="3"/>
        <v>Thursday</v>
      </c>
      <c r="F25" s="4" t="str">
        <f t="shared" si="4"/>
        <v>N</v>
      </c>
      <c r="G25" s="4" t="str">
        <f>IF(COUNTIF(PublicHols[Date], A25)&gt;0, "Y", "N")</f>
        <v>N</v>
      </c>
      <c r="H25" s="3" t="str">
        <f>IFERROR(_xlfn.XLOOKUP(A25, PublicHols[Date], PublicHols[PH_Name]),"")</f>
        <v/>
      </c>
      <c r="I25" s="4" t="str">
        <f>IF(COUNTIF(EventsAll[Date], A25)&gt;0, "Y", "N")</f>
        <v>N</v>
      </c>
      <c r="J25" s="11" t="str">
        <f>IFERROR(_xlfn.XLOOKUP(A25, EventsAll[Date], EventsAll[Event]),"")</f>
        <v/>
      </c>
      <c r="K25" s="4" t="str" cm="1">
        <f t="array" ref="K25">IF(SUMPRODUCT((A25&gt;=SchoolHols[Start])*(A25&lt;=SchoolHols[End]))&gt;0,"Y","N")</f>
        <v>N</v>
      </c>
    </row>
    <row r="26" spans="1:11">
      <c r="A26" s="6">
        <f t="shared" si="5"/>
        <v>43490</v>
      </c>
      <c r="B26" s="4" t="str">
        <f t="shared" si="0"/>
        <v>25</v>
      </c>
      <c r="C26" s="4" t="str">
        <f t="shared" si="1"/>
        <v>01</v>
      </c>
      <c r="D26" s="4" t="str">
        <f t="shared" si="2"/>
        <v>2019</v>
      </c>
      <c r="E26" s="3" t="str">
        <f t="shared" si="3"/>
        <v>Friday</v>
      </c>
      <c r="F26" s="4" t="str">
        <f t="shared" si="4"/>
        <v>N</v>
      </c>
      <c r="G26" s="4" t="str">
        <f>IF(COUNTIF(PublicHols[Date], A26)&gt;0, "Y", "N")</f>
        <v>N</v>
      </c>
      <c r="H26" s="3" t="str">
        <f>IFERROR(_xlfn.XLOOKUP(A26, PublicHols[Date], PublicHols[PH_Name]),"")</f>
        <v/>
      </c>
      <c r="I26" s="4" t="str">
        <f>IF(COUNTIF(EventsAll[Date], A26)&gt;0, "Y", "N")</f>
        <v>N</v>
      </c>
      <c r="J26" s="11" t="str">
        <f>IFERROR(_xlfn.XLOOKUP(A26, EventsAll[Date], EventsAll[Event]),"")</f>
        <v/>
      </c>
      <c r="K26" s="4" t="str" cm="1">
        <f t="array" ref="K26">IF(SUMPRODUCT((A26&gt;=SchoolHols[Start])*(A26&lt;=SchoolHols[End]))&gt;0,"Y","N")</f>
        <v>N</v>
      </c>
    </row>
    <row r="27" spans="1:11">
      <c r="A27" s="6">
        <f t="shared" si="5"/>
        <v>43491</v>
      </c>
      <c r="B27" s="4" t="str">
        <f t="shared" si="0"/>
        <v>26</v>
      </c>
      <c r="C27" s="4" t="str">
        <f t="shared" si="1"/>
        <v>01</v>
      </c>
      <c r="D27" s="4" t="str">
        <f t="shared" si="2"/>
        <v>2019</v>
      </c>
      <c r="E27" s="3" t="str">
        <f t="shared" si="3"/>
        <v>Saturday</v>
      </c>
      <c r="F27" s="4" t="str">
        <f t="shared" si="4"/>
        <v>N</v>
      </c>
      <c r="G27" s="4" t="str">
        <f>IF(COUNTIF(PublicHols[Date], A27)&gt;0, "Y", "N")</f>
        <v>N</v>
      </c>
      <c r="H27" s="3" t="str">
        <f>IFERROR(_xlfn.XLOOKUP(A27, PublicHols[Date], PublicHols[PH_Name]),"")</f>
        <v/>
      </c>
      <c r="I27" s="4" t="str">
        <f>IF(COUNTIF(EventsAll[Date], A27)&gt;0, "Y", "N")</f>
        <v>N</v>
      </c>
      <c r="J27" s="11" t="str">
        <f>IFERROR(_xlfn.XLOOKUP(A27, EventsAll[Date], EventsAll[Event]),"")</f>
        <v/>
      </c>
      <c r="K27" s="4" t="str" cm="1">
        <f t="array" ref="K27">IF(SUMPRODUCT((A27&gt;=SchoolHols[Start])*(A27&lt;=SchoolHols[End]))&gt;0,"Y","N")</f>
        <v>N</v>
      </c>
    </row>
    <row r="28" spans="1:11">
      <c r="A28" s="6">
        <f t="shared" si="5"/>
        <v>43492</v>
      </c>
      <c r="B28" s="4" t="str">
        <f t="shared" si="0"/>
        <v>27</v>
      </c>
      <c r="C28" s="4" t="str">
        <f t="shared" si="1"/>
        <v>01</v>
      </c>
      <c r="D28" s="4" t="str">
        <f t="shared" si="2"/>
        <v>2019</v>
      </c>
      <c r="E28" s="3" t="str">
        <f t="shared" si="3"/>
        <v>Sunday</v>
      </c>
      <c r="F28" s="4" t="str">
        <f t="shared" si="4"/>
        <v>Y</v>
      </c>
      <c r="G28" s="4" t="str">
        <f>IF(COUNTIF(PublicHols[Date], A28)&gt;0, "Y", "N")</f>
        <v>N</v>
      </c>
      <c r="H28" s="3" t="str">
        <f>IFERROR(_xlfn.XLOOKUP(A28, PublicHols[Date], PublicHols[PH_Name]),"")</f>
        <v/>
      </c>
      <c r="I28" s="4" t="str">
        <f>IF(COUNTIF(EventsAll[Date], A28)&gt;0, "Y", "N")</f>
        <v>N</v>
      </c>
      <c r="J28" s="11" t="str">
        <f>IFERROR(_xlfn.XLOOKUP(A28, EventsAll[Date], EventsAll[Event]),"")</f>
        <v/>
      </c>
      <c r="K28" s="4" t="str" cm="1">
        <f t="array" ref="K28">IF(SUMPRODUCT((A28&gt;=SchoolHols[Start])*(A28&lt;=SchoolHols[End]))&gt;0,"Y","N")</f>
        <v>N</v>
      </c>
    </row>
    <row r="29" spans="1:11">
      <c r="A29" s="6">
        <f t="shared" si="5"/>
        <v>43493</v>
      </c>
      <c r="B29" s="4" t="str">
        <f t="shared" si="0"/>
        <v>28</v>
      </c>
      <c r="C29" s="4" t="str">
        <f t="shared" si="1"/>
        <v>01</v>
      </c>
      <c r="D29" s="4" t="str">
        <f t="shared" si="2"/>
        <v>2019</v>
      </c>
      <c r="E29" s="3" t="str">
        <f t="shared" si="3"/>
        <v>Monday</v>
      </c>
      <c r="F29" s="4" t="str">
        <f t="shared" si="4"/>
        <v>N</v>
      </c>
      <c r="G29" s="4" t="str">
        <f>IF(COUNTIF(PublicHols[Date], A29)&gt;0, "Y", "N")</f>
        <v>N</v>
      </c>
      <c r="H29" s="3" t="str">
        <f>IFERROR(_xlfn.XLOOKUP(A29, PublicHols[Date], PublicHols[PH_Name]),"")</f>
        <v/>
      </c>
      <c r="I29" s="4" t="str">
        <f>IF(COUNTIF(EventsAll[Date], A29)&gt;0, "Y", "N")</f>
        <v>N</v>
      </c>
      <c r="J29" s="11" t="str">
        <f>IFERROR(_xlfn.XLOOKUP(A29, EventsAll[Date], EventsAll[Event]),"")</f>
        <v/>
      </c>
      <c r="K29" s="4" t="str" cm="1">
        <f t="array" ref="K29">IF(SUMPRODUCT((A29&gt;=SchoolHols[Start])*(A29&lt;=SchoolHols[End]))&gt;0,"Y","N")</f>
        <v>N</v>
      </c>
    </row>
    <row r="30" spans="1:11">
      <c r="A30" s="6">
        <f t="shared" si="5"/>
        <v>43494</v>
      </c>
      <c r="B30" s="4" t="str">
        <f t="shared" si="0"/>
        <v>29</v>
      </c>
      <c r="C30" s="4" t="str">
        <f t="shared" si="1"/>
        <v>01</v>
      </c>
      <c r="D30" s="4" t="str">
        <f t="shared" si="2"/>
        <v>2019</v>
      </c>
      <c r="E30" s="3" t="str">
        <f t="shared" si="3"/>
        <v>Tuesday</v>
      </c>
      <c r="F30" s="4" t="str">
        <f t="shared" si="4"/>
        <v>N</v>
      </c>
      <c r="G30" s="4" t="str">
        <f>IF(COUNTIF(PublicHols[Date], A30)&gt;0, "Y", "N")</f>
        <v>N</v>
      </c>
      <c r="H30" s="3" t="str">
        <f>IFERROR(_xlfn.XLOOKUP(A30, PublicHols[Date], PublicHols[PH_Name]),"")</f>
        <v/>
      </c>
      <c r="I30" s="4" t="str">
        <f>IF(COUNTIF(EventsAll[Date], A30)&gt;0, "Y", "N")</f>
        <v>N</v>
      </c>
      <c r="J30" s="11" t="str">
        <f>IFERROR(_xlfn.XLOOKUP(A30, EventsAll[Date], EventsAll[Event]),"")</f>
        <v/>
      </c>
      <c r="K30" s="4" t="str" cm="1">
        <f t="array" ref="K30">IF(SUMPRODUCT((A30&gt;=SchoolHols[Start])*(A30&lt;=SchoolHols[End]))&gt;0,"Y","N")</f>
        <v>N</v>
      </c>
    </row>
    <row r="31" spans="1:11">
      <c r="A31" s="6">
        <f t="shared" si="5"/>
        <v>43495</v>
      </c>
      <c r="B31" s="4" t="str">
        <f t="shared" si="0"/>
        <v>30</v>
      </c>
      <c r="C31" s="4" t="str">
        <f t="shared" si="1"/>
        <v>01</v>
      </c>
      <c r="D31" s="4" t="str">
        <f t="shared" si="2"/>
        <v>2019</v>
      </c>
      <c r="E31" s="3" t="str">
        <f t="shared" si="3"/>
        <v>Wednesday</v>
      </c>
      <c r="F31" s="4" t="str">
        <f t="shared" si="4"/>
        <v>N</v>
      </c>
      <c r="G31" s="4" t="str">
        <f>IF(COUNTIF(PublicHols[Date], A31)&gt;0, "Y", "N")</f>
        <v>N</v>
      </c>
      <c r="H31" s="3" t="str">
        <f>IFERROR(_xlfn.XLOOKUP(A31, PublicHols[Date], PublicHols[PH_Name]),"")</f>
        <v/>
      </c>
      <c r="I31" s="4" t="str">
        <f>IF(COUNTIF(EventsAll[Date], A31)&gt;0, "Y", "N")</f>
        <v>N</v>
      </c>
      <c r="J31" s="11" t="str">
        <f>IFERROR(_xlfn.XLOOKUP(A31, EventsAll[Date], EventsAll[Event]),"")</f>
        <v/>
      </c>
      <c r="K31" s="4" t="str" cm="1">
        <f t="array" ref="K31">IF(SUMPRODUCT((A31&gt;=SchoolHols[Start])*(A31&lt;=SchoolHols[End]))&gt;0,"Y","N")</f>
        <v>N</v>
      </c>
    </row>
    <row r="32" spans="1:11">
      <c r="A32" s="6">
        <f t="shared" si="5"/>
        <v>43496</v>
      </c>
      <c r="B32" s="4" t="str">
        <f t="shared" si="0"/>
        <v>31</v>
      </c>
      <c r="C32" s="4" t="str">
        <f t="shared" si="1"/>
        <v>01</v>
      </c>
      <c r="D32" s="4" t="str">
        <f t="shared" si="2"/>
        <v>2019</v>
      </c>
      <c r="E32" s="3" t="str">
        <f t="shared" si="3"/>
        <v>Thursday</v>
      </c>
      <c r="F32" s="4" t="str">
        <f t="shared" si="4"/>
        <v>N</v>
      </c>
      <c r="G32" s="4" t="str">
        <f>IF(COUNTIF(PublicHols[Date], A32)&gt;0, "Y", "N")</f>
        <v>N</v>
      </c>
      <c r="H32" s="3" t="str">
        <f>IFERROR(_xlfn.XLOOKUP(A32, PublicHols[Date], PublicHols[PH_Name]),"")</f>
        <v/>
      </c>
      <c r="I32" s="4" t="str">
        <f>IF(COUNTIF(EventsAll[Date], A32)&gt;0, "Y", "N")</f>
        <v>N</v>
      </c>
      <c r="J32" s="11" t="str">
        <f>IFERROR(_xlfn.XLOOKUP(A32, EventsAll[Date], EventsAll[Event]),"")</f>
        <v/>
      </c>
      <c r="K32" s="4" t="str" cm="1">
        <f t="array" ref="K32">IF(SUMPRODUCT((A32&gt;=SchoolHols[Start])*(A32&lt;=SchoolHols[End]))&gt;0,"Y","N")</f>
        <v>N</v>
      </c>
    </row>
    <row r="33" spans="1:11">
      <c r="A33" s="6">
        <f t="shared" si="5"/>
        <v>43497</v>
      </c>
      <c r="B33" s="4" t="str">
        <f t="shared" si="0"/>
        <v>01</v>
      </c>
      <c r="C33" s="4" t="str">
        <f t="shared" si="1"/>
        <v>02</v>
      </c>
      <c r="D33" s="4" t="str">
        <f t="shared" si="2"/>
        <v>2019</v>
      </c>
      <c r="E33" s="3" t="str">
        <f t="shared" si="3"/>
        <v>Friday</v>
      </c>
      <c r="F33" s="4" t="str">
        <f t="shared" si="4"/>
        <v>N</v>
      </c>
      <c r="G33" s="4" t="str">
        <f>IF(COUNTIF(PublicHols[Date], A33)&gt;0, "Y", "N")</f>
        <v>N</v>
      </c>
      <c r="H33" s="3" t="str">
        <f>IFERROR(_xlfn.XLOOKUP(A33, PublicHols[Date], PublicHols[PH_Name]),"")</f>
        <v/>
      </c>
      <c r="I33" s="4" t="str">
        <f>IF(COUNTIF(EventsAll[Date], A33)&gt;0, "Y", "N")</f>
        <v>N</v>
      </c>
      <c r="J33" s="11" t="str">
        <f>IFERROR(_xlfn.XLOOKUP(A33, EventsAll[Date], EventsAll[Event]),"")</f>
        <v/>
      </c>
      <c r="K33" s="4" t="str" cm="1">
        <f t="array" ref="K33">IF(SUMPRODUCT((A33&gt;=SchoolHols[Start])*(A33&lt;=SchoolHols[End]))&gt;0,"Y","N")</f>
        <v>N</v>
      </c>
    </row>
    <row r="34" spans="1:11">
      <c r="A34" s="6">
        <f t="shared" si="5"/>
        <v>43498</v>
      </c>
      <c r="B34" s="4" t="str">
        <f t="shared" si="0"/>
        <v>02</v>
      </c>
      <c r="C34" s="4" t="str">
        <f t="shared" si="1"/>
        <v>02</v>
      </c>
      <c r="D34" s="4" t="str">
        <f t="shared" si="2"/>
        <v>2019</v>
      </c>
      <c r="E34" s="3" t="str">
        <f t="shared" si="3"/>
        <v>Saturday</v>
      </c>
      <c r="F34" s="4" t="str">
        <f t="shared" si="4"/>
        <v>N</v>
      </c>
      <c r="G34" s="4" t="str">
        <f>IF(COUNTIF(PublicHols[Date], A34)&gt;0, "Y", "N")</f>
        <v>N</v>
      </c>
      <c r="H34" s="3" t="str">
        <f>IFERROR(_xlfn.XLOOKUP(A34, PublicHols[Date], PublicHols[PH_Name]),"")</f>
        <v/>
      </c>
      <c r="I34" s="4" t="str">
        <f>IF(COUNTIF(EventsAll[Date], A34)&gt;0, "Y", "N")</f>
        <v>N</v>
      </c>
      <c r="J34" s="11" t="str">
        <f>IFERROR(_xlfn.XLOOKUP(A34, EventsAll[Date], EventsAll[Event]),"")</f>
        <v/>
      </c>
      <c r="K34" s="4" t="str" cm="1">
        <f t="array" ref="K34">IF(SUMPRODUCT((A34&gt;=SchoolHols[Start])*(A34&lt;=SchoolHols[End]))&gt;0,"Y","N")</f>
        <v>N</v>
      </c>
    </row>
    <row r="35" spans="1:11">
      <c r="A35" s="6">
        <f t="shared" si="5"/>
        <v>43499</v>
      </c>
      <c r="B35" s="4" t="str">
        <f t="shared" si="0"/>
        <v>03</v>
      </c>
      <c r="C35" s="4" t="str">
        <f t="shared" si="1"/>
        <v>02</v>
      </c>
      <c r="D35" s="4" t="str">
        <f t="shared" si="2"/>
        <v>2019</v>
      </c>
      <c r="E35" s="3" t="str">
        <f t="shared" si="3"/>
        <v>Sunday</v>
      </c>
      <c r="F35" s="4" t="str">
        <f t="shared" si="4"/>
        <v>Y</v>
      </c>
      <c r="G35" s="4" t="str">
        <f>IF(COUNTIF(PublicHols[Date], A35)&gt;0, "Y", "N")</f>
        <v>N</v>
      </c>
      <c r="H35" s="3" t="str">
        <f>IFERROR(_xlfn.XLOOKUP(A35, PublicHols[Date], PublicHols[PH_Name]),"")</f>
        <v/>
      </c>
      <c r="I35" s="4" t="str">
        <f>IF(COUNTIF(EventsAll[Date], A35)&gt;0, "Y", "N")</f>
        <v>N</v>
      </c>
      <c r="J35" s="11" t="str">
        <f>IFERROR(_xlfn.XLOOKUP(A35, EventsAll[Date], EventsAll[Event]),"")</f>
        <v/>
      </c>
      <c r="K35" s="4" t="str" cm="1">
        <f t="array" ref="K35">IF(SUMPRODUCT((A35&gt;=SchoolHols[Start])*(A35&lt;=SchoolHols[End]))&gt;0,"Y","N")</f>
        <v>N</v>
      </c>
    </row>
    <row r="36" spans="1:11">
      <c r="A36" s="6">
        <f t="shared" si="5"/>
        <v>43500</v>
      </c>
      <c r="B36" s="4" t="str">
        <f t="shared" si="0"/>
        <v>04</v>
      </c>
      <c r="C36" s="4" t="str">
        <f t="shared" si="1"/>
        <v>02</v>
      </c>
      <c r="D36" s="4" t="str">
        <f t="shared" si="2"/>
        <v>2019</v>
      </c>
      <c r="E36" s="3" t="str">
        <f t="shared" si="3"/>
        <v>Monday</v>
      </c>
      <c r="F36" s="4" t="str">
        <f t="shared" si="4"/>
        <v>N</v>
      </c>
      <c r="G36" s="4" t="str">
        <f>IF(COUNTIF(PublicHols[Date], A36)&gt;0, "Y", "N")</f>
        <v>N</v>
      </c>
      <c r="H36" s="3" t="str">
        <f>IFERROR(_xlfn.XLOOKUP(A36, PublicHols[Date], PublicHols[PH_Name]),"")</f>
        <v/>
      </c>
      <c r="I36" s="4" t="str">
        <f>IF(COUNTIF(EventsAll[Date], A36)&gt;0, "Y", "N")</f>
        <v>N</v>
      </c>
      <c r="J36" s="11" t="str">
        <f>IFERROR(_xlfn.XLOOKUP(A36, EventsAll[Date], EventsAll[Event]),"")</f>
        <v/>
      </c>
      <c r="K36" s="4" t="str" cm="1">
        <f t="array" ref="K36">IF(SUMPRODUCT((A36&gt;=SchoolHols[Start])*(A36&lt;=SchoolHols[End]))&gt;0,"Y","N")</f>
        <v>N</v>
      </c>
    </row>
    <row r="37" spans="1:11">
      <c r="A37" s="6">
        <f t="shared" si="5"/>
        <v>43501</v>
      </c>
      <c r="B37" s="4" t="str">
        <f t="shared" si="0"/>
        <v>05</v>
      </c>
      <c r="C37" s="4" t="str">
        <f t="shared" si="1"/>
        <v>02</v>
      </c>
      <c r="D37" s="4" t="str">
        <f t="shared" si="2"/>
        <v>2019</v>
      </c>
      <c r="E37" s="3" t="str">
        <f t="shared" si="3"/>
        <v>Tuesday</v>
      </c>
      <c r="F37" s="4" t="str">
        <f t="shared" si="4"/>
        <v>N</v>
      </c>
      <c r="G37" s="4" t="str">
        <f>IF(COUNTIF(PublicHols[Date], A37)&gt;0, "Y", "N")</f>
        <v>N</v>
      </c>
      <c r="H37" s="3" t="str">
        <f>IFERROR(_xlfn.XLOOKUP(A37, PublicHols[Date], PublicHols[PH_Name]),"")</f>
        <v/>
      </c>
      <c r="I37" s="4" t="str">
        <f>IF(COUNTIF(EventsAll[Date], A37)&gt;0, "Y", "N")</f>
        <v>N</v>
      </c>
      <c r="J37" s="11" t="str">
        <f>IFERROR(_xlfn.XLOOKUP(A37, EventsAll[Date], EventsAll[Event]),"")</f>
        <v/>
      </c>
      <c r="K37" s="4" t="str" cm="1">
        <f t="array" ref="K37">IF(SUMPRODUCT((A37&gt;=SchoolHols[Start])*(A37&lt;=SchoolHols[End]))&gt;0,"Y","N")</f>
        <v>N</v>
      </c>
    </row>
    <row r="38" spans="1:11">
      <c r="A38" s="6">
        <f t="shared" si="5"/>
        <v>43502</v>
      </c>
      <c r="B38" s="4" t="str">
        <f t="shared" si="0"/>
        <v>06</v>
      </c>
      <c r="C38" s="4" t="str">
        <f t="shared" si="1"/>
        <v>02</v>
      </c>
      <c r="D38" s="4" t="str">
        <f t="shared" si="2"/>
        <v>2019</v>
      </c>
      <c r="E38" s="3" t="str">
        <f t="shared" si="3"/>
        <v>Wednesday</v>
      </c>
      <c r="F38" s="4" t="str">
        <f t="shared" si="4"/>
        <v>N</v>
      </c>
      <c r="G38" s="4" t="str">
        <f>IF(COUNTIF(PublicHols[Date], A38)&gt;0, "Y", "N")</f>
        <v>N</v>
      </c>
      <c r="H38" s="3" t="str">
        <f>IFERROR(_xlfn.XLOOKUP(A38, PublicHols[Date], PublicHols[PH_Name]),"")</f>
        <v/>
      </c>
      <c r="I38" s="4" t="str">
        <f>IF(COUNTIF(EventsAll[Date], A38)&gt;0, "Y", "N")</f>
        <v>N</v>
      </c>
      <c r="J38" s="11" t="str">
        <f>IFERROR(_xlfn.XLOOKUP(A38, EventsAll[Date], EventsAll[Event]),"")</f>
        <v/>
      </c>
      <c r="K38" s="4" t="str" cm="1">
        <f t="array" ref="K38">IF(SUMPRODUCT((A38&gt;=SchoolHols[Start])*(A38&lt;=SchoolHols[End]))&gt;0,"Y","N")</f>
        <v>N</v>
      </c>
    </row>
    <row r="39" spans="1:11">
      <c r="A39" s="6">
        <f t="shared" si="5"/>
        <v>43503</v>
      </c>
      <c r="B39" s="4" t="str">
        <f t="shared" si="0"/>
        <v>07</v>
      </c>
      <c r="C39" s="4" t="str">
        <f t="shared" si="1"/>
        <v>02</v>
      </c>
      <c r="D39" s="4" t="str">
        <f t="shared" si="2"/>
        <v>2019</v>
      </c>
      <c r="E39" s="3" t="str">
        <f t="shared" si="3"/>
        <v>Thursday</v>
      </c>
      <c r="F39" s="4" t="str">
        <f t="shared" si="4"/>
        <v>N</v>
      </c>
      <c r="G39" s="4" t="str">
        <f>IF(COUNTIF(PublicHols[Date], A39)&gt;0, "Y", "N")</f>
        <v>N</v>
      </c>
      <c r="H39" s="3" t="str">
        <f>IFERROR(_xlfn.XLOOKUP(A39, PublicHols[Date], PublicHols[PH_Name]),"")</f>
        <v/>
      </c>
      <c r="I39" s="4" t="str">
        <f>IF(COUNTIF(EventsAll[Date], A39)&gt;0, "Y", "N")</f>
        <v>N</v>
      </c>
      <c r="J39" s="11" t="str">
        <f>IFERROR(_xlfn.XLOOKUP(A39, EventsAll[Date], EventsAll[Event]),"")</f>
        <v/>
      </c>
      <c r="K39" s="4" t="str" cm="1">
        <f t="array" ref="K39">IF(SUMPRODUCT((A39&gt;=SchoolHols[Start])*(A39&lt;=SchoolHols[End]))&gt;0,"Y","N")</f>
        <v>N</v>
      </c>
    </row>
    <row r="40" spans="1:11">
      <c r="A40" s="6">
        <f t="shared" si="5"/>
        <v>43504</v>
      </c>
      <c r="B40" s="4" t="str">
        <f t="shared" si="0"/>
        <v>08</v>
      </c>
      <c r="C40" s="4" t="str">
        <f t="shared" si="1"/>
        <v>02</v>
      </c>
      <c r="D40" s="4" t="str">
        <f t="shared" si="2"/>
        <v>2019</v>
      </c>
      <c r="E40" s="3" t="str">
        <f t="shared" si="3"/>
        <v>Friday</v>
      </c>
      <c r="F40" s="4" t="str">
        <f t="shared" si="4"/>
        <v>N</v>
      </c>
      <c r="G40" s="4" t="str">
        <f>IF(COUNTIF(PublicHols[Date], A40)&gt;0, "Y", "N")</f>
        <v>N</v>
      </c>
      <c r="H40" s="3" t="str">
        <f>IFERROR(_xlfn.XLOOKUP(A40, PublicHols[Date], PublicHols[PH_Name]),"")</f>
        <v/>
      </c>
      <c r="I40" s="4" t="str">
        <f>IF(COUNTIF(EventsAll[Date], A40)&gt;0, "Y", "N")</f>
        <v>N</v>
      </c>
      <c r="J40" s="11" t="str">
        <f>IFERROR(_xlfn.XLOOKUP(A40, EventsAll[Date], EventsAll[Event]),"")</f>
        <v/>
      </c>
      <c r="K40" s="4" t="str" cm="1">
        <f t="array" ref="K40">IF(SUMPRODUCT((A40&gt;=SchoolHols[Start])*(A40&lt;=SchoolHols[End]))&gt;0,"Y","N")</f>
        <v>N</v>
      </c>
    </row>
    <row r="41" spans="1:11">
      <c r="A41" s="6">
        <f t="shared" si="5"/>
        <v>43505</v>
      </c>
      <c r="B41" s="4" t="str">
        <f t="shared" si="0"/>
        <v>09</v>
      </c>
      <c r="C41" s="4" t="str">
        <f t="shared" si="1"/>
        <v>02</v>
      </c>
      <c r="D41" s="4" t="str">
        <f t="shared" si="2"/>
        <v>2019</v>
      </c>
      <c r="E41" s="3" t="str">
        <f t="shared" si="3"/>
        <v>Saturday</v>
      </c>
      <c r="F41" s="4" t="str">
        <f t="shared" si="4"/>
        <v>N</v>
      </c>
      <c r="G41" s="4" t="str">
        <f>IF(COUNTIF(PublicHols[Date], A41)&gt;0, "Y", "N")</f>
        <v>N</v>
      </c>
      <c r="H41" s="3" t="str">
        <f>IFERROR(_xlfn.XLOOKUP(A41, PublicHols[Date], PublicHols[PH_Name]),"")</f>
        <v/>
      </c>
      <c r="I41" s="4" t="str">
        <f>IF(COUNTIF(EventsAll[Date], A41)&gt;0, "Y", "N")</f>
        <v>N</v>
      </c>
      <c r="J41" s="11" t="str">
        <f>IFERROR(_xlfn.XLOOKUP(A41, EventsAll[Date], EventsAll[Event]),"")</f>
        <v/>
      </c>
      <c r="K41" s="4" t="str" cm="1">
        <f t="array" ref="K41">IF(SUMPRODUCT((A41&gt;=SchoolHols[Start])*(A41&lt;=SchoolHols[End]))&gt;0,"Y","N")</f>
        <v>N</v>
      </c>
    </row>
    <row r="42" spans="1:11">
      <c r="A42" s="6">
        <f t="shared" si="5"/>
        <v>43506</v>
      </c>
      <c r="B42" s="4" t="str">
        <f t="shared" si="0"/>
        <v>10</v>
      </c>
      <c r="C42" s="4" t="str">
        <f t="shared" si="1"/>
        <v>02</v>
      </c>
      <c r="D42" s="4" t="str">
        <f t="shared" si="2"/>
        <v>2019</v>
      </c>
      <c r="E42" s="3" t="str">
        <f t="shared" si="3"/>
        <v>Sunday</v>
      </c>
      <c r="F42" s="4" t="str">
        <f t="shared" si="4"/>
        <v>Y</v>
      </c>
      <c r="G42" s="4" t="str">
        <f>IF(COUNTIF(PublicHols[Date], A42)&gt;0, "Y", "N")</f>
        <v>N</v>
      </c>
      <c r="H42" s="3" t="str">
        <f>IFERROR(_xlfn.XLOOKUP(A42, PublicHols[Date], PublicHols[PH_Name]),"")</f>
        <v/>
      </c>
      <c r="I42" s="4" t="str">
        <f>IF(COUNTIF(EventsAll[Date], A42)&gt;0, "Y", "N")</f>
        <v>N</v>
      </c>
      <c r="J42" s="11" t="str">
        <f>IFERROR(_xlfn.XLOOKUP(A42, EventsAll[Date], EventsAll[Event]),"")</f>
        <v/>
      </c>
      <c r="K42" s="4" t="str" cm="1">
        <f t="array" ref="K42">IF(SUMPRODUCT((A42&gt;=SchoolHols[Start])*(A42&lt;=SchoolHols[End]))&gt;0,"Y","N")</f>
        <v>N</v>
      </c>
    </row>
    <row r="43" spans="1:11">
      <c r="A43" s="6">
        <f t="shared" si="5"/>
        <v>43507</v>
      </c>
      <c r="B43" s="4" t="str">
        <f t="shared" si="0"/>
        <v>11</v>
      </c>
      <c r="C43" s="4" t="str">
        <f t="shared" si="1"/>
        <v>02</v>
      </c>
      <c r="D43" s="4" t="str">
        <f t="shared" si="2"/>
        <v>2019</v>
      </c>
      <c r="E43" s="3" t="str">
        <f t="shared" si="3"/>
        <v>Monday</v>
      </c>
      <c r="F43" s="4" t="str">
        <f t="shared" si="4"/>
        <v>N</v>
      </c>
      <c r="G43" s="4" t="str">
        <f>IF(COUNTIF(PublicHols[Date], A43)&gt;0, "Y", "N")</f>
        <v>N</v>
      </c>
      <c r="H43" s="3" t="str">
        <f>IFERROR(_xlfn.XLOOKUP(A43, PublicHols[Date], PublicHols[PH_Name]),"")</f>
        <v/>
      </c>
      <c r="I43" s="4" t="str">
        <f>IF(COUNTIF(EventsAll[Date], A43)&gt;0, "Y", "N")</f>
        <v>N</v>
      </c>
      <c r="J43" s="11" t="str">
        <f>IFERROR(_xlfn.XLOOKUP(A43, EventsAll[Date], EventsAll[Event]),"")</f>
        <v/>
      </c>
      <c r="K43" s="4" t="str" cm="1">
        <f t="array" ref="K43">IF(SUMPRODUCT((A43&gt;=SchoolHols[Start])*(A43&lt;=SchoolHols[End]))&gt;0,"Y","N")</f>
        <v>N</v>
      </c>
    </row>
    <row r="44" spans="1:11">
      <c r="A44" s="6">
        <f t="shared" si="5"/>
        <v>43508</v>
      </c>
      <c r="B44" s="4" t="str">
        <f t="shared" si="0"/>
        <v>12</v>
      </c>
      <c r="C44" s="4" t="str">
        <f t="shared" si="1"/>
        <v>02</v>
      </c>
      <c r="D44" s="4" t="str">
        <f t="shared" si="2"/>
        <v>2019</v>
      </c>
      <c r="E44" s="3" t="str">
        <f t="shared" si="3"/>
        <v>Tuesday</v>
      </c>
      <c r="F44" s="4" t="str">
        <f t="shared" si="4"/>
        <v>N</v>
      </c>
      <c r="G44" s="4" t="str">
        <f>IF(COUNTIF(PublicHols[Date], A44)&gt;0, "Y", "N")</f>
        <v>N</v>
      </c>
      <c r="H44" s="3" t="str">
        <f>IFERROR(_xlfn.XLOOKUP(A44, PublicHols[Date], PublicHols[PH_Name]),"")</f>
        <v/>
      </c>
      <c r="I44" s="4" t="str">
        <f>IF(COUNTIF(EventsAll[Date], A44)&gt;0, "Y", "N")</f>
        <v>N</v>
      </c>
      <c r="J44" s="11" t="str">
        <f>IFERROR(_xlfn.XLOOKUP(A44, EventsAll[Date], EventsAll[Event]),"")</f>
        <v/>
      </c>
      <c r="K44" s="4" t="str" cm="1">
        <f t="array" ref="K44">IF(SUMPRODUCT((A44&gt;=SchoolHols[Start])*(A44&lt;=SchoolHols[End]))&gt;0,"Y","N")</f>
        <v>N</v>
      </c>
    </row>
    <row r="45" spans="1:11">
      <c r="A45" s="6">
        <f t="shared" si="5"/>
        <v>43509</v>
      </c>
      <c r="B45" s="4" t="str">
        <f t="shared" si="0"/>
        <v>13</v>
      </c>
      <c r="C45" s="4" t="str">
        <f t="shared" si="1"/>
        <v>02</v>
      </c>
      <c r="D45" s="4" t="str">
        <f t="shared" si="2"/>
        <v>2019</v>
      </c>
      <c r="E45" s="3" t="str">
        <f t="shared" si="3"/>
        <v>Wednesday</v>
      </c>
      <c r="F45" s="4" t="str">
        <f t="shared" si="4"/>
        <v>N</v>
      </c>
      <c r="G45" s="4" t="str">
        <f>IF(COUNTIF(PublicHols[Date], A45)&gt;0, "Y", "N")</f>
        <v>N</v>
      </c>
      <c r="H45" s="3" t="str">
        <f>IFERROR(_xlfn.XLOOKUP(A45, PublicHols[Date], PublicHols[PH_Name]),"")</f>
        <v/>
      </c>
      <c r="I45" s="4" t="str">
        <f>IF(COUNTIF(EventsAll[Date], A45)&gt;0, "Y", "N")</f>
        <v>N</v>
      </c>
      <c r="J45" s="11" t="str">
        <f>IFERROR(_xlfn.XLOOKUP(A45, EventsAll[Date], EventsAll[Event]),"")</f>
        <v/>
      </c>
      <c r="K45" s="4" t="str" cm="1">
        <f t="array" ref="K45">IF(SUMPRODUCT((A45&gt;=SchoolHols[Start])*(A45&lt;=SchoolHols[End]))&gt;0,"Y","N")</f>
        <v>N</v>
      </c>
    </row>
    <row r="46" spans="1:11">
      <c r="A46" s="6">
        <f t="shared" si="5"/>
        <v>43510</v>
      </c>
      <c r="B46" s="4" t="str">
        <f t="shared" si="0"/>
        <v>14</v>
      </c>
      <c r="C46" s="4" t="str">
        <f t="shared" si="1"/>
        <v>02</v>
      </c>
      <c r="D46" s="4" t="str">
        <f t="shared" si="2"/>
        <v>2019</v>
      </c>
      <c r="E46" s="3" t="str">
        <f t="shared" si="3"/>
        <v>Thursday</v>
      </c>
      <c r="F46" s="4" t="str">
        <f t="shared" si="4"/>
        <v>N</v>
      </c>
      <c r="G46" s="4" t="str">
        <f>IF(COUNTIF(PublicHols[Date], A46)&gt;0, "Y", "N")</f>
        <v>N</v>
      </c>
      <c r="H46" s="3" t="str">
        <f>IFERROR(_xlfn.XLOOKUP(A46, PublicHols[Date], PublicHols[PH_Name]),"")</f>
        <v/>
      </c>
      <c r="I46" s="4" t="str">
        <f>IF(COUNTIF(EventsAll[Date], A46)&gt;0, "Y", "N")</f>
        <v>Y</v>
      </c>
      <c r="J46" s="11" t="str">
        <f>IFERROR(_xlfn.XLOOKUP(A46, EventsAll[Date], EventsAll[Event]),"")</f>
        <v xml:space="preserve"> Valentine's Day</v>
      </c>
      <c r="K46" s="4" t="str" cm="1">
        <f t="array" ref="K46">IF(SUMPRODUCT((A46&gt;=SchoolHols[Start])*(A46&lt;=SchoolHols[End]))&gt;0,"Y","N")</f>
        <v>N</v>
      </c>
    </row>
    <row r="47" spans="1:11">
      <c r="A47" s="6">
        <f t="shared" si="5"/>
        <v>43511</v>
      </c>
      <c r="B47" s="4" t="str">
        <f t="shared" si="0"/>
        <v>15</v>
      </c>
      <c r="C47" s="4" t="str">
        <f t="shared" si="1"/>
        <v>02</v>
      </c>
      <c r="D47" s="4" t="str">
        <f t="shared" si="2"/>
        <v>2019</v>
      </c>
      <c r="E47" s="3" t="str">
        <f t="shared" si="3"/>
        <v>Friday</v>
      </c>
      <c r="F47" s="4" t="str">
        <f t="shared" si="4"/>
        <v>N</v>
      </c>
      <c r="G47" s="4" t="str">
        <f>IF(COUNTIF(PublicHols[Date], A47)&gt;0, "Y", "N")</f>
        <v>N</v>
      </c>
      <c r="H47" s="3" t="str">
        <f>IFERROR(_xlfn.XLOOKUP(A47, PublicHols[Date], PublicHols[PH_Name]),"")</f>
        <v/>
      </c>
      <c r="I47" s="4" t="str">
        <f>IF(COUNTIF(EventsAll[Date], A47)&gt;0, "Y", "N")</f>
        <v>N</v>
      </c>
      <c r="J47" s="11" t="str">
        <f>IFERROR(_xlfn.XLOOKUP(A47, EventsAll[Date], EventsAll[Event]),"")</f>
        <v/>
      </c>
      <c r="K47" s="4" t="str" cm="1">
        <f t="array" ref="K47">IF(SUMPRODUCT((A47&gt;=SchoolHols[Start])*(A47&lt;=SchoolHols[End]))&gt;0,"Y","N")</f>
        <v>N</v>
      </c>
    </row>
    <row r="48" spans="1:11">
      <c r="A48" s="6">
        <f t="shared" si="5"/>
        <v>43512</v>
      </c>
      <c r="B48" s="4" t="str">
        <f t="shared" si="0"/>
        <v>16</v>
      </c>
      <c r="C48" s="4" t="str">
        <f t="shared" si="1"/>
        <v>02</v>
      </c>
      <c r="D48" s="4" t="str">
        <f t="shared" si="2"/>
        <v>2019</v>
      </c>
      <c r="E48" s="3" t="str">
        <f t="shared" si="3"/>
        <v>Saturday</v>
      </c>
      <c r="F48" s="4" t="str">
        <f t="shared" si="4"/>
        <v>N</v>
      </c>
      <c r="G48" s="4" t="str">
        <f>IF(COUNTIF(PublicHols[Date], A48)&gt;0, "Y", "N")</f>
        <v>N</v>
      </c>
      <c r="H48" s="3" t="str">
        <f>IFERROR(_xlfn.XLOOKUP(A48, PublicHols[Date], PublicHols[PH_Name]),"")</f>
        <v/>
      </c>
      <c r="I48" s="4" t="str">
        <f>IF(COUNTIF(EventsAll[Date], A48)&gt;0, "Y", "N")</f>
        <v>N</v>
      </c>
      <c r="J48" s="11" t="str">
        <f>IFERROR(_xlfn.XLOOKUP(A48, EventsAll[Date], EventsAll[Event]),"")</f>
        <v/>
      </c>
      <c r="K48" s="4" t="str" cm="1">
        <f t="array" ref="K48">IF(SUMPRODUCT((A48&gt;=SchoolHols[Start])*(A48&lt;=SchoolHols[End]))&gt;0,"Y","N")</f>
        <v>N</v>
      </c>
    </row>
    <row r="49" spans="1:11">
      <c r="A49" s="6">
        <f t="shared" si="5"/>
        <v>43513</v>
      </c>
      <c r="B49" s="4" t="str">
        <f t="shared" si="0"/>
        <v>17</v>
      </c>
      <c r="C49" s="4" t="str">
        <f t="shared" si="1"/>
        <v>02</v>
      </c>
      <c r="D49" s="4" t="str">
        <f t="shared" si="2"/>
        <v>2019</v>
      </c>
      <c r="E49" s="3" t="str">
        <f t="shared" si="3"/>
        <v>Sunday</v>
      </c>
      <c r="F49" s="4" t="str">
        <f t="shared" si="4"/>
        <v>Y</v>
      </c>
      <c r="G49" s="4" t="str">
        <f>IF(COUNTIF(PublicHols[Date], A49)&gt;0, "Y", "N")</f>
        <v>N</v>
      </c>
      <c r="H49" s="3" t="str">
        <f>IFERROR(_xlfn.XLOOKUP(A49, PublicHols[Date], PublicHols[PH_Name]),"")</f>
        <v/>
      </c>
      <c r="I49" s="4" t="str">
        <f>IF(COUNTIF(EventsAll[Date], A49)&gt;0, "Y", "N")</f>
        <v>N</v>
      </c>
      <c r="J49" s="11" t="str">
        <f>IFERROR(_xlfn.XLOOKUP(A49, EventsAll[Date], EventsAll[Event]),"")</f>
        <v/>
      </c>
      <c r="K49" s="4" t="str" cm="1">
        <f t="array" ref="K49">IF(SUMPRODUCT((A49&gt;=SchoolHols[Start])*(A49&lt;=SchoolHols[End]))&gt;0,"Y","N")</f>
        <v>N</v>
      </c>
    </row>
    <row r="50" spans="1:11">
      <c r="A50" s="6">
        <f t="shared" si="5"/>
        <v>43514</v>
      </c>
      <c r="B50" s="4" t="str">
        <f t="shared" si="0"/>
        <v>18</v>
      </c>
      <c r="C50" s="4" t="str">
        <f t="shared" si="1"/>
        <v>02</v>
      </c>
      <c r="D50" s="4" t="str">
        <f t="shared" si="2"/>
        <v>2019</v>
      </c>
      <c r="E50" s="3" t="str">
        <f t="shared" si="3"/>
        <v>Monday</v>
      </c>
      <c r="F50" s="4" t="str">
        <f t="shared" si="4"/>
        <v>N</v>
      </c>
      <c r="G50" s="4" t="str">
        <f>IF(COUNTIF(PublicHols[Date], A50)&gt;0, "Y", "N")</f>
        <v>N</v>
      </c>
      <c r="H50" s="3" t="str">
        <f>IFERROR(_xlfn.XLOOKUP(A50, PublicHols[Date], PublicHols[PH_Name]),"")</f>
        <v/>
      </c>
      <c r="I50" s="4" t="str">
        <f>IF(COUNTIF(EventsAll[Date], A50)&gt;0, "Y", "N")</f>
        <v>N</v>
      </c>
      <c r="J50" s="11" t="str">
        <f>IFERROR(_xlfn.XLOOKUP(A50, EventsAll[Date], EventsAll[Event]),"")</f>
        <v/>
      </c>
      <c r="K50" s="4" t="str" cm="1">
        <f t="array" ref="K50">IF(SUMPRODUCT((A50&gt;=SchoolHols[Start])*(A50&lt;=SchoolHols[End]))&gt;0,"Y","N")</f>
        <v>N</v>
      </c>
    </row>
    <row r="51" spans="1:11">
      <c r="A51" s="6">
        <f t="shared" si="5"/>
        <v>43515</v>
      </c>
      <c r="B51" s="4" t="str">
        <f t="shared" si="0"/>
        <v>19</v>
      </c>
      <c r="C51" s="4" t="str">
        <f t="shared" si="1"/>
        <v>02</v>
      </c>
      <c r="D51" s="4" t="str">
        <f t="shared" si="2"/>
        <v>2019</v>
      </c>
      <c r="E51" s="3" t="str">
        <f t="shared" si="3"/>
        <v>Tuesday</v>
      </c>
      <c r="F51" s="4" t="str">
        <f t="shared" si="4"/>
        <v>N</v>
      </c>
      <c r="G51" s="4" t="str">
        <f>IF(COUNTIF(PublicHols[Date], A51)&gt;0, "Y", "N")</f>
        <v>N</v>
      </c>
      <c r="H51" s="3" t="str">
        <f>IFERROR(_xlfn.XLOOKUP(A51, PublicHols[Date], PublicHols[PH_Name]),"")</f>
        <v/>
      </c>
      <c r="I51" s="4" t="str">
        <f>IF(COUNTIF(EventsAll[Date], A51)&gt;0, "Y", "N")</f>
        <v>N</v>
      </c>
      <c r="J51" s="11" t="str">
        <f>IFERROR(_xlfn.XLOOKUP(A51, EventsAll[Date], EventsAll[Event]),"")</f>
        <v/>
      </c>
      <c r="K51" s="4" t="str" cm="1">
        <f t="array" ref="K51">IF(SUMPRODUCT((A51&gt;=SchoolHols[Start])*(A51&lt;=SchoolHols[End]))&gt;0,"Y","N")</f>
        <v>N</v>
      </c>
    </row>
    <row r="52" spans="1:11">
      <c r="A52" s="6">
        <f t="shared" si="5"/>
        <v>43516</v>
      </c>
      <c r="B52" s="4" t="str">
        <f t="shared" si="0"/>
        <v>20</v>
      </c>
      <c r="C52" s="4" t="str">
        <f t="shared" si="1"/>
        <v>02</v>
      </c>
      <c r="D52" s="4" t="str">
        <f t="shared" si="2"/>
        <v>2019</v>
      </c>
      <c r="E52" s="3" t="str">
        <f t="shared" si="3"/>
        <v>Wednesday</v>
      </c>
      <c r="F52" s="4" t="str">
        <f t="shared" si="4"/>
        <v>N</v>
      </c>
      <c r="G52" s="4" t="str">
        <f>IF(COUNTIF(PublicHols[Date], A52)&gt;0, "Y", "N")</f>
        <v>N</v>
      </c>
      <c r="H52" s="3" t="str">
        <f>IFERROR(_xlfn.XLOOKUP(A52, PublicHols[Date], PublicHols[PH_Name]),"")</f>
        <v/>
      </c>
      <c r="I52" s="4" t="str">
        <f>IF(COUNTIF(EventsAll[Date], A52)&gt;0, "Y", "N")</f>
        <v>N</v>
      </c>
      <c r="J52" s="11" t="str">
        <f>IFERROR(_xlfn.XLOOKUP(A52, EventsAll[Date], EventsAll[Event]),"")</f>
        <v/>
      </c>
      <c r="K52" s="4" t="str" cm="1">
        <f t="array" ref="K52">IF(SUMPRODUCT((A52&gt;=SchoolHols[Start])*(A52&lt;=SchoolHols[End]))&gt;0,"Y","N")</f>
        <v>N</v>
      </c>
    </row>
    <row r="53" spans="1:11">
      <c r="A53" s="6">
        <f t="shared" si="5"/>
        <v>43517</v>
      </c>
      <c r="B53" s="4" t="str">
        <f t="shared" si="0"/>
        <v>21</v>
      </c>
      <c r="C53" s="4" t="str">
        <f t="shared" si="1"/>
        <v>02</v>
      </c>
      <c r="D53" s="4" t="str">
        <f t="shared" si="2"/>
        <v>2019</v>
      </c>
      <c r="E53" s="3" t="str">
        <f t="shared" si="3"/>
        <v>Thursday</v>
      </c>
      <c r="F53" s="4" t="str">
        <f t="shared" si="4"/>
        <v>N</v>
      </c>
      <c r="G53" s="4" t="str">
        <f>IF(COUNTIF(PublicHols[Date], A53)&gt;0, "Y", "N")</f>
        <v>N</v>
      </c>
      <c r="H53" s="3" t="str">
        <f>IFERROR(_xlfn.XLOOKUP(A53, PublicHols[Date], PublicHols[PH_Name]),"")</f>
        <v/>
      </c>
      <c r="I53" s="4" t="str">
        <f>IF(COUNTIF(EventsAll[Date], A53)&gt;0, "Y", "N")</f>
        <v>N</v>
      </c>
      <c r="J53" s="11" t="str">
        <f>IFERROR(_xlfn.XLOOKUP(A53, EventsAll[Date], EventsAll[Event]),"")</f>
        <v/>
      </c>
      <c r="K53" s="4" t="str" cm="1">
        <f t="array" ref="K53">IF(SUMPRODUCT((A53&gt;=SchoolHols[Start])*(A53&lt;=SchoolHols[End]))&gt;0,"Y","N")</f>
        <v>N</v>
      </c>
    </row>
    <row r="54" spans="1:11">
      <c r="A54" s="6">
        <f t="shared" si="5"/>
        <v>43518</v>
      </c>
      <c r="B54" s="4" t="str">
        <f t="shared" si="0"/>
        <v>22</v>
      </c>
      <c r="C54" s="4" t="str">
        <f t="shared" si="1"/>
        <v>02</v>
      </c>
      <c r="D54" s="4" t="str">
        <f t="shared" si="2"/>
        <v>2019</v>
      </c>
      <c r="E54" s="3" t="str">
        <f t="shared" si="3"/>
        <v>Friday</v>
      </c>
      <c r="F54" s="4" t="str">
        <f t="shared" si="4"/>
        <v>N</v>
      </c>
      <c r="G54" s="4" t="str">
        <f>IF(COUNTIF(PublicHols[Date], A54)&gt;0, "Y", "N")</f>
        <v>N</v>
      </c>
      <c r="H54" s="3" t="str">
        <f>IFERROR(_xlfn.XLOOKUP(A54, PublicHols[Date], PublicHols[PH_Name]),"")</f>
        <v/>
      </c>
      <c r="I54" s="4" t="str">
        <f>IF(COUNTIF(EventsAll[Date], A54)&gt;0, "Y", "N")</f>
        <v>N</v>
      </c>
      <c r="J54" s="11" t="str">
        <f>IFERROR(_xlfn.XLOOKUP(A54, EventsAll[Date], EventsAll[Event]),"")</f>
        <v/>
      </c>
      <c r="K54" s="4" t="str" cm="1">
        <f t="array" ref="K54">IF(SUMPRODUCT((A54&gt;=SchoolHols[Start])*(A54&lt;=SchoolHols[End]))&gt;0,"Y","N")</f>
        <v>N</v>
      </c>
    </row>
    <row r="55" spans="1:11">
      <c r="A55" s="6">
        <f t="shared" si="5"/>
        <v>43519</v>
      </c>
      <c r="B55" s="4" t="str">
        <f t="shared" si="0"/>
        <v>23</v>
      </c>
      <c r="C55" s="4" t="str">
        <f t="shared" si="1"/>
        <v>02</v>
      </c>
      <c r="D55" s="4" t="str">
        <f t="shared" si="2"/>
        <v>2019</v>
      </c>
      <c r="E55" s="3" t="str">
        <f t="shared" si="3"/>
        <v>Saturday</v>
      </c>
      <c r="F55" s="4" t="str">
        <f t="shared" si="4"/>
        <v>N</v>
      </c>
      <c r="G55" s="4" t="str">
        <f>IF(COUNTIF(PublicHols[Date], A55)&gt;0, "Y", "N")</f>
        <v>N</v>
      </c>
      <c r="H55" s="3" t="str">
        <f>IFERROR(_xlfn.XLOOKUP(A55, PublicHols[Date], PublicHols[PH_Name]),"")</f>
        <v/>
      </c>
      <c r="I55" s="4" t="str">
        <f>IF(COUNTIF(EventsAll[Date], A55)&gt;0, "Y", "N")</f>
        <v>N</v>
      </c>
      <c r="J55" s="11" t="str">
        <f>IFERROR(_xlfn.XLOOKUP(A55, EventsAll[Date], EventsAll[Event]),"")</f>
        <v/>
      </c>
      <c r="K55" s="4" t="str" cm="1">
        <f t="array" ref="K55">IF(SUMPRODUCT((A55&gt;=SchoolHols[Start])*(A55&lt;=SchoolHols[End]))&gt;0,"Y","N")</f>
        <v>N</v>
      </c>
    </row>
    <row r="56" spans="1:11">
      <c r="A56" s="6">
        <f t="shared" si="5"/>
        <v>43520</v>
      </c>
      <c r="B56" s="4" t="str">
        <f t="shared" si="0"/>
        <v>24</v>
      </c>
      <c r="C56" s="4" t="str">
        <f t="shared" si="1"/>
        <v>02</v>
      </c>
      <c r="D56" s="4" t="str">
        <f t="shared" si="2"/>
        <v>2019</v>
      </c>
      <c r="E56" s="3" t="str">
        <f t="shared" si="3"/>
        <v>Sunday</v>
      </c>
      <c r="F56" s="4" t="str">
        <f t="shared" si="4"/>
        <v>Y</v>
      </c>
      <c r="G56" s="4" t="str">
        <f>IF(COUNTIF(PublicHols[Date], A56)&gt;0, "Y", "N")</f>
        <v>N</v>
      </c>
      <c r="H56" s="3" t="str">
        <f>IFERROR(_xlfn.XLOOKUP(A56, PublicHols[Date], PublicHols[PH_Name]),"")</f>
        <v/>
      </c>
      <c r="I56" s="4" t="str">
        <f>IF(COUNTIF(EventsAll[Date], A56)&gt;0, "Y", "N")</f>
        <v>N</v>
      </c>
      <c r="J56" s="11" t="str">
        <f>IFERROR(_xlfn.XLOOKUP(A56, EventsAll[Date], EventsAll[Event]),"")</f>
        <v/>
      </c>
      <c r="K56" s="4" t="str" cm="1">
        <f t="array" ref="K56">IF(SUMPRODUCT((A56&gt;=SchoolHols[Start])*(A56&lt;=SchoolHols[End]))&gt;0,"Y","N")</f>
        <v>N</v>
      </c>
    </row>
    <row r="57" spans="1:11">
      <c r="A57" s="6">
        <f t="shared" si="5"/>
        <v>43521</v>
      </c>
      <c r="B57" s="4" t="str">
        <f t="shared" si="0"/>
        <v>25</v>
      </c>
      <c r="C57" s="4" t="str">
        <f t="shared" si="1"/>
        <v>02</v>
      </c>
      <c r="D57" s="4" t="str">
        <f t="shared" si="2"/>
        <v>2019</v>
      </c>
      <c r="E57" s="3" t="str">
        <f t="shared" si="3"/>
        <v>Monday</v>
      </c>
      <c r="F57" s="4" t="str">
        <f t="shared" si="4"/>
        <v>N</v>
      </c>
      <c r="G57" s="4" t="str">
        <f>IF(COUNTIF(PublicHols[Date], A57)&gt;0, "Y", "N")</f>
        <v>N</v>
      </c>
      <c r="H57" s="3" t="str">
        <f>IFERROR(_xlfn.XLOOKUP(A57, PublicHols[Date], PublicHols[PH_Name]),"")</f>
        <v/>
      </c>
      <c r="I57" s="4" t="str">
        <f>IF(COUNTIF(EventsAll[Date], A57)&gt;0, "Y", "N")</f>
        <v>N</v>
      </c>
      <c r="J57" s="11" t="str">
        <f>IFERROR(_xlfn.XLOOKUP(A57, EventsAll[Date], EventsAll[Event]),"")</f>
        <v/>
      </c>
      <c r="K57" s="4" t="str" cm="1">
        <f t="array" ref="K57">IF(SUMPRODUCT((A57&gt;=SchoolHols[Start])*(A57&lt;=SchoolHols[End]))&gt;0,"Y","N")</f>
        <v>N</v>
      </c>
    </row>
    <row r="58" spans="1:11">
      <c r="A58" s="6">
        <f t="shared" si="5"/>
        <v>43522</v>
      </c>
      <c r="B58" s="4" t="str">
        <f t="shared" si="0"/>
        <v>26</v>
      </c>
      <c r="C58" s="4" t="str">
        <f t="shared" si="1"/>
        <v>02</v>
      </c>
      <c r="D58" s="4" t="str">
        <f t="shared" si="2"/>
        <v>2019</v>
      </c>
      <c r="E58" s="3" t="str">
        <f t="shared" si="3"/>
        <v>Tuesday</v>
      </c>
      <c r="F58" s="4" t="str">
        <f t="shared" si="4"/>
        <v>N</v>
      </c>
      <c r="G58" s="4" t="str">
        <f>IF(COUNTIF(PublicHols[Date], A58)&gt;0, "Y", "N")</f>
        <v>N</v>
      </c>
      <c r="H58" s="3" t="str">
        <f>IFERROR(_xlfn.XLOOKUP(A58, PublicHols[Date], PublicHols[PH_Name]),"")</f>
        <v/>
      </c>
      <c r="I58" s="4" t="str">
        <f>IF(COUNTIF(EventsAll[Date], A58)&gt;0, "Y", "N")</f>
        <v>N</v>
      </c>
      <c r="J58" s="11" t="str">
        <f>IFERROR(_xlfn.XLOOKUP(A58, EventsAll[Date], EventsAll[Event]),"")</f>
        <v/>
      </c>
      <c r="K58" s="4" t="str" cm="1">
        <f t="array" ref="K58">IF(SUMPRODUCT((A58&gt;=SchoolHols[Start])*(A58&lt;=SchoolHols[End]))&gt;0,"Y","N")</f>
        <v>N</v>
      </c>
    </row>
    <row r="59" spans="1:11">
      <c r="A59" s="6">
        <f t="shared" si="5"/>
        <v>43523</v>
      </c>
      <c r="B59" s="4" t="str">
        <f t="shared" si="0"/>
        <v>27</v>
      </c>
      <c r="C59" s="4" t="str">
        <f t="shared" si="1"/>
        <v>02</v>
      </c>
      <c r="D59" s="4" t="str">
        <f t="shared" si="2"/>
        <v>2019</v>
      </c>
      <c r="E59" s="3" t="str">
        <f t="shared" si="3"/>
        <v>Wednesday</v>
      </c>
      <c r="F59" s="4" t="str">
        <f t="shared" si="4"/>
        <v>N</v>
      </c>
      <c r="G59" s="4" t="str">
        <f>IF(COUNTIF(PublicHols[Date], A59)&gt;0, "Y", "N")</f>
        <v>N</v>
      </c>
      <c r="H59" s="3" t="str">
        <f>IFERROR(_xlfn.XLOOKUP(A59, PublicHols[Date], PublicHols[PH_Name]),"")</f>
        <v/>
      </c>
      <c r="I59" s="4" t="str">
        <f>IF(COUNTIF(EventsAll[Date], A59)&gt;0, "Y", "N")</f>
        <v>N</v>
      </c>
      <c r="J59" s="11" t="str">
        <f>IFERROR(_xlfn.XLOOKUP(A59, EventsAll[Date], EventsAll[Event]),"")</f>
        <v/>
      </c>
      <c r="K59" s="4" t="str" cm="1">
        <f t="array" ref="K59">IF(SUMPRODUCT((A59&gt;=SchoolHols[Start])*(A59&lt;=SchoolHols[End]))&gt;0,"Y","N")</f>
        <v>N</v>
      </c>
    </row>
    <row r="60" spans="1:11">
      <c r="A60" s="6">
        <f t="shared" si="5"/>
        <v>43524</v>
      </c>
      <c r="B60" s="4" t="str">
        <f t="shared" si="0"/>
        <v>28</v>
      </c>
      <c r="C60" s="4" t="str">
        <f t="shared" si="1"/>
        <v>02</v>
      </c>
      <c r="D60" s="4" t="str">
        <f t="shared" si="2"/>
        <v>2019</v>
      </c>
      <c r="E60" s="3" t="str">
        <f t="shared" si="3"/>
        <v>Thursday</v>
      </c>
      <c r="F60" s="4" t="str">
        <f t="shared" si="4"/>
        <v>N</v>
      </c>
      <c r="G60" s="4" t="str">
        <f>IF(COUNTIF(PublicHols[Date], A60)&gt;0, "Y", "N")</f>
        <v>N</v>
      </c>
      <c r="H60" s="3" t="str">
        <f>IFERROR(_xlfn.XLOOKUP(A60, PublicHols[Date], PublicHols[PH_Name]),"")</f>
        <v/>
      </c>
      <c r="I60" s="4" t="str">
        <f>IF(COUNTIF(EventsAll[Date], A60)&gt;0, "Y", "N")</f>
        <v>N</v>
      </c>
      <c r="J60" s="11" t="str">
        <f>IFERROR(_xlfn.XLOOKUP(A60, EventsAll[Date], EventsAll[Event]),"")</f>
        <v/>
      </c>
      <c r="K60" s="4" t="str" cm="1">
        <f t="array" ref="K60">IF(SUMPRODUCT((A60&gt;=SchoolHols[Start])*(A60&lt;=SchoolHols[End]))&gt;0,"Y","N")</f>
        <v>N</v>
      </c>
    </row>
    <row r="61" spans="1:11">
      <c r="A61" s="6">
        <f t="shared" si="5"/>
        <v>43525</v>
      </c>
      <c r="B61" s="4" t="str">
        <f t="shared" si="0"/>
        <v>01</v>
      </c>
      <c r="C61" s="4" t="str">
        <f t="shared" si="1"/>
        <v>03</v>
      </c>
      <c r="D61" s="4" t="str">
        <f t="shared" si="2"/>
        <v>2019</v>
      </c>
      <c r="E61" s="3" t="str">
        <f t="shared" si="3"/>
        <v>Friday</v>
      </c>
      <c r="F61" s="4" t="str">
        <f t="shared" si="4"/>
        <v>N</v>
      </c>
      <c r="G61" s="4" t="str">
        <f>IF(COUNTIF(PublicHols[Date], A61)&gt;0, "Y", "N")</f>
        <v>N</v>
      </c>
      <c r="H61" s="3" t="str">
        <f>IFERROR(_xlfn.XLOOKUP(A61, PublicHols[Date], PublicHols[PH_Name]),"")</f>
        <v/>
      </c>
      <c r="I61" s="4" t="str">
        <f>IF(COUNTIF(EventsAll[Date], A61)&gt;0, "Y", "N")</f>
        <v>N</v>
      </c>
      <c r="J61" s="11" t="str">
        <f>IFERROR(_xlfn.XLOOKUP(A61, EventsAll[Date], EventsAll[Event]),"")</f>
        <v/>
      </c>
      <c r="K61" s="4" t="str" cm="1">
        <f t="array" ref="K61">IF(SUMPRODUCT((A61&gt;=SchoolHols[Start])*(A61&lt;=SchoolHols[End]))&gt;0,"Y","N")</f>
        <v>N</v>
      </c>
    </row>
    <row r="62" spans="1:11">
      <c r="A62" s="6">
        <f t="shared" si="5"/>
        <v>43526</v>
      </c>
      <c r="B62" s="4" t="str">
        <f t="shared" si="0"/>
        <v>02</v>
      </c>
      <c r="C62" s="4" t="str">
        <f t="shared" si="1"/>
        <v>03</v>
      </c>
      <c r="D62" s="4" t="str">
        <f t="shared" si="2"/>
        <v>2019</v>
      </c>
      <c r="E62" s="3" t="str">
        <f t="shared" si="3"/>
        <v>Saturday</v>
      </c>
      <c r="F62" s="4" t="str">
        <f t="shared" si="4"/>
        <v>N</v>
      </c>
      <c r="G62" s="4" t="str">
        <f>IF(COUNTIF(PublicHols[Date], A62)&gt;0, "Y", "N")</f>
        <v>N</v>
      </c>
      <c r="H62" s="3" t="str">
        <f>IFERROR(_xlfn.XLOOKUP(A62, PublicHols[Date], PublicHols[PH_Name]),"")</f>
        <v/>
      </c>
      <c r="I62" s="4" t="str">
        <f>IF(COUNTIF(EventsAll[Date], A62)&gt;0, "Y", "N")</f>
        <v>N</v>
      </c>
      <c r="J62" s="11" t="str">
        <f>IFERROR(_xlfn.XLOOKUP(A62, EventsAll[Date], EventsAll[Event]),"")</f>
        <v/>
      </c>
      <c r="K62" s="4" t="str" cm="1">
        <f t="array" ref="K62">IF(SUMPRODUCT((A62&gt;=SchoolHols[Start])*(A62&lt;=SchoolHols[End]))&gt;0,"Y","N")</f>
        <v>N</v>
      </c>
    </row>
    <row r="63" spans="1:11">
      <c r="A63" s="6">
        <f t="shared" si="5"/>
        <v>43527</v>
      </c>
      <c r="B63" s="4" t="str">
        <f t="shared" si="0"/>
        <v>03</v>
      </c>
      <c r="C63" s="4" t="str">
        <f t="shared" si="1"/>
        <v>03</v>
      </c>
      <c r="D63" s="4" t="str">
        <f t="shared" si="2"/>
        <v>2019</v>
      </c>
      <c r="E63" s="3" t="str">
        <f t="shared" si="3"/>
        <v>Sunday</v>
      </c>
      <c r="F63" s="4" t="str">
        <f t="shared" si="4"/>
        <v>Y</v>
      </c>
      <c r="G63" s="4" t="str">
        <f>IF(COUNTIF(PublicHols[Date], A63)&gt;0, "Y", "N")</f>
        <v>N</v>
      </c>
      <c r="H63" s="3" t="str">
        <f>IFERROR(_xlfn.XLOOKUP(A63, PublicHols[Date], PublicHols[PH_Name]),"")</f>
        <v/>
      </c>
      <c r="I63" s="4" t="str">
        <f>IF(COUNTIF(EventsAll[Date], A63)&gt;0, "Y", "N")</f>
        <v>N</v>
      </c>
      <c r="J63" s="11" t="str">
        <f>IFERROR(_xlfn.XLOOKUP(A63, EventsAll[Date], EventsAll[Event]),"")</f>
        <v/>
      </c>
      <c r="K63" s="4" t="str" cm="1">
        <f t="array" ref="K63">IF(SUMPRODUCT((A63&gt;=SchoolHols[Start])*(A63&lt;=SchoolHols[End]))&gt;0,"Y","N")</f>
        <v>N</v>
      </c>
    </row>
    <row r="64" spans="1:11">
      <c r="A64" s="6">
        <f t="shared" si="5"/>
        <v>43528</v>
      </c>
      <c r="B64" s="4" t="str">
        <f t="shared" si="0"/>
        <v>04</v>
      </c>
      <c r="C64" s="4" t="str">
        <f t="shared" si="1"/>
        <v>03</v>
      </c>
      <c r="D64" s="4" t="str">
        <f t="shared" si="2"/>
        <v>2019</v>
      </c>
      <c r="E64" s="3" t="str">
        <f t="shared" si="3"/>
        <v>Monday</v>
      </c>
      <c r="F64" s="4" t="str">
        <f t="shared" si="4"/>
        <v>N</v>
      </c>
      <c r="G64" s="4" t="str">
        <f>IF(COUNTIF(PublicHols[Date], A64)&gt;0, "Y", "N")</f>
        <v>N</v>
      </c>
      <c r="H64" s="3" t="str">
        <f>IFERROR(_xlfn.XLOOKUP(A64, PublicHols[Date], PublicHols[PH_Name]),"")</f>
        <v/>
      </c>
      <c r="I64" s="4" t="str">
        <f>IF(COUNTIF(EventsAll[Date], A64)&gt;0, "Y", "N")</f>
        <v>N</v>
      </c>
      <c r="J64" s="11" t="str">
        <f>IFERROR(_xlfn.XLOOKUP(A64, EventsAll[Date], EventsAll[Event]),"")</f>
        <v/>
      </c>
      <c r="K64" s="4" t="str" cm="1">
        <f t="array" ref="K64">IF(SUMPRODUCT((A64&gt;=SchoolHols[Start])*(A64&lt;=SchoolHols[End]))&gt;0,"Y","N")</f>
        <v>N</v>
      </c>
    </row>
    <row r="65" spans="1:11">
      <c r="A65" s="6">
        <f t="shared" si="5"/>
        <v>43529</v>
      </c>
      <c r="B65" s="4" t="str">
        <f t="shared" si="0"/>
        <v>05</v>
      </c>
      <c r="C65" s="4" t="str">
        <f t="shared" si="1"/>
        <v>03</v>
      </c>
      <c r="D65" s="4" t="str">
        <f t="shared" si="2"/>
        <v>2019</v>
      </c>
      <c r="E65" s="3" t="str">
        <f t="shared" si="3"/>
        <v>Tuesday</v>
      </c>
      <c r="F65" s="4" t="str">
        <f t="shared" si="4"/>
        <v>N</v>
      </c>
      <c r="G65" s="4" t="str">
        <f>IF(COUNTIF(PublicHols[Date], A65)&gt;0, "Y", "N")</f>
        <v>N</v>
      </c>
      <c r="H65" s="3" t="str">
        <f>IFERROR(_xlfn.XLOOKUP(A65, PublicHols[Date], PublicHols[PH_Name]),"")</f>
        <v/>
      </c>
      <c r="I65" s="4" t="str">
        <f>IF(COUNTIF(EventsAll[Date], A65)&gt;0, "Y", "N")</f>
        <v>N</v>
      </c>
      <c r="J65" s="11" t="str">
        <f>IFERROR(_xlfn.XLOOKUP(A65, EventsAll[Date], EventsAll[Event]),"")</f>
        <v/>
      </c>
      <c r="K65" s="4" t="str" cm="1">
        <f t="array" ref="K65">IF(SUMPRODUCT((A65&gt;=SchoolHols[Start])*(A65&lt;=SchoolHols[End]))&gt;0,"Y","N")</f>
        <v>N</v>
      </c>
    </row>
    <row r="66" spans="1:11">
      <c r="A66" s="6">
        <f t="shared" si="5"/>
        <v>43530</v>
      </c>
      <c r="B66" s="4" t="str">
        <f t="shared" si="0"/>
        <v>06</v>
      </c>
      <c r="C66" s="4" t="str">
        <f t="shared" si="1"/>
        <v>03</v>
      </c>
      <c r="D66" s="4" t="str">
        <f t="shared" si="2"/>
        <v>2019</v>
      </c>
      <c r="E66" s="3" t="str">
        <f t="shared" si="3"/>
        <v>Wednesday</v>
      </c>
      <c r="F66" s="4" t="str">
        <f t="shared" si="4"/>
        <v>N</v>
      </c>
      <c r="G66" s="4" t="str">
        <f>IF(COUNTIF(PublicHols[Date], A66)&gt;0, "Y", "N")</f>
        <v>N</v>
      </c>
      <c r="H66" s="3" t="str">
        <f>IFERROR(_xlfn.XLOOKUP(A66, PublicHols[Date], PublicHols[PH_Name]),"")</f>
        <v/>
      </c>
      <c r="I66" s="4" t="str">
        <f>IF(COUNTIF(EventsAll[Date], A66)&gt;0, "Y", "N")</f>
        <v>N</v>
      </c>
      <c r="J66" s="11" t="str">
        <f>IFERROR(_xlfn.XLOOKUP(A66, EventsAll[Date], EventsAll[Event]),"")</f>
        <v/>
      </c>
      <c r="K66" s="4" t="str" cm="1">
        <f t="array" ref="K66">IF(SUMPRODUCT((A66&gt;=SchoolHols[Start])*(A66&lt;=SchoolHols[End]))&gt;0,"Y","N")</f>
        <v>N</v>
      </c>
    </row>
    <row r="67" spans="1:11">
      <c r="A67" s="6">
        <f t="shared" si="5"/>
        <v>43531</v>
      </c>
      <c r="B67" s="4" t="str">
        <f t="shared" ref="B67:B130" si="6">TEXT($A67, "dd")</f>
        <v>07</v>
      </c>
      <c r="C67" s="4" t="str">
        <f t="shared" ref="C67:C130" si="7">TEXT($A67, "mm")</f>
        <v>03</v>
      </c>
      <c r="D67" s="4" t="str">
        <f t="shared" ref="D67:D130" si="8">TEXT($A67, "yyyy")</f>
        <v>2019</v>
      </c>
      <c r="E67" s="3" t="str">
        <f t="shared" ref="E67:E130" si="9">TEXT($A67, "dddd")</f>
        <v>Thursday</v>
      </c>
      <c r="F67" s="4" t="str">
        <f t="shared" ref="F67:F130" si="10">IF($E67="Sunday", "Y", "N")</f>
        <v>N</v>
      </c>
      <c r="G67" s="4" t="str">
        <f>IF(COUNTIF(PublicHols[Date], A67)&gt;0, "Y", "N")</f>
        <v>N</v>
      </c>
      <c r="H67" s="3" t="str">
        <f>IFERROR(_xlfn.XLOOKUP(A67, PublicHols[Date], PublicHols[PH_Name]),"")</f>
        <v/>
      </c>
      <c r="I67" s="4" t="str">
        <f>IF(COUNTIF(EventsAll[Date], A67)&gt;0, "Y", "N")</f>
        <v>N</v>
      </c>
      <c r="J67" s="11" t="str">
        <f>IFERROR(_xlfn.XLOOKUP(A67, EventsAll[Date], EventsAll[Event]),"")</f>
        <v/>
      </c>
      <c r="K67" s="4" t="str" cm="1">
        <f t="array" ref="K67">IF(SUMPRODUCT((A67&gt;=SchoolHols[Start])*(A67&lt;=SchoolHols[End]))&gt;0,"Y","N")</f>
        <v>N</v>
      </c>
    </row>
    <row r="68" spans="1:11">
      <c r="A68" s="6">
        <f t="shared" ref="A68:A131" si="11">$A67+1</f>
        <v>43532</v>
      </c>
      <c r="B68" s="4" t="str">
        <f t="shared" si="6"/>
        <v>08</v>
      </c>
      <c r="C68" s="4" t="str">
        <f t="shared" si="7"/>
        <v>03</v>
      </c>
      <c r="D68" s="4" t="str">
        <f t="shared" si="8"/>
        <v>2019</v>
      </c>
      <c r="E68" s="3" t="str">
        <f t="shared" si="9"/>
        <v>Friday</v>
      </c>
      <c r="F68" s="4" t="str">
        <f t="shared" si="10"/>
        <v>N</v>
      </c>
      <c r="G68" s="4" t="str">
        <f>IF(COUNTIF(PublicHols[Date], A68)&gt;0, "Y", "N")</f>
        <v>N</v>
      </c>
      <c r="H68" s="3" t="str">
        <f>IFERROR(_xlfn.XLOOKUP(A68, PublicHols[Date], PublicHols[PH_Name]),"")</f>
        <v/>
      </c>
      <c r="I68" s="4" t="str">
        <f>IF(COUNTIF(EventsAll[Date], A68)&gt;0, "Y", "N")</f>
        <v>N</v>
      </c>
      <c r="J68" s="11" t="str">
        <f>IFERROR(_xlfn.XLOOKUP(A68, EventsAll[Date], EventsAll[Event]),"")</f>
        <v/>
      </c>
      <c r="K68" s="4" t="str" cm="1">
        <f t="array" ref="K68">IF(SUMPRODUCT((A68&gt;=SchoolHols[Start])*(A68&lt;=SchoolHols[End]))&gt;0,"Y","N")</f>
        <v>N</v>
      </c>
    </row>
    <row r="69" spans="1:11">
      <c r="A69" s="6">
        <f t="shared" si="11"/>
        <v>43533</v>
      </c>
      <c r="B69" s="4" t="str">
        <f t="shared" si="6"/>
        <v>09</v>
      </c>
      <c r="C69" s="4" t="str">
        <f t="shared" si="7"/>
        <v>03</v>
      </c>
      <c r="D69" s="4" t="str">
        <f t="shared" si="8"/>
        <v>2019</v>
      </c>
      <c r="E69" s="3" t="str">
        <f t="shared" si="9"/>
        <v>Saturday</v>
      </c>
      <c r="F69" s="4" t="str">
        <f t="shared" si="10"/>
        <v>N</v>
      </c>
      <c r="G69" s="4" t="str">
        <f>IF(COUNTIF(PublicHols[Date], A69)&gt;0, "Y", "N")</f>
        <v>N</v>
      </c>
      <c r="H69" s="3" t="str">
        <f>IFERROR(_xlfn.XLOOKUP(A69, PublicHols[Date], PublicHols[PH_Name]),"")</f>
        <v/>
      </c>
      <c r="I69" s="4" t="str">
        <f>IF(COUNTIF(EventsAll[Date], A69)&gt;0, "Y", "N")</f>
        <v>N</v>
      </c>
      <c r="J69" s="11" t="str">
        <f>IFERROR(_xlfn.XLOOKUP(A69, EventsAll[Date], EventsAll[Event]),"")</f>
        <v/>
      </c>
      <c r="K69" s="4" t="str" cm="1">
        <f t="array" ref="K69">IF(SUMPRODUCT((A69&gt;=SchoolHols[Start])*(A69&lt;=SchoolHols[End]))&gt;0,"Y","N")</f>
        <v>N</v>
      </c>
    </row>
    <row r="70" spans="1:11">
      <c r="A70" s="6">
        <f t="shared" si="11"/>
        <v>43534</v>
      </c>
      <c r="B70" s="4" t="str">
        <f t="shared" si="6"/>
        <v>10</v>
      </c>
      <c r="C70" s="4" t="str">
        <f t="shared" si="7"/>
        <v>03</v>
      </c>
      <c r="D70" s="4" t="str">
        <f t="shared" si="8"/>
        <v>2019</v>
      </c>
      <c r="E70" s="3" t="str">
        <f t="shared" si="9"/>
        <v>Sunday</v>
      </c>
      <c r="F70" s="4" t="str">
        <f t="shared" si="10"/>
        <v>Y</v>
      </c>
      <c r="G70" s="4" t="str">
        <f>IF(COUNTIF(PublicHols[Date], A70)&gt;0, "Y", "N")</f>
        <v>N</v>
      </c>
      <c r="H70" s="3" t="str">
        <f>IFERROR(_xlfn.XLOOKUP(A70, PublicHols[Date], PublicHols[PH_Name]),"")</f>
        <v/>
      </c>
      <c r="I70" s="4" t="str">
        <f>IF(COUNTIF(EventsAll[Date], A70)&gt;0, "Y", "N")</f>
        <v>N</v>
      </c>
      <c r="J70" s="11" t="str">
        <f>IFERROR(_xlfn.XLOOKUP(A70, EventsAll[Date], EventsAll[Event]),"")</f>
        <v/>
      </c>
      <c r="K70" s="4" t="str" cm="1">
        <f t="array" ref="K70">IF(SUMPRODUCT((A70&gt;=SchoolHols[Start])*(A70&lt;=SchoolHols[End]))&gt;0,"Y","N")</f>
        <v>N</v>
      </c>
    </row>
    <row r="71" spans="1:11">
      <c r="A71" s="6">
        <f t="shared" si="11"/>
        <v>43535</v>
      </c>
      <c r="B71" s="4" t="str">
        <f t="shared" si="6"/>
        <v>11</v>
      </c>
      <c r="C71" s="4" t="str">
        <f t="shared" si="7"/>
        <v>03</v>
      </c>
      <c r="D71" s="4" t="str">
        <f t="shared" si="8"/>
        <v>2019</v>
      </c>
      <c r="E71" s="3" t="str">
        <f t="shared" si="9"/>
        <v>Monday</v>
      </c>
      <c r="F71" s="4" t="str">
        <f t="shared" si="10"/>
        <v>N</v>
      </c>
      <c r="G71" s="4" t="str">
        <f>IF(COUNTIF(PublicHols[Date], A71)&gt;0, "Y", "N")</f>
        <v>N</v>
      </c>
      <c r="H71" s="3" t="str">
        <f>IFERROR(_xlfn.XLOOKUP(A71, PublicHols[Date], PublicHols[PH_Name]),"")</f>
        <v/>
      </c>
      <c r="I71" s="4" t="str">
        <f>IF(COUNTIF(EventsAll[Date], A71)&gt;0, "Y", "N")</f>
        <v>N</v>
      </c>
      <c r="J71" s="11" t="str">
        <f>IFERROR(_xlfn.XLOOKUP(A71, EventsAll[Date], EventsAll[Event]),"")</f>
        <v/>
      </c>
      <c r="K71" s="4" t="str" cm="1">
        <f t="array" ref="K71">IF(SUMPRODUCT((A71&gt;=SchoolHols[Start])*(A71&lt;=SchoolHols[End]))&gt;0,"Y","N")</f>
        <v>N</v>
      </c>
    </row>
    <row r="72" spans="1:11">
      <c r="A72" s="6">
        <f t="shared" si="11"/>
        <v>43536</v>
      </c>
      <c r="B72" s="4" t="str">
        <f t="shared" si="6"/>
        <v>12</v>
      </c>
      <c r="C72" s="4" t="str">
        <f t="shared" si="7"/>
        <v>03</v>
      </c>
      <c r="D72" s="4" t="str">
        <f t="shared" si="8"/>
        <v>2019</v>
      </c>
      <c r="E72" s="3" t="str">
        <f t="shared" si="9"/>
        <v>Tuesday</v>
      </c>
      <c r="F72" s="4" t="str">
        <f t="shared" si="10"/>
        <v>N</v>
      </c>
      <c r="G72" s="4" t="str">
        <f>IF(COUNTIF(PublicHols[Date], A72)&gt;0, "Y", "N")</f>
        <v>N</v>
      </c>
      <c r="H72" s="3" t="str">
        <f>IFERROR(_xlfn.XLOOKUP(A72, PublicHols[Date], PublicHols[PH_Name]),"")</f>
        <v/>
      </c>
      <c r="I72" s="4" t="str">
        <f>IF(COUNTIF(EventsAll[Date], A72)&gt;0, "Y", "N")</f>
        <v>N</v>
      </c>
      <c r="J72" s="11" t="str">
        <f>IFERROR(_xlfn.XLOOKUP(A72, EventsAll[Date], EventsAll[Event]),"")</f>
        <v/>
      </c>
      <c r="K72" s="4" t="str" cm="1">
        <f t="array" ref="K72">IF(SUMPRODUCT((A72&gt;=SchoolHols[Start])*(A72&lt;=SchoolHols[End]))&gt;0,"Y","N")</f>
        <v>N</v>
      </c>
    </row>
    <row r="73" spans="1:11">
      <c r="A73" s="6">
        <f t="shared" si="11"/>
        <v>43537</v>
      </c>
      <c r="B73" s="4" t="str">
        <f t="shared" si="6"/>
        <v>13</v>
      </c>
      <c r="C73" s="4" t="str">
        <f t="shared" si="7"/>
        <v>03</v>
      </c>
      <c r="D73" s="4" t="str">
        <f t="shared" si="8"/>
        <v>2019</v>
      </c>
      <c r="E73" s="3" t="str">
        <f t="shared" si="9"/>
        <v>Wednesday</v>
      </c>
      <c r="F73" s="4" t="str">
        <f t="shared" si="10"/>
        <v>N</v>
      </c>
      <c r="G73" s="4" t="str">
        <f>IF(COUNTIF(PublicHols[Date], A73)&gt;0, "Y", "N")</f>
        <v>N</v>
      </c>
      <c r="H73" s="3" t="str">
        <f>IFERROR(_xlfn.XLOOKUP(A73, PublicHols[Date], PublicHols[PH_Name]),"")</f>
        <v/>
      </c>
      <c r="I73" s="4" t="str">
        <f>IF(COUNTIF(EventsAll[Date], A73)&gt;0, "Y", "N")</f>
        <v>N</v>
      </c>
      <c r="J73" s="11" t="str">
        <f>IFERROR(_xlfn.XLOOKUP(A73, EventsAll[Date], EventsAll[Event]),"")</f>
        <v/>
      </c>
      <c r="K73" s="4" t="str" cm="1">
        <f t="array" ref="K73">IF(SUMPRODUCT((A73&gt;=SchoolHols[Start])*(A73&lt;=SchoolHols[End]))&gt;0,"Y","N")</f>
        <v>N</v>
      </c>
    </row>
    <row r="74" spans="1:11">
      <c r="A74" s="6">
        <f t="shared" si="11"/>
        <v>43538</v>
      </c>
      <c r="B74" s="4" t="str">
        <f t="shared" si="6"/>
        <v>14</v>
      </c>
      <c r="C74" s="4" t="str">
        <f t="shared" si="7"/>
        <v>03</v>
      </c>
      <c r="D74" s="4" t="str">
        <f t="shared" si="8"/>
        <v>2019</v>
      </c>
      <c r="E74" s="3" t="str">
        <f t="shared" si="9"/>
        <v>Thursday</v>
      </c>
      <c r="F74" s="4" t="str">
        <f t="shared" si="10"/>
        <v>N</v>
      </c>
      <c r="G74" s="4" t="str">
        <f>IF(COUNTIF(PublicHols[Date], A74)&gt;0, "Y", "N")</f>
        <v>N</v>
      </c>
      <c r="H74" s="3" t="str">
        <f>IFERROR(_xlfn.XLOOKUP(A74, PublicHols[Date], PublicHols[PH_Name]),"")</f>
        <v/>
      </c>
      <c r="I74" s="4" t="str">
        <f>IF(COUNTIF(EventsAll[Date], A74)&gt;0, "Y", "N")</f>
        <v>N</v>
      </c>
      <c r="J74" s="11" t="str">
        <f>IFERROR(_xlfn.XLOOKUP(A74, EventsAll[Date], EventsAll[Event]),"")</f>
        <v/>
      </c>
      <c r="K74" s="4" t="str" cm="1">
        <f t="array" ref="K74">IF(SUMPRODUCT((A74&gt;=SchoolHols[Start])*(A74&lt;=SchoolHols[End]))&gt;0,"Y","N")</f>
        <v>N</v>
      </c>
    </row>
    <row r="75" spans="1:11">
      <c r="A75" s="6">
        <f t="shared" si="11"/>
        <v>43539</v>
      </c>
      <c r="B75" s="4" t="str">
        <f t="shared" si="6"/>
        <v>15</v>
      </c>
      <c r="C75" s="4" t="str">
        <f t="shared" si="7"/>
        <v>03</v>
      </c>
      <c r="D75" s="4" t="str">
        <f t="shared" si="8"/>
        <v>2019</v>
      </c>
      <c r="E75" s="3" t="str">
        <f t="shared" si="9"/>
        <v>Friday</v>
      </c>
      <c r="F75" s="4" t="str">
        <f t="shared" si="10"/>
        <v>N</v>
      </c>
      <c r="G75" s="4" t="str">
        <f>IF(COUNTIF(PublicHols[Date], A75)&gt;0, "Y", "N")</f>
        <v>N</v>
      </c>
      <c r="H75" s="3" t="str">
        <f>IFERROR(_xlfn.XLOOKUP(A75, PublicHols[Date], PublicHols[PH_Name]),"")</f>
        <v/>
      </c>
      <c r="I75" s="4" t="str">
        <f>IF(COUNTIF(EventsAll[Date], A75)&gt;0, "Y", "N")</f>
        <v>N</v>
      </c>
      <c r="J75" s="11" t="str">
        <f>IFERROR(_xlfn.XLOOKUP(A75, EventsAll[Date], EventsAll[Event]),"")</f>
        <v/>
      </c>
      <c r="K75" s="4" t="str" cm="1">
        <f t="array" ref="K75">IF(SUMPRODUCT((A75&gt;=SchoolHols[Start])*(A75&lt;=SchoolHols[End]))&gt;0,"Y","N")</f>
        <v>Y</v>
      </c>
    </row>
    <row r="76" spans="1:11">
      <c r="A76" s="6">
        <f t="shared" si="11"/>
        <v>43540</v>
      </c>
      <c r="B76" s="4" t="str">
        <f t="shared" si="6"/>
        <v>16</v>
      </c>
      <c r="C76" s="4" t="str">
        <f t="shared" si="7"/>
        <v>03</v>
      </c>
      <c r="D76" s="4" t="str">
        <f t="shared" si="8"/>
        <v>2019</v>
      </c>
      <c r="E76" s="3" t="str">
        <f t="shared" si="9"/>
        <v>Saturday</v>
      </c>
      <c r="F76" s="4" t="str">
        <f t="shared" si="10"/>
        <v>N</v>
      </c>
      <c r="G76" s="4" t="str">
        <f>IF(COUNTIF(PublicHols[Date], A76)&gt;0, "Y", "N")</f>
        <v>N</v>
      </c>
      <c r="H76" s="3" t="str">
        <f>IFERROR(_xlfn.XLOOKUP(A76, PublicHols[Date], PublicHols[PH_Name]),"")</f>
        <v/>
      </c>
      <c r="I76" s="4" t="str">
        <f>IF(COUNTIF(EventsAll[Date], A76)&gt;0, "Y", "N")</f>
        <v>N</v>
      </c>
      <c r="J76" s="11" t="str">
        <f>IFERROR(_xlfn.XLOOKUP(A76, EventsAll[Date], EventsAll[Event]),"")</f>
        <v/>
      </c>
      <c r="K76" s="4" t="str" cm="1">
        <f t="array" ref="K76">IF(SUMPRODUCT((A76&gt;=SchoolHols[Start])*(A76&lt;=SchoolHols[End]))&gt;0,"Y","N")</f>
        <v>Y</v>
      </c>
    </row>
    <row r="77" spans="1:11">
      <c r="A77" s="6">
        <f t="shared" si="11"/>
        <v>43541</v>
      </c>
      <c r="B77" s="4" t="str">
        <f t="shared" si="6"/>
        <v>17</v>
      </c>
      <c r="C77" s="4" t="str">
        <f t="shared" si="7"/>
        <v>03</v>
      </c>
      <c r="D77" s="4" t="str">
        <f t="shared" si="8"/>
        <v>2019</v>
      </c>
      <c r="E77" s="3" t="str">
        <f t="shared" si="9"/>
        <v>Sunday</v>
      </c>
      <c r="F77" s="4" t="str">
        <f t="shared" si="10"/>
        <v>Y</v>
      </c>
      <c r="G77" s="4" t="str">
        <f>IF(COUNTIF(PublicHols[Date], A77)&gt;0, "Y", "N")</f>
        <v>N</v>
      </c>
      <c r="H77" s="3" t="str">
        <f>IFERROR(_xlfn.XLOOKUP(A77, PublicHols[Date], PublicHols[PH_Name]),"")</f>
        <v/>
      </c>
      <c r="I77" s="4" t="str">
        <f>IF(COUNTIF(EventsAll[Date], A77)&gt;0, "Y", "N")</f>
        <v>N</v>
      </c>
      <c r="J77" s="11" t="str">
        <f>IFERROR(_xlfn.XLOOKUP(A77, EventsAll[Date], EventsAll[Event]),"")</f>
        <v/>
      </c>
      <c r="K77" s="4" t="str" cm="1">
        <f t="array" ref="K77">IF(SUMPRODUCT((A77&gt;=SchoolHols[Start])*(A77&lt;=SchoolHols[End]))&gt;0,"Y","N")</f>
        <v>Y</v>
      </c>
    </row>
    <row r="78" spans="1:11">
      <c r="A78" s="6">
        <f t="shared" si="11"/>
        <v>43542</v>
      </c>
      <c r="B78" s="4" t="str">
        <f t="shared" si="6"/>
        <v>18</v>
      </c>
      <c r="C78" s="4" t="str">
        <f t="shared" si="7"/>
        <v>03</v>
      </c>
      <c r="D78" s="4" t="str">
        <f t="shared" si="8"/>
        <v>2019</v>
      </c>
      <c r="E78" s="3" t="str">
        <f t="shared" si="9"/>
        <v>Monday</v>
      </c>
      <c r="F78" s="4" t="str">
        <f t="shared" si="10"/>
        <v>N</v>
      </c>
      <c r="G78" s="4" t="str">
        <f>IF(COUNTIF(PublicHols[Date], A78)&gt;0, "Y", "N")</f>
        <v>N</v>
      </c>
      <c r="H78" s="3" t="str">
        <f>IFERROR(_xlfn.XLOOKUP(A78, PublicHols[Date], PublicHols[PH_Name]),"")</f>
        <v/>
      </c>
      <c r="I78" s="4" t="str">
        <f>IF(COUNTIF(EventsAll[Date], A78)&gt;0, "Y", "N")</f>
        <v>N</v>
      </c>
      <c r="J78" s="11" t="str">
        <f>IFERROR(_xlfn.XLOOKUP(A78, EventsAll[Date], EventsAll[Event]),"")</f>
        <v/>
      </c>
      <c r="K78" s="4" t="str" cm="1">
        <f t="array" ref="K78">IF(SUMPRODUCT((A78&gt;=SchoolHols[Start])*(A78&lt;=SchoolHols[End]))&gt;0,"Y","N")</f>
        <v>Y</v>
      </c>
    </row>
    <row r="79" spans="1:11">
      <c r="A79" s="6">
        <f t="shared" si="11"/>
        <v>43543</v>
      </c>
      <c r="B79" s="4" t="str">
        <f t="shared" si="6"/>
        <v>19</v>
      </c>
      <c r="C79" s="4" t="str">
        <f t="shared" si="7"/>
        <v>03</v>
      </c>
      <c r="D79" s="4" t="str">
        <f t="shared" si="8"/>
        <v>2019</v>
      </c>
      <c r="E79" s="3" t="str">
        <f t="shared" si="9"/>
        <v>Tuesday</v>
      </c>
      <c r="F79" s="4" t="str">
        <f t="shared" si="10"/>
        <v>N</v>
      </c>
      <c r="G79" s="4" t="str">
        <f>IF(COUNTIF(PublicHols[Date], A79)&gt;0, "Y", "N")</f>
        <v>N</v>
      </c>
      <c r="H79" s="3" t="str">
        <f>IFERROR(_xlfn.XLOOKUP(A79, PublicHols[Date], PublicHols[PH_Name]),"")</f>
        <v/>
      </c>
      <c r="I79" s="4" t="str">
        <f>IF(COUNTIF(EventsAll[Date], A79)&gt;0, "Y", "N")</f>
        <v>N</v>
      </c>
      <c r="J79" s="11" t="str">
        <f>IFERROR(_xlfn.XLOOKUP(A79, EventsAll[Date], EventsAll[Event]),"")</f>
        <v/>
      </c>
      <c r="K79" s="4" t="str" cm="1">
        <f t="array" ref="K79">IF(SUMPRODUCT((A79&gt;=SchoolHols[Start])*(A79&lt;=SchoolHols[End]))&gt;0,"Y","N")</f>
        <v>Y</v>
      </c>
    </row>
    <row r="80" spans="1:11">
      <c r="A80" s="6">
        <f t="shared" si="11"/>
        <v>43544</v>
      </c>
      <c r="B80" s="4" t="str">
        <f t="shared" si="6"/>
        <v>20</v>
      </c>
      <c r="C80" s="4" t="str">
        <f t="shared" si="7"/>
        <v>03</v>
      </c>
      <c r="D80" s="4" t="str">
        <f t="shared" si="8"/>
        <v>2019</v>
      </c>
      <c r="E80" s="3" t="str">
        <f t="shared" si="9"/>
        <v>Wednesday</v>
      </c>
      <c r="F80" s="4" t="str">
        <f t="shared" si="10"/>
        <v>N</v>
      </c>
      <c r="G80" s="4" t="str">
        <f>IF(COUNTIF(PublicHols[Date], A80)&gt;0, "Y", "N")</f>
        <v>N</v>
      </c>
      <c r="H80" s="3" t="str">
        <f>IFERROR(_xlfn.XLOOKUP(A80, PublicHols[Date], PublicHols[PH_Name]),"")</f>
        <v/>
      </c>
      <c r="I80" s="4" t="str">
        <f>IF(COUNTIF(EventsAll[Date], A80)&gt;0, "Y", "N")</f>
        <v>N</v>
      </c>
      <c r="J80" s="11" t="str">
        <f>IFERROR(_xlfn.XLOOKUP(A80, EventsAll[Date], EventsAll[Event]),"")</f>
        <v/>
      </c>
      <c r="K80" s="4" t="str" cm="1">
        <f t="array" ref="K80">IF(SUMPRODUCT((A80&gt;=SchoolHols[Start])*(A80&lt;=SchoolHols[End]))&gt;0,"Y","N")</f>
        <v>Y</v>
      </c>
    </row>
    <row r="81" spans="1:11">
      <c r="A81" s="6">
        <f t="shared" si="11"/>
        <v>43545</v>
      </c>
      <c r="B81" s="4" t="str">
        <f t="shared" si="6"/>
        <v>21</v>
      </c>
      <c r="C81" s="4" t="str">
        <f t="shared" si="7"/>
        <v>03</v>
      </c>
      <c r="D81" s="4" t="str">
        <f t="shared" si="8"/>
        <v>2019</v>
      </c>
      <c r="E81" s="3" t="str">
        <f t="shared" si="9"/>
        <v>Thursday</v>
      </c>
      <c r="F81" s="4" t="str">
        <f t="shared" si="10"/>
        <v>N</v>
      </c>
      <c r="G81" s="4" t="str">
        <f>IF(COUNTIF(PublicHols[Date], A81)&gt;0, "Y", "N")</f>
        <v>Y</v>
      </c>
      <c r="H81" s="3" t="str">
        <f>IFERROR(_xlfn.XLOOKUP(A81, PublicHols[Date], PublicHols[PH_Name]),"")</f>
        <v>Human Rights Day</v>
      </c>
      <c r="I81" s="4" t="str">
        <f>IF(COUNTIF(EventsAll[Date], A81)&gt;0, "Y", "N")</f>
        <v>N</v>
      </c>
      <c r="J81" s="11" t="str">
        <f>IFERROR(_xlfn.XLOOKUP(A81, EventsAll[Date], EventsAll[Event]),"")</f>
        <v/>
      </c>
      <c r="K81" s="4" t="str" cm="1">
        <f t="array" ref="K81">IF(SUMPRODUCT((A81&gt;=SchoolHols[Start])*(A81&lt;=SchoolHols[End]))&gt;0,"Y","N")</f>
        <v>Y</v>
      </c>
    </row>
    <row r="82" spans="1:11">
      <c r="A82" s="6">
        <f t="shared" si="11"/>
        <v>43546</v>
      </c>
      <c r="B82" s="4" t="str">
        <f t="shared" si="6"/>
        <v>22</v>
      </c>
      <c r="C82" s="4" t="str">
        <f t="shared" si="7"/>
        <v>03</v>
      </c>
      <c r="D82" s="4" t="str">
        <f t="shared" si="8"/>
        <v>2019</v>
      </c>
      <c r="E82" s="3" t="str">
        <f t="shared" si="9"/>
        <v>Friday</v>
      </c>
      <c r="F82" s="4" t="str">
        <f t="shared" si="10"/>
        <v>N</v>
      </c>
      <c r="G82" s="4" t="str">
        <f>IF(COUNTIF(PublicHols[Date], A82)&gt;0, "Y", "N")</f>
        <v>N</v>
      </c>
      <c r="H82" s="3" t="str">
        <f>IFERROR(_xlfn.XLOOKUP(A82, PublicHols[Date], PublicHols[PH_Name]),"")</f>
        <v/>
      </c>
      <c r="I82" s="4" t="str">
        <f>IF(COUNTIF(EventsAll[Date], A82)&gt;0, "Y", "N")</f>
        <v>N</v>
      </c>
      <c r="J82" s="11" t="str">
        <f>IFERROR(_xlfn.XLOOKUP(A82, EventsAll[Date], EventsAll[Event]),"")</f>
        <v/>
      </c>
      <c r="K82" s="4" t="str" cm="1">
        <f t="array" ref="K82">IF(SUMPRODUCT((A82&gt;=SchoolHols[Start])*(A82&lt;=SchoolHols[End]))&gt;0,"Y","N")</f>
        <v>Y</v>
      </c>
    </row>
    <row r="83" spans="1:11">
      <c r="A83" s="6">
        <f t="shared" si="11"/>
        <v>43547</v>
      </c>
      <c r="B83" s="4" t="str">
        <f t="shared" si="6"/>
        <v>23</v>
      </c>
      <c r="C83" s="4" t="str">
        <f t="shared" si="7"/>
        <v>03</v>
      </c>
      <c r="D83" s="4" t="str">
        <f t="shared" si="8"/>
        <v>2019</v>
      </c>
      <c r="E83" s="3" t="str">
        <f t="shared" si="9"/>
        <v>Saturday</v>
      </c>
      <c r="F83" s="4" t="str">
        <f t="shared" si="10"/>
        <v>N</v>
      </c>
      <c r="G83" s="4" t="str">
        <f>IF(COUNTIF(PublicHols[Date], A83)&gt;0, "Y", "N")</f>
        <v>N</v>
      </c>
      <c r="H83" s="3" t="str">
        <f>IFERROR(_xlfn.XLOOKUP(A83, PublicHols[Date], PublicHols[PH_Name]),"")</f>
        <v/>
      </c>
      <c r="I83" s="4" t="str">
        <f>IF(COUNTIF(EventsAll[Date], A83)&gt;0, "Y", "N")</f>
        <v>N</v>
      </c>
      <c r="J83" s="11" t="str">
        <f>IFERROR(_xlfn.XLOOKUP(A83, EventsAll[Date], EventsAll[Event]),"")</f>
        <v/>
      </c>
      <c r="K83" s="4" t="str" cm="1">
        <f t="array" ref="K83">IF(SUMPRODUCT((A83&gt;=SchoolHols[Start])*(A83&lt;=SchoolHols[End]))&gt;0,"Y","N")</f>
        <v>Y</v>
      </c>
    </row>
    <row r="84" spans="1:11">
      <c r="A84" s="6">
        <f t="shared" si="11"/>
        <v>43548</v>
      </c>
      <c r="B84" s="4" t="str">
        <f t="shared" si="6"/>
        <v>24</v>
      </c>
      <c r="C84" s="4" t="str">
        <f t="shared" si="7"/>
        <v>03</v>
      </c>
      <c r="D84" s="4" t="str">
        <f t="shared" si="8"/>
        <v>2019</v>
      </c>
      <c r="E84" s="3" t="str">
        <f t="shared" si="9"/>
        <v>Sunday</v>
      </c>
      <c r="F84" s="4" t="str">
        <f t="shared" si="10"/>
        <v>Y</v>
      </c>
      <c r="G84" s="4" t="str">
        <f>IF(COUNTIF(PublicHols[Date], A84)&gt;0, "Y", "N")</f>
        <v>N</v>
      </c>
      <c r="H84" s="3" t="str">
        <f>IFERROR(_xlfn.XLOOKUP(A84, PublicHols[Date], PublicHols[PH_Name]),"")</f>
        <v/>
      </c>
      <c r="I84" s="4" t="str">
        <f>IF(COUNTIF(EventsAll[Date], A84)&gt;0, "Y", "N")</f>
        <v>N</v>
      </c>
      <c r="J84" s="11" t="str">
        <f>IFERROR(_xlfn.XLOOKUP(A84, EventsAll[Date], EventsAll[Event]),"")</f>
        <v/>
      </c>
      <c r="K84" s="4" t="str" cm="1">
        <f t="array" ref="K84">IF(SUMPRODUCT((A84&gt;=SchoolHols[Start])*(A84&lt;=SchoolHols[End]))&gt;0,"Y","N")</f>
        <v>Y</v>
      </c>
    </row>
    <row r="85" spans="1:11">
      <c r="A85" s="6">
        <f t="shared" si="11"/>
        <v>43549</v>
      </c>
      <c r="B85" s="4" t="str">
        <f t="shared" si="6"/>
        <v>25</v>
      </c>
      <c r="C85" s="4" t="str">
        <f t="shared" si="7"/>
        <v>03</v>
      </c>
      <c r="D85" s="4" t="str">
        <f t="shared" si="8"/>
        <v>2019</v>
      </c>
      <c r="E85" s="3" t="str">
        <f t="shared" si="9"/>
        <v>Monday</v>
      </c>
      <c r="F85" s="4" t="str">
        <f t="shared" si="10"/>
        <v>N</v>
      </c>
      <c r="G85" s="4" t="str">
        <f>IF(COUNTIF(PublicHols[Date], A85)&gt;0, "Y", "N")</f>
        <v>N</v>
      </c>
      <c r="H85" s="3" t="str">
        <f>IFERROR(_xlfn.XLOOKUP(A85, PublicHols[Date], PublicHols[PH_Name]),"")</f>
        <v/>
      </c>
      <c r="I85" s="4" t="str">
        <f>IF(COUNTIF(EventsAll[Date], A85)&gt;0, "Y", "N")</f>
        <v>N</v>
      </c>
      <c r="J85" s="11" t="str">
        <f>IFERROR(_xlfn.XLOOKUP(A85, EventsAll[Date], EventsAll[Event]),"")</f>
        <v/>
      </c>
      <c r="K85" s="4" t="str" cm="1">
        <f t="array" ref="K85">IF(SUMPRODUCT((A85&gt;=SchoolHols[Start])*(A85&lt;=SchoolHols[End]))&gt;0,"Y","N")</f>
        <v>Y</v>
      </c>
    </row>
    <row r="86" spans="1:11">
      <c r="A86" s="6">
        <f t="shared" si="11"/>
        <v>43550</v>
      </c>
      <c r="B86" s="4" t="str">
        <f t="shared" si="6"/>
        <v>26</v>
      </c>
      <c r="C86" s="4" t="str">
        <f t="shared" si="7"/>
        <v>03</v>
      </c>
      <c r="D86" s="4" t="str">
        <f t="shared" si="8"/>
        <v>2019</v>
      </c>
      <c r="E86" s="3" t="str">
        <f t="shared" si="9"/>
        <v>Tuesday</v>
      </c>
      <c r="F86" s="4" t="str">
        <f t="shared" si="10"/>
        <v>N</v>
      </c>
      <c r="G86" s="4" t="str">
        <f>IF(COUNTIF(PublicHols[Date], A86)&gt;0, "Y", "N")</f>
        <v>N</v>
      </c>
      <c r="H86" s="3" t="str">
        <f>IFERROR(_xlfn.XLOOKUP(A86, PublicHols[Date], PublicHols[PH_Name]),"")</f>
        <v/>
      </c>
      <c r="I86" s="4" t="str">
        <f>IF(COUNTIF(EventsAll[Date], A86)&gt;0, "Y", "N")</f>
        <v>N</v>
      </c>
      <c r="J86" s="11" t="str">
        <f>IFERROR(_xlfn.XLOOKUP(A86, EventsAll[Date], EventsAll[Event]),"")</f>
        <v/>
      </c>
      <c r="K86" s="4" t="str" cm="1">
        <f t="array" ref="K86">IF(SUMPRODUCT((A86&gt;=SchoolHols[Start])*(A86&lt;=SchoolHols[End]))&gt;0,"Y","N")</f>
        <v>Y</v>
      </c>
    </row>
    <row r="87" spans="1:11">
      <c r="A87" s="6">
        <f t="shared" si="11"/>
        <v>43551</v>
      </c>
      <c r="B87" s="4" t="str">
        <f t="shared" si="6"/>
        <v>27</v>
      </c>
      <c r="C87" s="4" t="str">
        <f t="shared" si="7"/>
        <v>03</v>
      </c>
      <c r="D87" s="4" t="str">
        <f t="shared" si="8"/>
        <v>2019</v>
      </c>
      <c r="E87" s="3" t="str">
        <f t="shared" si="9"/>
        <v>Wednesday</v>
      </c>
      <c r="F87" s="4" t="str">
        <f t="shared" si="10"/>
        <v>N</v>
      </c>
      <c r="G87" s="4" t="str">
        <f>IF(COUNTIF(PublicHols[Date], A87)&gt;0, "Y", "N")</f>
        <v>N</v>
      </c>
      <c r="H87" s="3" t="str">
        <f>IFERROR(_xlfn.XLOOKUP(A87, PublicHols[Date], PublicHols[PH_Name]),"")</f>
        <v/>
      </c>
      <c r="I87" s="4" t="str">
        <f>IF(COUNTIF(EventsAll[Date], A87)&gt;0, "Y", "N")</f>
        <v>N</v>
      </c>
      <c r="J87" s="11" t="str">
        <f>IFERROR(_xlfn.XLOOKUP(A87, EventsAll[Date], EventsAll[Event]),"")</f>
        <v/>
      </c>
      <c r="K87" s="4" t="str" cm="1">
        <f t="array" ref="K87">IF(SUMPRODUCT((A87&gt;=SchoolHols[Start])*(A87&lt;=SchoolHols[End]))&gt;0,"Y","N")</f>
        <v>Y</v>
      </c>
    </row>
    <row r="88" spans="1:11">
      <c r="A88" s="6">
        <f t="shared" si="11"/>
        <v>43552</v>
      </c>
      <c r="B88" s="4" t="str">
        <f t="shared" si="6"/>
        <v>28</v>
      </c>
      <c r="C88" s="4" t="str">
        <f t="shared" si="7"/>
        <v>03</v>
      </c>
      <c r="D88" s="4" t="str">
        <f t="shared" si="8"/>
        <v>2019</v>
      </c>
      <c r="E88" s="3" t="str">
        <f t="shared" si="9"/>
        <v>Thursday</v>
      </c>
      <c r="F88" s="4" t="str">
        <f t="shared" si="10"/>
        <v>N</v>
      </c>
      <c r="G88" s="4" t="str">
        <f>IF(COUNTIF(PublicHols[Date], A88)&gt;0, "Y", "N")</f>
        <v>N</v>
      </c>
      <c r="H88" s="3" t="str">
        <f>IFERROR(_xlfn.XLOOKUP(A88, PublicHols[Date], PublicHols[PH_Name]),"")</f>
        <v/>
      </c>
      <c r="I88" s="4" t="str">
        <f>IF(COUNTIF(EventsAll[Date], A88)&gt;0, "Y", "N")</f>
        <v>N</v>
      </c>
      <c r="J88" s="11" t="str">
        <f>IFERROR(_xlfn.XLOOKUP(A88, EventsAll[Date], EventsAll[Event]),"")</f>
        <v/>
      </c>
      <c r="K88" s="4" t="str" cm="1">
        <f t="array" ref="K88">IF(SUMPRODUCT((A88&gt;=SchoolHols[Start])*(A88&lt;=SchoolHols[End]))&gt;0,"Y","N")</f>
        <v>Y</v>
      </c>
    </row>
    <row r="89" spans="1:11">
      <c r="A89" s="6">
        <f t="shared" si="11"/>
        <v>43553</v>
      </c>
      <c r="B89" s="4" t="str">
        <f t="shared" si="6"/>
        <v>29</v>
      </c>
      <c r="C89" s="4" t="str">
        <f t="shared" si="7"/>
        <v>03</v>
      </c>
      <c r="D89" s="4" t="str">
        <f t="shared" si="8"/>
        <v>2019</v>
      </c>
      <c r="E89" s="3" t="str">
        <f t="shared" si="9"/>
        <v>Friday</v>
      </c>
      <c r="F89" s="4" t="str">
        <f t="shared" si="10"/>
        <v>N</v>
      </c>
      <c r="G89" s="4" t="str">
        <f>IF(COUNTIF(PublicHols[Date], A89)&gt;0, "Y", "N")</f>
        <v>N</v>
      </c>
      <c r="H89" s="3" t="str">
        <f>IFERROR(_xlfn.XLOOKUP(A89, PublicHols[Date], PublicHols[PH_Name]),"")</f>
        <v/>
      </c>
      <c r="I89" s="4" t="str">
        <f>IF(COUNTIF(EventsAll[Date], A89)&gt;0, "Y", "N")</f>
        <v>N</v>
      </c>
      <c r="J89" s="11" t="str">
        <f>IFERROR(_xlfn.XLOOKUP(A89, EventsAll[Date], EventsAll[Event]),"")</f>
        <v/>
      </c>
      <c r="K89" s="4" t="str" cm="1">
        <f t="array" ref="K89">IF(SUMPRODUCT((A89&gt;=SchoolHols[Start])*(A89&lt;=SchoolHols[End]))&gt;0,"Y","N")</f>
        <v>Y</v>
      </c>
    </row>
    <row r="90" spans="1:11">
      <c r="A90" s="6">
        <f t="shared" si="11"/>
        <v>43554</v>
      </c>
      <c r="B90" s="4" t="str">
        <f t="shared" si="6"/>
        <v>30</v>
      </c>
      <c r="C90" s="4" t="str">
        <f t="shared" si="7"/>
        <v>03</v>
      </c>
      <c r="D90" s="4" t="str">
        <f t="shared" si="8"/>
        <v>2019</v>
      </c>
      <c r="E90" s="3" t="str">
        <f t="shared" si="9"/>
        <v>Saturday</v>
      </c>
      <c r="F90" s="4" t="str">
        <f t="shared" si="10"/>
        <v>N</v>
      </c>
      <c r="G90" s="4" t="str">
        <f>IF(COUNTIF(PublicHols[Date], A90)&gt;0, "Y", "N")</f>
        <v>N</v>
      </c>
      <c r="H90" s="3" t="str">
        <f>IFERROR(_xlfn.XLOOKUP(A90, PublicHols[Date], PublicHols[PH_Name]),"")</f>
        <v/>
      </c>
      <c r="I90" s="4" t="str">
        <f>IF(COUNTIF(EventsAll[Date], A90)&gt;0, "Y", "N")</f>
        <v>N</v>
      </c>
      <c r="J90" s="11" t="str">
        <f>IFERROR(_xlfn.XLOOKUP(A90, EventsAll[Date], EventsAll[Event]),"")</f>
        <v/>
      </c>
      <c r="K90" s="4" t="str" cm="1">
        <f t="array" ref="K90">IF(SUMPRODUCT((A90&gt;=SchoolHols[Start])*(A90&lt;=SchoolHols[End]))&gt;0,"Y","N")</f>
        <v>Y</v>
      </c>
    </row>
    <row r="91" spans="1:11">
      <c r="A91" s="6">
        <f t="shared" si="11"/>
        <v>43555</v>
      </c>
      <c r="B91" s="4" t="str">
        <f t="shared" si="6"/>
        <v>31</v>
      </c>
      <c r="C91" s="4" t="str">
        <f t="shared" si="7"/>
        <v>03</v>
      </c>
      <c r="D91" s="4" t="str">
        <f t="shared" si="8"/>
        <v>2019</v>
      </c>
      <c r="E91" s="3" t="str">
        <f t="shared" si="9"/>
        <v>Sunday</v>
      </c>
      <c r="F91" s="4" t="str">
        <f t="shared" si="10"/>
        <v>Y</v>
      </c>
      <c r="G91" s="4" t="str">
        <f>IF(COUNTIF(PublicHols[Date], A91)&gt;0, "Y", "N")</f>
        <v>N</v>
      </c>
      <c r="H91" s="3" t="str">
        <f>IFERROR(_xlfn.XLOOKUP(A91, PublicHols[Date], PublicHols[PH_Name]),"")</f>
        <v/>
      </c>
      <c r="I91" s="4" t="str">
        <f>IF(COUNTIF(EventsAll[Date], A91)&gt;0, "Y", "N")</f>
        <v>N</v>
      </c>
      <c r="J91" s="11" t="str">
        <f>IFERROR(_xlfn.XLOOKUP(A91, EventsAll[Date], EventsAll[Event]),"")</f>
        <v/>
      </c>
      <c r="K91" s="4" t="str" cm="1">
        <f t="array" ref="K91">IF(SUMPRODUCT((A91&gt;=SchoolHols[Start])*(A91&lt;=SchoolHols[End]))&gt;0,"Y","N")</f>
        <v>Y</v>
      </c>
    </row>
    <row r="92" spans="1:11">
      <c r="A92" s="6">
        <f t="shared" si="11"/>
        <v>43556</v>
      </c>
      <c r="B92" s="4" t="str">
        <f t="shared" si="6"/>
        <v>01</v>
      </c>
      <c r="C92" s="4" t="str">
        <f t="shared" si="7"/>
        <v>04</v>
      </c>
      <c r="D92" s="4" t="str">
        <f t="shared" si="8"/>
        <v>2019</v>
      </c>
      <c r="E92" s="3" t="str">
        <f t="shared" si="9"/>
        <v>Monday</v>
      </c>
      <c r="F92" s="4" t="str">
        <f t="shared" si="10"/>
        <v>N</v>
      </c>
      <c r="G92" s="4" t="str">
        <f>IF(COUNTIF(PublicHols[Date], A92)&gt;0, "Y", "N")</f>
        <v>N</v>
      </c>
      <c r="H92" s="3" t="str">
        <f>IFERROR(_xlfn.XLOOKUP(A92, PublicHols[Date], PublicHols[PH_Name]),"")</f>
        <v/>
      </c>
      <c r="I92" s="4" t="str">
        <f>IF(COUNTIF(EventsAll[Date], A92)&gt;0, "Y", "N")</f>
        <v>N</v>
      </c>
      <c r="J92" s="11" t="str">
        <f>IFERROR(_xlfn.XLOOKUP(A92, EventsAll[Date], EventsAll[Event]),"")</f>
        <v/>
      </c>
      <c r="K92" s="4" t="str" cm="1">
        <f t="array" ref="K92">IF(SUMPRODUCT((A92&gt;=SchoolHols[Start])*(A92&lt;=SchoolHols[End]))&gt;0,"Y","N")</f>
        <v>Y</v>
      </c>
    </row>
    <row r="93" spans="1:11">
      <c r="A93" s="6">
        <f t="shared" si="11"/>
        <v>43557</v>
      </c>
      <c r="B93" s="4" t="str">
        <f t="shared" si="6"/>
        <v>02</v>
      </c>
      <c r="C93" s="4" t="str">
        <f t="shared" si="7"/>
        <v>04</v>
      </c>
      <c r="D93" s="4" t="str">
        <f t="shared" si="8"/>
        <v>2019</v>
      </c>
      <c r="E93" s="3" t="str">
        <f t="shared" si="9"/>
        <v>Tuesday</v>
      </c>
      <c r="F93" s="4" t="str">
        <f t="shared" si="10"/>
        <v>N</v>
      </c>
      <c r="G93" s="4" t="str">
        <f>IF(COUNTIF(PublicHols[Date], A93)&gt;0, "Y", "N")</f>
        <v>N</v>
      </c>
      <c r="H93" s="3" t="str">
        <f>IFERROR(_xlfn.XLOOKUP(A93, PublicHols[Date], PublicHols[PH_Name]),"")</f>
        <v/>
      </c>
      <c r="I93" s="4" t="str">
        <f>IF(COUNTIF(EventsAll[Date], A93)&gt;0, "Y", "N")</f>
        <v>N</v>
      </c>
      <c r="J93" s="11" t="str">
        <f>IFERROR(_xlfn.XLOOKUP(A93, EventsAll[Date], EventsAll[Event]),"")</f>
        <v/>
      </c>
      <c r="K93" s="4" t="str" cm="1">
        <f t="array" ref="K93">IF(SUMPRODUCT((A93&gt;=SchoolHols[Start])*(A93&lt;=SchoolHols[End]))&gt;0,"Y","N")</f>
        <v>Y</v>
      </c>
    </row>
    <row r="94" spans="1:11">
      <c r="A94" s="6">
        <f t="shared" si="11"/>
        <v>43558</v>
      </c>
      <c r="B94" s="4" t="str">
        <f t="shared" si="6"/>
        <v>03</v>
      </c>
      <c r="C94" s="4" t="str">
        <f t="shared" si="7"/>
        <v>04</v>
      </c>
      <c r="D94" s="4" t="str">
        <f t="shared" si="8"/>
        <v>2019</v>
      </c>
      <c r="E94" s="3" t="str">
        <f t="shared" si="9"/>
        <v>Wednesday</v>
      </c>
      <c r="F94" s="4" t="str">
        <f t="shared" si="10"/>
        <v>N</v>
      </c>
      <c r="G94" s="4" t="str">
        <f>IF(COUNTIF(PublicHols[Date], A94)&gt;0, "Y", "N")</f>
        <v>N</v>
      </c>
      <c r="H94" s="3" t="str">
        <f>IFERROR(_xlfn.XLOOKUP(A94, PublicHols[Date], PublicHols[PH_Name]),"")</f>
        <v/>
      </c>
      <c r="I94" s="4" t="str">
        <f>IF(COUNTIF(EventsAll[Date], A94)&gt;0, "Y", "N")</f>
        <v>N</v>
      </c>
      <c r="J94" s="11" t="str">
        <f>IFERROR(_xlfn.XLOOKUP(A94, EventsAll[Date], EventsAll[Event]),"")</f>
        <v/>
      </c>
      <c r="K94" s="4" t="str" cm="1">
        <f t="array" ref="K94">IF(SUMPRODUCT((A94&gt;=SchoolHols[Start])*(A94&lt;=SchoolHols[End]))&gt;0,"Y","N")</f>
        <v>N</v>
      </c>
    </row>
    <row r="95" spans="1:11">
      <c r="A95" s="6">
        <f t="shared" si="11"/>
        <v>43559</v>
      </c>
      <c r="B95" s="4" t="str">
        <f t="shared" si="6"/>
        <v>04</v>
      </c>
      <c r="C95" s="4" t="str">
        <f t="shared" si="7"/>
        <v>04</v>
      </c>
      <c r="D95" s="4" t="str">
        <f t="shared" si="8"/>
        <v>2019</v>
      </c>
      <c r="E95" s="3" t="str">
        <f t="shared" si="9"/>
        <v>Thursday</v>
      </c>
      <c r="F95" s="4" t="str">
        <f t="shared" si="10"/>
        <v>N</v>
      </c>
      <c r="G95" s="4" t="str">
        <f>IF(COUNTIF(PublicHols[Date], A95)&gt;0, "Y", "N")</f>
        <v>N</v>
      </c>
      <c r="H95" s="3" t="str">
        <f>IFERROR(_xlfn.XLOOKUP(A95, PublicHols[Date], PublicHols[PH_Name]),"")</f>
        <v/>
      </c>
      <c r="I95" s="4" t="str">
        <f>IF(COUNTIF(EventsAll[Date], A95)&gt;0, "Y", "N")</f>
        <v>N</v>
      </c>
      <c r="J95" s="11" t="str">
        <f>IFERROR(_xlfn.XLOOKUP(A95, EventsAll[Date], EventsAll[Event]),"")</f>
        <v/>
      </c>
      <c r="K95" s="4" t="str" cm="1">
        <f t="array" ref="K95">IF(SUMPRODUCT((A95&gt;=SchoolHols[Start])*(A95&lt;=SchoolHols[End]))&gt;0,"Y","N")</f>
        <v>N</v>
      </c>
    </row>
    <row r="96" spans="1:11">
      <c r="A96" s="6">
        <f t="shared" si="11"/>
        <v>43560</v>
      </c>
      <c r="B96" s="4" t="str">
        <f t="shared" si="6"/>
        <v>05</v>
      </c>
      <c r="C96" s="4" t="str">
        <f t="shared" si="7"/>
        <v>04</v>
      </c>
      <c r="D96" s="4" t="str">
        <f t="shared" si="8"/>
        <v>2019</v>
      </c>
      <c r="E96" s="3" t="str">
        <f t="shared" si="9"/>
        <v>Friday</v>
      </c>
      <c r="F96" s="4" t="str">
        <f t="shared" si="10"/>
        <v>N</v>
      </c>
      <c r="G96" s="4" t="str">
        <f>IF(COUNTIF(PublicHols[Date], A96)&gt;0, "Y", "N")</f>
        <v>N</v>
      </c>
      <c r="H96" s="3" t="str">
        <f>IFERROR(_xlfn.XLOOKUP(A96, PublicHols[Date], PublicHols[PH_Name]),"")</f>
        <v/>
      </c>
      <c r="I96" s="4" t="str">
        <f>IF(COUNTIF(EventsAll[Date], A96)&gt;0, "Y", "N")</f>
        <v>N</v>
      </c>
      <c r="J96" s="11" t="str">
        <f>IFERROR(_xlfn.XLOOKUP(A96, EventsAll[Date], EventsAll[Event]),"")</f>
        <v/>
      </c>
      <c r="K96" s="4" t="str" cm="1">
        <f t="array" ref="K96">IF(SUMPRODUCT((A96&gt;=SchoolHols[Start])*(A96&lt;=SchoolHols[End]))&gt;0,"Y","N")</f>
        <v>N</v>
      </c>
    </row>
    <row r="97" spans="1:11">
      <c r="A97" s="6">
        <f t="shared" si="11"/>
        <v>43561</v>
      </c>
      <c r="B97" s="4" t="str">
        <f t="shared" si="6"/>
        <v>06</v>
      </c>
      <c r="C97" s="4" t="str">
        <f t="shared" si="7"/>
        <v>04</v>
      </c>
      <c r="D97" s="4" t="str">
        <f t="shared" si="8"/>
        <v>2019</v>
      </c>
      <c r="E97" s="3" t="str">
        <f t="shared" si="9"/>
        <v>Saturday</v>
      </c>
      <c r="F97" s="4" t="str">
        <f t="shared" si="10"/>
        <v>N</v>
      </c>
      <c r="G97" s="4" t="str">
        <f>IF(COUNTIF(PublicHols[Date], A97)&gt;0, "Y", "N")</f>
        <v>N</v>
      </c>
      <c r="H97" s="3" t="str">
        <f>IFERROR(_xlfn.XLOOKUP(A97, PublicHols[Date], PublicHols[PH_Name]),"")</f>
        <v/>
      </c>
      <c r="I97" s="4" t="str">
        <f>IF(COUNTIF(EventsAll[Date], A97)&gt;0, "Y", "N")</f>
        <v>N</v>
      </c>
      <c r="J97" s="11" t="str">
        <f>IFERROR(_xlfn.XLOOKUP(A97, EventsAll[Date], EventsAll[Event]),"")</f>
        <v/>
      </c>
      <c r="K97" s="4" t="str" cm="1">
        <f t="array" ref="K97">IF(SUMPRODUCT((A97&gt;=SchoolHols[Start])*(A97&lt;=SchoolHols[End]))&gt;0,"Y","N")</f>
        <v>N</v>
      </c>
    </row>
    <row r="98" spans="1:11">
      <c r="A98" s="6">
        <f t="shared" si="11"/>
        <v>43562</v>
      </c>
      <c r="B98" s="4" t="str">
        <f t="shared" si="6"/>
        <v>07</v>
      </c>
      <c r="C98" s="4" t="str">
        <f t="shared" si="7"/>
        <v>04</v>
      </c>
      <c r="D98" s="4" t="str">
        <f t="shared" si="8"/>
        <v>2019</v>
      </c>
      <c r="E98" s="3" t="str">
        <f t="shared" si="9"/>
        <v>Sunday</v>
      </c>
      <c r="F98" s="4" t="str">
        <f t="shared" si="10"/>
        <v>Y</v>
      </c>
      <c r="G98" s="4" t="str">
        <f>IF(COUNTIF(PublicHols[Date], A98)&gt;0, "Y", "N")</f>
        <v>N</v>
      </c>
      <c r="H98" s="3" t="str">
        <f>IFERROR(_xlfn.XLOOKUP(A98, PublicHols[Date], PublicHols[PH_Name]),"")</f>
        <v/>
      </c>
      <c r="I98" s="4" t="str">
        <f>IF(COUNTIF(EventsAll[Date], A98)&gt;0, "Y", "N")</f>
        <v>N</v>
      </c>
      <c r="J98" s="11" t="str">
        <f>IFERROR(_xlfn.XLOOKUP(A98, EventsAll[Date], EventsAll[Event]),"")</f>
        <v/>
      </c>
      <c r="K98" s="4" t="str" cm="1">
        <f t="array" ref="K98">IF(SUMPRODUCT((A98&gt;=SchoolHols[Start])*(A98&lt;=SchoolHols[End]))&gt;0,"Y","N")</f>
        <v>N</v>
      </c>
    </row>
    <row r="99" spans="1:11">
      <c r="A99" s="6">
        <f t="shared" si="11"/>
        <v>43563</v>
      </c>
      <c r="B99" s="4" t="str">
        <f t="shared" si="6"/>
        <v>08</v>
      </c>
      <c r="C99" s="4" t="str">
        <f t="shared" si="7"/>
        <v>04</v>
      </c>
      <c r="D99" s="4" t="str">
        <f t="shared" si="8"/>
        <v>2019</v>
      </c>
      <c r="E99" s="3" t="str">
        <f t="shared" si="9"/>
        <v>Monday</v>
      </c>
      <c r="F99" s="4" t="str">
        <f t="shared" si="10"/>
        <v>N</v>
      </c>
      <c r="G99" s="4" t="str">
        <f>IF(COUNTIF(PublicHols[Date], A99)&gt;0, "Y", "N")</f>
        <v>N</v>
      </c>
      <c r="H99" s="3" t="str">
        <f>IFERROR(_xlfn.XLOOKUP(A99, PublicHols[Date], PublicHols[PH_Name]),"")</f>
        <v/>
      </c>
      <c r="I99" s="4" t="str">
        <f>IF(COUNTIF(EventsAll[Date], A99)&gt;0, "Y", "N")</f>
        <v>N</v>
      </c>
      <c r="J99" s="11" t="str">
        <f>IFERROR(_xlfn.XLOOKUP(A99, EventsAll[Date], EventsAll[Event]),"")</f>
        <v/>
      </c>
      <c r="K99" s="4" t="str" cm="1">
        <f t="array" ref="K99">IF(SUMPRODUCT((A99&gt;=SchoolHols[Start])*(A99&lt;=SchoolHols[End]))&gt;0,"Y","N")</f>
        <v>N</v>
      </c>
    </row>
    <row r="100" spans="1:11">
      <c r="A100" s="6">
        <f t="shared" si="11"/>
        <v>43564</v>
      </c>
      <c r="B100" s="4" t="str">
        <f t="shared" si="6"/>
        <v>09</v>
      </c>
      <c r="C100" s="4" t="str">
        <f t="shared" si="7"/>
        <v>04</v>
      </c>
      <c r="D100" s="4" t="str">
        <f t="shared" si="8"/>
        <v>2019</v>
      </c>
      <c r="E100" s="3" t="str">
        <f t="shared" si="9"/>
        <v>Tuesday</v>
      </c>
      <c r="F100" s="4" t="str">
        <f t="shared" si="10"/>
        <v>N</v>
      </c>
      <c r="G100" s="4" t="str">
        <f>IF(COUNTIF(PublicHols[Date], A100)&gt;0, "Y", "N")</f>
        <v>N</v>
      </c>
      <c r="H100" s="3" t="str">
        <f>IFERROR(_xlfn.XLOOKUP(A100, PublicHols[Date], PublicHols[PH_Name]),"")</f>
        <v/>
      </c>
      <c r="I100" s="4" t="str">
        <f>IF(COUNTIF(EventsAll[Date], A100)&gt;0, "Y", "N")</f>
        <v>N</v>
      </c>
      <c r="J100" s="11" t="str">
        <f>IFERROR(_xlfn.XLOOKUP(A100, EventsAll[Date], EventsAll[Event]),"")</f>
        <v/>
      </c>
      <c r="K100" s="4" t="str" cm="1">
        <f t="array" ref="K100">IF(SUMPRODUCT((A100&gt;=SchoolHols[Start])*(A100&lt;=SchoolHols[End]))&gt;0,"Y","N")</f>
        <v>N</v>
      </c>
    </row>
    <row r="101" spans="1:11">
      <c r="A101" s="6">
        <f t="shared" si="11"/>
        <v>43565</v>
      </c>
      <c r="B101" s="4" t="str">
        <f t="shared" si="6"/>
        <v>10</v>
      </c>
      <c r="C101" s="4" t="str">
        <f t="shared" si="7"/>
        <v>04</v>
      </c>
      <c r="D101" s="4" t="str">
        <f t="shared" si="8"/>
        <v>2019</v>
      </c>
      <c r="E101" s="3" t="str">
        <f t="shared" si="9"/>
        <v>Wednesday</v>
      </c>
      <c r="F101" s="4" t="str">
        <f t="shared" si="10"/>
        <v>N</v>
      </c>
      <c r="G101" s="4" t="str">
        <f>IF(COUNTIF(PublicHols[Date], A101)&gt;0, "Y", "N")</f>
        <v>N</v>
      </c>
      <c r="H101" s="3" t="str">
        <f>IFERROR(_xlfn.XLOOKUP(A101, PublicHols[Date], PublicHols[PH_Name]),"")</f>
        <v/>
      </c>
      <c r="I101" s="4" t="str">
        <f>IF(COUNTIF(EventsAll[Date], A101)&gt;0, "Y", "N")</f>
        <v>N</v>
      </c>
      <c r="J101" s="11" t="str">
        <f>IFERROR(_xlfn.XLOOKUP(A101, EventsAll[Date], EventsAll[Event]),"")</f>
        <v/>
      </c>
      <c r="K101" s="4" t="str" cm="1">
        <f t="array" ref="K101">IF(SUMPRODUCT((A101&gt;=SchoolHols[Start])*(A101&lt;=SchoolHols[End]))&gt;0,"Y","N")</f>
        <v>N</v>
      </c>
    </row>
    <row r="102" spans="1:11">
      <c r="A102" s="6">
        <f t="shared" si="11"/>
        <v>43566</v>
      </c>
      <c r="B102" s="4" t="str">
        <f t="shared" si="6"/>
        <v>11</v>
      </c>
      <c r="C102" s="4" t="str">
        <f t="shared" si="7"/>
        <v>04</v>
      </c>
      <c r="D102" s="4" t="str">
        <f t="shared" si="8"/>
        <v>2019</v>
      </c>
      <c r="E102" s="3" t="str">
        <f t="shared" si="9"/>
        <v>Thursday</v>
      </c>
      <c r="F102" s="4" t="str">
        <f t="shared" si="10"/>
        <v>N</v>
      </c>
      <c r="G102" s="4" t="str">
        <f>IF(COUNTIF(PublicHols[Date], A102)&gt;0, "Y", "N")</f>
        <v>N</v>
      </c>
      <c r="H102" s="3" t="str">
        <f>IFERROR(_xlfn.XLOOKUP(A102, PublicHols[Date], PublicHols[PH_Name]),"")</f>
        <v/>
      </c>
      <c r="I102" s="4" t="str">
        <f>IF(COUNTIF(EventsAll[Date], A102)&gt;0, "Y", "N")</f>
        <v>N</v>
      </c>
      <c r="J102" s="11" t="str">
        <f>IFERROR(_xlfn.XLOOKUP(A102, EventsAll[Date], EventsAll[Event]),"")</f>
        <v/>
      </c>
      <c r="K102" s="4" t="str" cm="1">
        <f t="array" ref="K102">IF(SUMPRODUCT((A102&gt;=SchoolHols[Start])*(A102&lt;=SchoolHols[End]))&gt;0,"Y","N")</f>
        <v>N</v>
      </c>
    </row>
    <row r="103" spans="1:11">
      <c r="A103" s="6">
        <f t="shared" si="11"/>
        <v>43567</v>
      </c>
      <c r="B103" s="4" t="str">
        <f t="shared" si="6"/>
        <v>12</v>
      </c>
      <c r="C103" s="4" t="str">
        <f t="shared" si="7"/>
        <v>04</v>
      </c>
      <c r="D103" s="4" t="str">
        <f t="shared" si="8"/>
        <v>2019</v>
      </c>
      <c r="E103" s="3" t="str">
        <f t="shared" si="9"/>
        <v>Friday</v>
      </c>
      <c r="F103" s="4" t="str">
        <f t="shared" si="10"/>
        <v>N</v>
      </c>
      <c r="G103" s="4" t="str">
        <f>IF(COUNTIF(PublicHols[Date], A103)&gt;0, "Y", "N")</f>
        <v>N</v>
      </c>
      <c r="H103" s="3" t="str">
        <f>IFERROR(_xlfn.XLOOKUP(A103, PublicHols[Date], PublicHols[PH_Name]),"")</f>
        <v/>
      </c>
      <c r="I103" s="4" t="str">
        <f>IF(COUNTIF(EventsAll[Date], A103)&gt;0, "Y", "N")</f>
        <v>N</v>
      </c>
      <c r="J103" s="11" t="str">
        <f>IFERROR(_xlfn.XLOOKUP(A103, EventsAll[Date], EventsAll[Event]),"")</f>
        <v/>
      </c>
      <c r="K103" s="4" t="str" cm="1">
        <f t="array" ref="K103">IF(SUMPRODUCT((A103&gt;=SchoolHols[Start])*(A103&lt;=SchoolHols[End]))&gt;0,"Y","N")</f>
        <v>N</v>
      </c>
    </row>
    <row r="104" spans="1:11">
      <c r="A104" s="6">
        <f t="shared" si="11"/>
        <v>43568</v>
      </c>
      <c r="B104" s="4" t="str">
        <f t="shared" si="6"/>
        <v>13</v>
      </c>
      <c r="C104" s="4" t="str">
        <f t="shared" si="7"/>
        <v>04</v>
      </c>
      <c r="D104" s="4" t="str">
        <f t="shared" si="8"/>
        <v>2019</v>
      </c>
      <c r="E104" s="3" t="str">
        <f t="shared" si="9"/>
        <v>Saturday</v>
      </c>
      <c r="F104" s="4" t="str">
        <f t="shared" si="10"/>
        <v>N</v>
      </c>
      <c r="G104" s="4" t="str">
        <f>IF(COUNTIF(PublicHols[Date], A104)&gt;0, "Y", "N")</f>
        <v>N</v>
      </c>
      <c r="H104" s="3" t="str">
        <f>IFERROR(_xlfn.XLOOKUP(A104, PublicHols[Date], PublicHols[PH_Name]),"")</f>
        <v/>
      </c>
      <c r="I104" s="4" t="str">
        <f>IF(COUNTIF(EventsAll[Date], A104)&gt;0, "Y", "N")</f>
        <v>N</v>
      </c>
      <c r="J104" s="11" t="str">
        <f>IFERROR(_xlfn.XLOOKUP(A104, EventsAll[Date], EventsAll[Event]),"")</f>
        <v/>
      </c>
      <c r="K104" s="4" t="str" cm="1">
        <f t="array" ref="K104">IF(SUMPRODUCT((A104&gt;=SchoolHols[Start])*(A104&lt;=SchoolHols[End]))&gt;0,"Y","N")</f>
        <v>N</v>
      </c>
    </row>
    <row r="105" spans="1:11">
      <c r="A105" s="6">
        <f t="shared" si="11"/>
        <v>43569</v>
      </c>
      <c r="B105" s="4" t="str">
        <f t="shared" si="6"/>
        <v>14</v>
      </c>
      <c r="C105" s="4" t="str">
        <f t="shared" si="7"/>
        <v>04</v>
      </c>
      <c r="D105" s="4" t="str">
        <f t="shared" si="8"/>
        <v>2019</v>
      </c>
      <c r="E105" s="3" t="str">
        <f t="shared" si="9"/>
        <v>Sunday</v>
      </c>
      <c r="F105" s="4" t="str">
        <f t="shared" si="10"/>
        <v>Y</v>
      </c>
      <c r="G105" s="4" t="str">
        <f>IF(COUNTIF(PublicHols[Date], A105)&gt;0, "Y", "N")</f>
        <v>N</v>
      </c>
      <c r="H105" s="3" t="str">
        <f>IFERROR(_xlfn.XLOOKUP(A105, PublicHols[Date], PublicHols[PH_Name]),"")</f>
        <v/>
      </c>
      <c r="I105" s="4" t="str">
        <f>IF(COUNTIF(EventsAll[Date], A105)&gt;0, "Y", "N")</f>
        <v>N</v>
      </c>
      <c r="J105" s="11" t="str">
        <f>IFERROR(_xlfn.XLOOKUP(A105, EventsAll[Date], EventsAll[Event]),"")</f>
        <v/>
      </c>
      <c r="K105" s="4" t="str" cm="1">
        <f t="array" ref="K105">IF(SUMPRODUCT((A105&gt;=SchoolHols[Start])*(A105&lt;=SchoolHols[End]))&gt;0,"Y","N")</f>
        <v>N</v>
      </c>
    </row>
    <row r="106" spans="1:11">
      <c r="A106" s="6">
        <f t="shared" si="11"/>
        <v>43570</v>
      </c>
      <c r="B106" s="4" t="str">
        <f t="shared" si="6"/>
        <v>15</v>
      </c>
      <c r="C106" s="4" t="str">
        <f t="shared" si="7"/>
        <v>04</v>
      </c>
      <c r="D106" s="4" t="str">
        <f t="shared" si="8"/>
        <v>2019</v>
      </c>
      <c r="E106" s="3" t="str">
        <f t="shared" si="9"/>
        <v>Monday</v>
      </c>
      <c r="F106" s="4" t="str">
        <f t="shared" si="10"/>
        <v>N</v>
      </c>
      <c r="G106" s="4" t="str">
        <f>IF(COUNTIF(PublicHols[Date], A106)&gt;0, "Y", "N")</f>
        <v>N</v>
      </c>
      <c r="H106" s="3" t="str">
        <f>IFERROR(_xlfn.XLOOKUP(A106, PublicHols[Date], PublicHols[PH_Name]),"")</f>
        <v/>
      </c>
      <c r="I106" s="4" t="str">
        <f>IF(COUNTIF(EventsAll[Date], A106)&gt;0, "Y", "N")</f>
        <v>N</v>
      </c>
      <c r="J106" s="11" t="str">
        <f>IFERROR(_xlfn.XLOOKUP(A106, EventsAll[Date], EventsAll[Event]),"")</f>
        <v/>
      </c>
      <c r="K106" s="4" t="str" cm="1">
        <f t="array" ref="K106">IF(SUMPRODUCT((A106&gt;=SchoolHols[Start])*(A106&lt;=SchoolHols[End]))&gt;0,"Y","N")</f>
        <v>N</v>
      </c>
    </row>
    <row r="107" spans="1:11">
      <c r="A107" s="6">
        <f t="shared" si="11"/>
        <v>43571</v>
      </c>
      <c r="B107" s="4" t="str">
        <f t="shared" si="6"/>
        <v>16</v>
      </c>
      <c r="C107" s="4" t="str">
        <f t="shared" si="7"/>
        <v>04</v>
      </c>
      <c r="D107" s="4" t="str">
        <f t="shared" si="8"/>
        <v>2019</v>
      </c>
      <c r="E107" s="3" t="str">
        <f t="shared" si="9"/>
        <v>Tuesday</v>
      </c>
      <c r="F107" s="4" t="str">
        <f t="shared" si="10"/>
        <v>N</v>
      </c>
      <c r="G107" s="4" t="str">
        <f>IF(COUNTIF(PublicHols[Date], A107)&gt;0, "Y", "N")</f>
        <v>N</v>
      </c>
      <c r="H107" s="3" t="str">
        <f>IFERROR(_xlfn.XLOOKUP(A107, PublicHols[Date], PublicHols[PH_Name]),"")</f>
        <v/>
      </c>
      <c r="I107" s="4" t="str">
        <f>IF(COUNTIF(EventsAll[Date], A107)&gt;0, "Y", "N")</f>
        <v>N</v>
      </c>
      <c r="J107" s="11" t="str">
        <f>IFERROR(_xlfn.XLOOKUP(A107, EventsAll[Date], EventsAll[Event]),"")</f>
        <v/>
      </c>
      <c r="K107" s="4" t="str" cm="1">
        <f t="array" ref="K107">IF(SUMPRODUCT((A107&gt;=SchoolHols[Start])*(A107&lt;=SchoolHols[End]))&gt;0,"Y","N")</f>
        <v>N</v>
      </c>
    </row>
    <row r="108" spans="1:11">
      <c r="A108" s="6">
        <f t="shared" si="11"/>
        <v>43572</v>
      </c>
      <c r="B108" s="4" t="str">
        <f t="shared" si="6"/>
        <v>17</v>
      </c>
      <c r="C108" s="4" t="str">
        <f t="shared" si="7"/>
        <v>04</v>
      </c>
      <c r="D108" s="4" t="str">
        <f t="shared" si="8"/>
        <v>2019</v>
      </c>
      <c r="E108" s="3" t="str">
        <f t="shared" si="9"/>
        <v>Wednesday</v>
      </c>
      <c r="F108" s="4" t="str">
        <f t="shared" si="10"/>
        <v>N</v>
      </c>
      <c r="G108" s="4" t="str">
        <f>IF(COUNTIF(PublicHols[Date], A108)&gt;0, "Y", "N")</f>
        <v>N</v>
      </c>
      <c r="H108" s="3" t="str">
        <f>IFERROR(_xlfn.XLOOKUP(A108, PublicHols[Date], PublicHols[PH_Name]),"")</f>
        <v/>
      </c>
      <c r="I108" s="4" t="str">
        <f>IF(COUNTIF(EventsAll[Date], A108)&gt;0, "Y", "N")</f>
        <v>N</v>
      </c>
      <c r="J108" s="11" t="str">
        <f>IFERROR(_xlfn.XLOOKUP(A108, EventsAll[Date], EventsAll[Event]),"")</f>
        <v/>
      </c>
      <c r="K108" s="4" t="str" cm="1">
        <f t="array" ref="K108">IF(SUMPRODUCT((A108&gt;=SchoolHols[Start])*(A108&lt;=SchoolHols[End]))&gt;0,"Y","N")</f>
        <v>N</v>
      </c>
    </row>
    <row r="109" spans="1:11">
      <c r="A109" s="6">
        <f t="shared" si="11"/>
        <v>43573</v>
      </c>
      <c r="B109" s="4" t="str">
        <f t="shared" si="6"/>
        <v>18</v>
      </c>
      <c r="C109" s="4" t="str">
        <f t="shared" si="7"/>
        <v>04</v>
      </c>
      <c r="D109" s="4" t="str">
        <f t="shared" si="8"/>
        <v>2019</v>
      </c>
      <c r="E109" s="3" t="str">
        <f t="shared" si="9"/>
        <v>Thursday</v>
      </c>
      <c r="F109" s="4" t="str">
        <f t="shared" si="10"/>
        <v>N</v>
      </c>
      <c r="G109" s="4" t="str">
        <f>IF(COUNTIF(PublicHols[Date], A109)&gt;0, "Y", "N")</f>
        <v>N</v>
      </c>
      <c r="H109" s="3" t="str">
        <f>IFERROR(_xlfn.XLOOKUP(A109, PublicHols[Date], PublicHols[PH_Name]),"")</f>
        <v/>
      </c>
      <c r="I109" s="4" t="str">
        <f>IF(COUNTIF(EventsAll[Date], A109)&gt;0, "Y", "N")</f>
        <v>N</v>
      </c>
      <c r="J109" s="11" t="str">
        <f>IFERROR(_xlfn.XLOOKUP(A109, EventsAll[Date], EventsAll[Event]),"")</f>
        <v/>
      </c>
      <c r="K109" s="4" t="str" cm="1">
        <f t="array" ref="K109">IF(SUMPRODUCT((A109&gt;=SchoolHols[Start])*(A109&lt;=SchoolHols[End]))&gt;0,"Y","N")</f>
        <v>N</v>
      </c>
    </row>
    <row r="110" spans="1:11">
      <c r="A110" s="6">
        <f t="shared" si="11"/>
        <v>43574</v>
      </c>
      <c r="B110" s="4" t="str">
        <f t="shared" si="6"/>
        <v>19</v>
      </c>
      <c r="C110" s="4" t="str">
        <f t="shared" si="7"/>
        <v>04</v>
      </c>
      <c r="D110" s="4" t="str">
        <f t="shared" si="8"/>
        <v>2019</v>
      </c>
      <c r="E110" s="3" t="str">
        <f t="shared" si="9"/>
        <v>Friday</v>
      </c>
      <c r="F110" s="4" t="str">
        <f t="shared" si="10"/>
        <v>N</v>
      </c>
      <c r="G110" s="4" t="str">
        <f>IF(COUNTIF(PublicHols[Date], A110)&gt;0, "Y", "N")</f>
        <v>Y</v>
      </c>
      <c r="H110" s="3" t="str">
        <f>IFERROR(_xlfn.XLOOKUP(A110, PublicHols[Date], PublicHols[PH_Name]),"")</f>
        <v>Good Friday</v>
      </c>
      <c r="I110" s="4" t="str">
        <f>IF(COUNTIF(EventsAll[Date], A110)&gt;0, "Y", "N")</f>
        <v>Y</v>
      </c>
      <c r="J110" s="11" t="str">
        <f>IFERROR(_xlfn.XLOOKUP(A110, EventsAll[Date], EventsAll[Event]),"")</f>
        <v xml:space="preserve"> Good Friday</v>
      </c>
      <c r="K110" s="4" t="str" cm="1">
        <f t="array" ref="K110">IF(SUMPRODUCT((A110&gt;=SchoolHols[Start])*(A110&lt;=SchoolHols[End]))&gt;0,"Y","N")</f>
        <v>N</v>
      </c>
    </row>
    <row r="111" spans="1:11">
      <c r="A111" s="6">
        <f t="shared" si="11"/>
        <v>43575</v>
      </c>
      <c r="B111" s="4" t="str">
        <f t="shared" si="6"/>
        <v>20</v>
      </c>
      <c r="C111" s="4" t="str">
        <f t="shared" si="7"/>
        <v>04</v>
      </c>
      <c r="D111" s="4" t="str">
        <f t="shared" si="8"/>
        <v>2019</v>
      </c>
      <c r="E111" s="3" t="str">
        <f t="shared" si="9"/>
        <v>Saturday</v>
      </c>
      <c r="F111" s="4" t="str">
        <f t="shared" si="10"/>
        <v>N</v>
      </c>
      <c r="G111" s="4" t="str">
        <f>IF(COUNTIF(PublicHols[Date], A111)&gt;0, "Y", "N")</f>
        <v>N</v>
      </c>
      <c r="H111" s="3" t="str">
        <f>IFERROR(_xlfn.XLOOKUP(A111, PublicHols[Date], PublicHols[PH_Name]),"")</f>
        <v/>
      </c>
      <c r="I111" s="4" t="str">
        <f>IF(COUNTIF(EventsAll[Date], A111)&gt;0, "Y", "N")</f>
        <v>N</v>
      </c>
      <c r="J111" s="11" t="str">
        <f>IFERROR(_xlfn.XLOOKUP(A111, EventsAll[Date], EventsAll[Event]),"")</f>
        <v/>
      </c>
      <c r="K111" s="4" t="str" cm="1">
        <f t="array" ref="K111">IF(SUMPRODUCT((A111&gt;=SchoolHols[Start])*(A111&lt;=SchoolHols[End]))&gt;0,"Y","N")</f>
        <v>N</v>
      </c>
    </row>
    <row r="112" spans="1:11">
      <c r="A112" s="6">
        <f t="shared" si="11"/>
        <v>43576</v>
      </c>
      <c r="B112" s="4" t="str">
        <f t="shared" si="6"/>
        <v>21</v>
      </c>
      <c r="C112" s="4" t="str">
        <f t="shared" si="7"/>
        <v>04</v>
      </c>
      <c r="D112" s="4" t="str">
        <f t="shared" si="8"/>
        <v>2019</v>
      </c>
      <c r="E112" s="3" t="str">
        <f t="shared" si="9"/>
        <v>Sunday</v>
      </c>
      <c r="F112" s="4" t="str">
        <f t="shared" si="10"/>
        <v>Y</v>
      </c>
      <c r="G112" s="4" t="str">
        <f>IF(COUNTIF(PublicHols[Date], A112)&gt;0, "Y", "N")</f>
        <v>N</v>
      </c>
      <c r="H112" s="3" t="str">
        <f>IFERROR(_xlfn.XLOOKUP(A112, PublicHols[Date], PublicHols[PH_Name]),"")</f>
        <v/>
      </c>
      <c r="I112" s="4" t="str">
        <f>IF(COUNTIF(EventsAll[Date], A112)&gt;0, "Y", "N")</f>
        <v>N</v>
      </c>
      <c r="J112" s="11" t="str">
        <f>IFERROR(_xlfn.XLOOKUP(A112, EventsAll[Date], EventsAll[Event]),"")</f>
        <v/>
      </c>
      <c r="K112" s="4" t="str" cm="1">
        <f t="array" ref="K112">IF(SUMPRODUCT((A112&gt;=SchoolHols[Start])*(A112&lt;=SchoolHols[End]))&gt;0,"Y","N")</f>
        <v>N</v>
      </c>
    </row>
    <row r="113" spans="1:11">
      <c r="A113" s="6">
        <f t="shared" si="11"/>
        <v>43577</v>
      </c>
      <c r="B113" s="4" t="str">
        <f t="shared" si="6"/>
        <v>22</v>
      </c>
      <c r="C113" s="4" t="str">
        <f t="shared" si="7"/>
        <v>04</v>
      </c>
      <c r="D113" s="4" t="str">
        <f t="shared" si="8"/>
        <v>2019</v>
      </c>
      <c r="E113" s="3" t="str">
        <f t="shared" si="9"/>
        <v>Monday</v>
      </c>
      <c r="F113" s="4" t="str">
        <f t="shared" si="10"/>
        <v>N</v>
      </c>
      <c r="G113" s="4" t="str">
        <f>IF(COUNTIF(PublicHols[Date], A113)&gt;0, "Y", "N")</f>
        <v>Y</v>
      </c>
      <c r="H113" s="3" t="str">
        <f>IFERROR(_xlfn.XLOOKUP(A113, PublicHols[Date], PublicHols[PH_Name]),"")</f>
        <v>Family Day</v>
      </c>
      <c r="I113" s="4" t="str">
        <f>IF(COUNTIF(EventsAll[Date], A113)&gt;0, "Y", "N")</f>
        <v>Y</v>
      </c>
      <c r="J113" s="11" t="str">
        <f>IFERROR(_xlfn.XLOOKUP(A113, EventsAll[Date], EventsAll[Event]),"")</f>
        <v xml:space="preserve"> Family Day</v>
      </c>
      <c r="K113" s="4" t="str" cm="1">
        <f t="array" ref="K113">IF(SUMPRODUCT((A113&gt;=SchoolHols[Start])*(A113&lt;=SchoolHols[End]))&gt;0,"Y","N")</f>
        <v>N</v>
      </c>
    </row>
    <row r="114" spans="1:11">
      <c r="A114" s="6">
        <f t="shared" si="11"/>
        <v>43578</v>
      </c>
      <c r="B114" s="4" t="str">
        <f t="shared" si="6"/>
        <v>23</v>
      </c>
      <c r="C114" s="4" t="str">
        <f t="shared" si="7"/>
        <v>04</v>
      </c>
      <c r="D114" s="4" t="str">
        <f t="shared" si="8"/>
        <v>2019</v>
      </c>
      <c r="E114" s="3" t="str">
        <f t="shared" si="9"/>
        <v>Tuesday</v>
      </c>
      <c r="F114" s="4" t="str">
        <f t="shared" si="10"/>
        <v>N</v>
      </c>
      <c r="G114" s="4" t="str">
        <f>IF(COUNTIF(PublicHols[Date], A114)&gt;0, "Y", "N")</f>
        <v>N</v>
      </c>
      <c r="H114" s="3" t="str">
        <f>IFERROR(_xlfn.XLOOKUP(A114, PublicHols[Date], PublicHols[PH_Name]),"")</f>
        <v/>
      </c>
      <c r="I114" s="4" t="str">
        <f>IF(COUNTIF(EventsAll[Date], A114)&gt;0, "Y", "N")</f>
        <v>N</v>
      </c>
      <c r="J114" s="11" t="str">
        <f>IFERROR(_xlfn.XLOOKUP(A114, EventsAll[Date], EventsAll[Event]),"")</f>
        <v/>
      </c>
      <c r="K114" s="4" t="str" cm="1">
        <f t="array" ref="K114">IF(SUMPRODUCT((A114&gt;=SchoolHols[Start])*(A114&lt;=SchoolHols[End]))&gt;0,"Y","N")</f>
        <v>N</v>
      </c>
    </row>
    <row r="115" spans="1:11">
      <c r="A115" s="6">
        <f t="shared" si="11"/>
        <v>43579</v>
      </c>
      <c r="B115" s="4" t="str">
        <f t="shared" si="6"/>
        <v>24</v>
      </c>
      <c r="C115" s="4" t="str">
        <f t="shared" si="7"/>
        <v>04</v>
      </c>
      <c r="D115" s="4" t="str">
        <f t="shared" si="8"/>
        <v>2019</v>
      </c>
      <c r="E115" s="3" t="str">
        <f t="shared" si="9"/>
        <v>Wednesday</v>
      </c>
      <c r="F115" s="4" t="str">
        <f t="shared" si="10"/>
        <v>N</v>
      </c>
      <c r="G115" s="4" t="str">
        <f>IF(COUNTIF(PublicHols[Date], A115)&gt;0, "Y", "N")</f>
        <v>N</v>
      </c>
      <c r="H115" s="3" t="str">
        <f>IFERROR(_xlfn.XLOOKUP(A115, PublicHols[Date], PublicHols[PH_Name]),"")</f>
        <v/>
      </c>
      <c r="I115" s="4" t="str">
        <f>IF(COUNTIF(EventsAll[Date], A115)&gt;0, "Y", "N")</f>
        <v>N</v>
      </c>
      <c r="J115" s="11" t="str">
        <f>IFERROR(_xlfn.XLOOKUP(A115, EventsAll[Date], EventsAll[Event]),"")</f>
        <v/>
      </c>
      <c r="K115" s="4" t="str" cm="1">
        <f t="array" ref="K115">IF(SUMPRODUCT((A115&gt;=SchoolHols[Start])*(A115&lt;=SchoolHols[End]))&gt;0,"Y","N")</f>
        <v>N</v>
      </c>
    </row>
    <row r="116" spans="1:11">
      <c r="A116" s="6">
        <f t="shared" si="11"/>
        <v>43580</v>
      </c>
      <c r="B116" s="4" t="str">
        <f t="shared" si="6"/>
        <v>25</v>
      </c>
      <c r="C116" s="4" t="str">
        <f t="shared" si="7"/>
        <v>04</v>
      </c>
      <c r="D116" s="4" t="str">
        <f t="shared" si="8"/>
        <v>2019</v>
      </c>
      <c r="E116" s="3" t="str">
        <f t="shared" si="9"/>
        <v>Thursday</v>
      </c>
      <c r="F116" s="4" t="str">
        <f t="shared" si="10"/>
        <v>N</v>
      </c>
      <c r="G116" s="4" t="str">
        <f>IF(COUNTIF(PublicHols[Date], A116)&gt;0, "Y", "N")</f>
        <v>N</v>
      </c>
      <c r="H116" s="3" t="str">
        <f>IFERROR(_xlfn.XLOOKUP(A116, PublicHols[Date], PublicHols[PH_Name]),"")</f>
        <v/>
      </c>
      <c r="I116" s="4" t="str">
        <f>IF(COUNTIF(EventsAll[Date], A116)&gt;0, "Y", "N")</f>
        <v>N</v>
      </c>
      <c r="J116" s="11" t="str">
        <f>IFERROR(_xlfn.XLOOKUP(A116, EventsAll[Date], EventsAll[Event]),"")</f>
        <v/>
      </c>
      <c r="K116" s="4" t="str" cm="1">
        <f t="array" ref="K116">IF(SUMPRODUCT((A116&gt;=SchoolHols[Start])*(A116&lt;=SchoolHols[End]))&gt;0,"Y","N")</f>
        <v>N</v>
      </c>
    </row>
    <row r="117" spans="1:11">
      <c r="A117" s="6">
        <f t="shared" si="11"/>
        <v>43581</v>
      </c>
      <c r="B117" s="4" t="str">
        <f t="shared" si="6"/>
        <v>26</v>
      </c>
      <c r="C117" s="4" t="str">
        <f t="shared" si="7"/>
        <v>04</v>
      </c>
      <c r="D117" s="4" t="str">
        <f t="shared" si="8"/>
        <v>2019</v>
      </c>
      <c r="E117" s="3" t="str">
        <f t="shared" si="9"/>
        <v>Friday</v>
      </c>
      <c r="F117" s="4" t="str">
        <f t="shared" si="10"/>
        <v>N</v>
      </c>
      <c r="G117" s="4" t="str">
        <f>IF(COUNTIF(PublicHols[Date], A117)&gt;0, "Y", "N")</f>
        <v>N</v>
      </c>
      <c r="H117" s="3" t="str">
        <f>IFERROR(_xlfn.XLOOKUP(A117, PublicHols[Date], PublicHols[PH_Name]),"")</f>
        <v/>
      </c>
      <c r="I117" s="4" t="str">
        <f>IF(COUNTIF(EventsAll[Date], A117)&gt;0, "Y", "N")</f>
        <v>N</v>
      </c>
      <c r="J117" s="11" t="str">
        <f>IFERROR(_xlfn.XLOOKUP(A117, EventsAll[Date], EventsAll[Event]),"")</f>
        <v/>
      </c>
      <c r="K117" s="4" t="str" cm="1">
        <f t="array" ref="K117">IF(SUMPRODUCT((A117&gt;=SchoolHols[Start])*(A117&lt;=SchoolHols[End]))&gt;0,"Y","N")</f>
        <v>N</v>
      </c>
    </row>
    <row r="118" spans="1:11">
      <c r="A118" s="6">
        <f t="shared" si="11"/>
        <v>43582</v>
      </c>
      <c r="B118" s="4" t="str">
        <f t="shared" si="6"/>
        <v>27</v>
      </c>
      <c r="C118" s="4" t="str">
        <f t="shared" si="7"/>
        <v>04</v>
      </c>
      <c r="D118" s="4" t="str">
        <f t="shared" si="8"/>
        <v>2019</v>
      </c>
      <c r="E118" s="3" t="str">
        <f t="shared" si="9"/>
        <v>Saturday</v>
      </c>
      <c r="F118" s="4" t="str">
        <f t="shared" si="10"/>
        <v>N</v>
      </c>
      <c r="G118" s="4" t="str">
        <f>IF(COUNTIF(PublicHols[Date], A118)&gt;0, "Y", "N")</f>
        <v>Y</v>
      </c>
      <c r="H118" s="3" t="str">
        <f>IFERROR(_xlfn.XLOOKUP(A118, PublicHols[Date], PublicHols[PH_Name]),"")</f>
        <v>Freedom Day</v>
      </c>
      <c r="I118" s="4" t="str">
        <f>IF(COUNTIF(EventsAll[Date], A118)&gt;0, "Y", "N")</f>
        <v>N</v>
      </c>
      <c r="J118" s="11" t="str">
        <f>IFERROR(_xlfn.XLOOKUP(A118, EventsAll[Date], EventsAll[Event]),"")</f>
        <v/>
      </c>
      <c r="K118" s="4" t="str" cm="1">
        <f t="array" ref="K118">IF(SUMPRODUCT((A118&gt;=SchoolHols[Start])*(A118&lt;=SchoolHols[End]))&gt;0,"Y","N")</f>
        <v>N</v>
      </c>
    </row>
    <row r="119" spans="1:11">
      <c r="A119" s="6">
        <f t="shared" si="11"/>
        <v>43583</v>
      </c>
      <c r="B119" s="4" t="str">
        <f t="shared" si="6"/>
        <v>28</v>
      </c>
      <c r="C119" s="4" t="str">
        <f t="shared" si="7"/>
        <v>04</v>
      </c>
      <c r="D119" s="4" t="str">
        <f t="shared" si="8"/>
        <v>2019</v>
      </c>
      <c r="E119" s="3" t="str">
        <f t="shared" si="9"/>
        <v>Sunday</v>
      </c>
      <c r="F119" s="4" t="str">
        <f t="shared" si="10"/>
        <v>Y</v>
      </c>
      <c r="G119" s="4" t="str">
        <f>IF(COUNTIF(PublicHols[Date], A119)&gt;0, "Y", "N")</f>
        <v>N</v>
      </c>
      <c r="H119" s="3" t="str">
        <f>IFERROR(_xlfn.XLOOKUP(A119, PublicHols[Date], PublicHols[PH_Name]),"")</f>
        <v/>
      </c>
      <c r="I119" s="4" t="str">
        <f>IF(COUNTIF(EventsAll[Date], A119)&gt;0, "Y", "N")</f>
        <v>N</v>
      </c>
      <c r="J119" s="11" t="str">
        <f>IFERROR(_xlfn.XLOOKUP(A119, EventsAll[Date], EventsAll[Event]),"")</f>
        <v/>
      </c>
      <c r="K119" s="4" t="str" cm="1">
        <f t="array" ref="K119">IF(SUMPRODUCT((A119&gt;=SchoolHols[Start])*(A119&lt;=SchoolHols[End]))&gt;0,"Y","N")</f>
        <v>N</v>
      </c>
    </row>
    <row r="120" spans="1:11">
      <c r="A120" s="6">
        <f t="shared" si="11"/>
        <v>43584</v>
      </c>
      <c r="B120" s="4" t="str">
        <f t="shared" si="6"/>
        <v>29</v>
      </c>
      <c r="C120" s="4" t="str">
        <f t="shared" si="7"/>
        <v>04</v>
      </c>
      <c r="D120" s="4" t="str">
        <f t="shared" si="8"/>
        <v>2019</v>
      </c>
      <c r="E120" s="3" t="str">
        <f t="shared" si="9"/>
        <v>Monday</v>
      </c>
      <c r="F120" s="4" t="str">
        <f t="shared" si="10"/>
        <v>N</v>
      </c>
      <c r="G120" s="4" t="str">
        <f>IF(COUNTIF(PublicHols[Date], A120)&gt;0, "Y", "N")</f>
        <v>N</v>
      </c>
      <c r="H120" s="3" t="str">
        <f>IFERROR(_xlfn.XLOOKUP(A120, PublicHols[Date], PublicHols[PH_Name]),"")</f>
        <v/>
      </c>
      <c r="I120" s="4" t="str">
        <f>IF(COUNTIF(EventsAll[Date], A120)&gt;0, "Y", "N")</f>
        <v>N</v>
      </c>
      <c r="J120" s="11" t="str">
        <f>IFERROR(_xlfn.XLOOKUP(A120, EventsAll[Date], EventsAll[Event]),"")</f>
        <v/>
      </c>
      <c r="K120" s="4" t="str" cm="1">
        <f t="array" ref="K120">IF(SUMPRODUCT((A120&gt;=SchoolHols[Start])*(A120&lt;=SchoolHols[End]))&gt;0,"Y","N")</f>
        <v>N</v>
      </c>
    </row>
    <row r="121" spans="1:11">
      <c r="A121" s="6">
        <f t="shared" si="11"/>
        <v>43585</v>
      </c>
      <c r="B121" s="4" t="str">
        <f t="shared" si="6"/>
        <v>30</v>
      </c>
      <c r="C121" s="4" t="str">
        <f t="shared" si="7"/>
        <v>04</v>
      </c>
      <c r="D121" s="4" t="str">
        <f t="shared" si="8"/>
        <v>2019</v>
      </c>
      <c r="E121" s="3" t="str">
        <f t="shared" si="9"/>
        <v>Tuesday</v>
      </c>
      <c r="F121" s="4" t="str">
        <f t="shared" si="10"/>
        <v>N</v>
      </c>
      <c r="G121" s="4" t="str">
        <f>IF(COUNTIF(PublicHols[Date], A121)&gt;0, "Y", "N")</f>
        <v>N</v>
      </c>
      <c r="H121" s="3" t="str">
        <f>IFERROR(_xlfn.XLOOKUP(A121, PublicHols[Date], PublicHols[PH_Name]),"")</f>
        <v/>
      </c>
      <c r="I121" s="4" t="str">
        <f>IF(COUNTIF(EventsAll[Date], A121)&gt;0, "Y", "N")</f>
        <v>N</v>
      </c>
      <c r="J121" s="11" t="str">
        <f>IFERROR(_xlfn.XLOOKUP(A121, EventsAll[Date], EventsAll[Event]),"")</f>
        <v/>
      </c>
      <c r="K121" s="4" t="str" cm="1">
        <f t="array" ref="K121">IF(SUMPRODUCT((A121&gt;=SchoolHols[Start])*(A121&lt;=SchoolHols[End]))&gt;0,"Y","N")</f>
        <v>N</v>
      </c>
    </row>
    <row r="122" spans="1:11">
      <c r="A122" s="6">
        <f t="shared" si="11"/>
        <v>43586</v>
      </c>
      <c r="B122" s="4" t="str">
        <f t="shared" si="6"/>
        <v>01</v>
      </c>
      <c r="C122" s="4" t="str">
        <f t="shared" si="7"/>
        <v>05</v>
      </c>
      <c r="D122" s="4" t="str">
        <f t="shared" si="8"/>
        <v>2019</v>
      </c>
      <c r="E122" s="3" t="str">
        <f t="shared" si="9"/>
        <v>Wednesday</v>
      </c>
      <c r="F122" s="4" t="str">
        <f t="shared" si="10"/>
        <v>N</v>
      </c>
      <c r="G122" s="4" t="str">
        <f>IF(COUNTIF(PublicHols[Date], A122)&gt;0, "Y", "N")</f>
        <v>Y</v>
      </c>
      <c r="H122" s="3" t="str">
        <f>IFERROR(_xlfn.XLOOKUP(A122, PublicHols[Date], PublicHols[PH_Name]),"")</f>
        <v>Workers' Day</v>
      </c>
      <c r="I122" s="4" t="str">
        <f>IF(COUNTIF(EventsAll[Date], A122)&gt;0, "Y", "N")</f>
        <v>N</v>
      </c>
      <c r="J122" s="11" t="str">
        <f>IFERROR(_xlfn.XLOOKUP(A122, EventsAll[Date], EventsAll[Event]),"")</f>
        <v/>
      </c>
      <c r="K122" s="4" t="str" cm="1">
        <f t="array" ref="K122">IF(SUMPRODUCT((A122&gt;=SchoolHols[Start])*(A122&lt;=SchoolHols[End]))&gt;0,"Y","N")</f>
        <v>N</v>
      </c>
    </row>
    <row r="123" spans="1:11">
      <c r="A123" s="6">
        <f t="shared" si="11"/>
        <v>43587</v>
      </c>
      <c r="B123" s="4" t="str">
        <f t="shared" si="6"/>
        <v>02</v>
      </c>
      <c r="C123" s="4" t="str">
        <f t="shared" si="7"/>
        <v>05</v>
      </c>
      <c r="D123" s="4" t="str">
        <f t="shared" si="8"/>
        <v>2019</v>
      </c>
      <c r="E123" s="3" t="str">
        <f t="shared" si="9"/>
        <v>Thursday</v>
      </c>
      <c r="F123" s="4" t="str">
        <f t="shared" si="10"/>
        <v>N</v>
      </c>
      <c r="G123" s="4" t="str">
        <f>IF(COUNTIF(PublicHols[Date], A123)&gt;0, "Y", "N")</f>
        <v>N</v>
      </c>
      <c r="H123" s="3" t="str">
        <f>IFERROR(_xlfn.XLOOKUP(A123, PublicHols[Date], PublicHols[PH_Name]),"")</f>
        <v/>
      </c>
      <c r="I123" s="4" t="str">
        <f>IF(COUNTIF(EventsAll[Date], A123)&gt;0, "Y", "N")</f>
        <v>N</v>
      </c>
      <c r="J123" s="11" t="str">
        <f>IFERROR(_xlfn.XLOOKUP(A123, EventsAll[Date], EventsAll[Event]),"")</f>
        <v/>
      </c>
      <c r="K123" s="4" t="str" cm="1">
        <f t="array" ref="K123">IF(SUMPRODUCT((A123&gt;=SchoolHols[Start])*(A123&lt;=SchoolHols[End]))&gt;0,"Y","N")</f>
        <v>N</v>
      </c>
    </row>
    <row r="124" spans="1:11">
      <c r="A124" s="6">
        <f t="shared" si="11"/>
        <v>43588</v>
      </c>
      <c r="B124" s="4" t="str">
        <f t="shared" si="6"/>
        <v>03</v>
      </c>
      <c r="C124" s="4" t="str">
        <f t="shared" si="7"/>
        <v>05</v>
      </c>
      <c r="D124" s="4" t="str">
        <f t="shared" si="8"/>
        <v>2019</v>
      </c>
      <c r="E124" s="3" t="str">
        <f t="shared" si="9"/>
        <v>Friday</v>
      </c>
      <c r="F124" s="4" t="str">
        <f t="shared" si="10"/>
        <v>N</v>
      </c>
      <c r="G124" s="4" t="str">
        <f>IF(COUNTIF(PublicHols[Date], A124)&gt;0, "Y", "N")</f>
        <v>N</v>
      </c>
      <c r="H124" s="3" t="str">
        <f>IFERROR(_xlfn.XLOOKUP(A124, PublicHols[Date], PublicHols[PH_Name]),"")</f>
        <v/>
      </c>
      <c r="I124" s="4" t="str">
        <f>IF(COUNTIF(EventsAll[Date], A124)&gt;0, "Y", "N")</f>
        <v>N</v>
      </c>
      <c r="J124" s="11" t="str">
        <f>IFERROR(_xlfn.XLOOKUP(A124, EventsAll[Date], EventsAll[Event]),"")</f>
        <v/>
      </c>
      <c r="K124" s="4" t="str" cm="1">
        <f t="array" ref="K124">IF(SUMPRODUCT((A124&gt;=SchoolHols[Start])*(A124&lt;=SchoolHols[End]))&gt;0,"Y","N")</f>
        <v>N</v>
      </c>
    </row>
    <row r="125" spans="1:11">
      <c r="A125" s="6">
        <f t="shared" si="11"/>
        <v>43589</v>
      </c>
      <c r="B125" s="4" t="str">
        <f t="shared" si="6"/>
        <v>04</v>
      </c>
      <c r="C125" s="4" t="str">
        <f t="shared" si="7"/>
        <v>05</v>
      </c>
      <c r="D125" s="4" t="str">
        <f t="shared" si="8"/>
        <v>2019</v>
      </c>
      <c r="E125" s="3" t="str">
        <f t="shared" si="9"/>
        <v>Saturday</v>
      </c>
      <c r="F125" s="4" t="str">
        <f t="shared" si="10"/>
        <v>N</v>
      </c>
      <c r="G125" s="4" t="str">
        <f>IF(COUNTIF(PublicHols[Date], A125)&gt;0, "Y", "N")</f>
        <v>N</v>
      </c>
      <c r="H125" s="3" t="str">
        <f>IFERROR(_xlfn.XLOOKUP(A125, PublicHols[Date], PublicHols[PH_Name]),"")</f>
        <v/>
      </c>
      <c r="I125" s="4" t="str">
        <f>IF(COUNTIF(EventsAll[Date], A125)&gt;0, "Y", "N")</f>
        <v>N</v>
      </c>
      <c r="J125" s="11" t="str">
        <f>IFERROR(_xlfn.XLOOKUP(A125, EventsAll[Date], EventsAll[Event]),"")</f>
        <v/>
      </c>
      <c r="K125" s="4" t="str" cm="1">
        <f t="array" ref="K125">IF(SUMPRODUCT((A125&gt;=SchoolHols[Start])*(A125&lt;=SchoolHols[End]))&gt;0,"Y","N")</f>
        <v>N</v>
      </c>
    </row>
    <row r="126" spans="1:11">
      <c r="A126" s="6">
        <f t="shared" si="11"/>
        <v>43590</v>
      </c>
      <c r="B126" s="4" t="str">
        <f t="shared" si="6"/>
        <v>05</v>
      </c>
      <c r="C126" s="4" t="str">
        <f t="shared" si="7"/>
        <v>05</v>
      </c>
      <c r="D126" s="4" t="str">
        <f t="shared" si="8"/>
        <v>2019</v>
      </c>
      <c r="E126" s="3" t="str">
        <f t="shared" si="9"/>
        <v>Sunday</v>
      </c>
      <c r="F126" s="4" t="str">
        <f t="shared" si="10"/>
        <v>Y</v>
      </c>
      <c r="G126" s="4" t="str">
        <f>IF(COUNTIF(PublicHols[Date], A126)&gt;0, "Y", "N")</f>
        <v>N</v>
      </c>
      <c r="H126" s="3" t="str">
        <f>IFERROR(_xlfn.XLOOKUP(A126, PublicHols[Date], PublicHols[PH_Name]),"")</f>
        <v/>
      </c>
      <c r="I126" s="4" t="str">
        <f>IF(COUNTIF(EventsAll[Date], A126)&gt;0, "Y", "N")</f>
        <v>N</v>
      </c>
      <c r="J126" s="11" t="str">
        <f>IFERROR(_xlfn.XLOOKUP(A126, EventsAll[Date], EventsAll[Event]),"")</f>
        <v/>
      </c>
      <c r="K126" s="4" t="str" cm="1">
        <f t="array" ref="K126">IF(SUMPRODUCT((A126&gt;=SchoolHols[Start])*(A126&lt;=SchoolHols[End]))&gt;0,"Y","N")</f>
        <v>N</v>
      </c>
    </row>
    <row r="127" spans="1:11">
      <c r="A127" s="6">
        <f t="shared" si="11"/>
        <v>43591</v>
      </c>
      <c r="B127" s="4" t="str">
        <f t="shared" si="6"/>
        <v>06</v>
      </c>
      <c r="C127" s="4" t="str">
        <f t="shared" si="7"/>
        <v>05</v>
      </c>
      <c r="D127" s="4" t="str">
        <f t="shared" si="8"/>
        <v>2019</v>
      </c>
      <c r="E127" s="3" t="str">
        <f t="shared" si="9"/>
        <v>Monday</v>
      </c>
      <c r="F127" s="4" t="str">
        <f t="shared" si="10"/>
        <v>N</v>
      </c>
      <c r="G127" s="4" t="str">
        <f>IF(COUNTIF(PublicHols[Date], A127)&gt;0, "Y", "N")</f>
        <v>N</v>
      </c>
      <c r="H127" s="3" t="str">
        <f>IFERROR(_xlfn.XLOOKUP(A127, PublicHols[Date], PublicHols[PH_Name]),"")</f>
        <v/>
      </c>
      <c r="I127" s="4" t="str">
        <f>IF(COUNTIF(EventsAll[Date], A127)&gt;0, "Y", "N")</f>
        <v>N</v>
      </c>
      <c r="J127" s="11" t="str">
        <f>IFERROR(_xlfn.XLOOKUP(A127, EventsAll[Date], EventsAll[Event]),"")</f>
        <v/>
      </c>
      <c r="K127" s="4" t="str" cm="1">
        <f t="array" ref="K127">IF(SUMPRODUCT((A127&gt;=SchoolHols[Start])*(A127&lt;=SchoolHols[End]))&gt;0,"Y","N")</f>
        <v>N</v>
      </c>
    </row>
    <row r="128" spans="1:11">
      <c r="A128" s="6">
        <f t="shared" si="11"/>
        <v>43592</v>
      </c>
      <c r="B128" s="4" t="str">
        <f t="shared" si="6"/>
        <v>07</v>
      </c>
      <c r="C128" s="4" t="str">
        <f t="shared" si="7"/>
        <v>05</v>
      </c>
      <c r="D128" s="4" t="str">
        <f t="shared" si="8"/>
        <v>2019</v>
      </c>
      <c r="E128" s="3" t="str">
        <f t="shared" si="9"/>
        <v>Tuesday</v>
      </c>
      <c r="F128" s="4" t="str">
        <f t="shared" si="10"/>
        <v>N</v>
      </c>
      <c r="G128" s="4" t="str">
        <f>IF(COUNTIF(PublicHols[Date], A128)&gt;0, "Y", "N")</f>
        <v>N</v>
      </c>
      <c r="H128" s="3" t="str">
        <f>IFERROR(_xlfn.XLOOKUP(A128, PublicHols[Date], PublicHols[PH_Name]),"")</f>
        <v/>
      </c>
      <c r="I128" s="4" t="str">
        <f>IF(COUNTIF(EventsAll[Date], A128)&gt;0, "Y", "N")</f>
        <v>N</v>
      </c>
      <c r="J128" s="11" t="str">
        <f>IFERROR(_xlfn.XLOOKUP(A128, EventsAll[Date], EventsAll[Event]),"")</f>
        <v/>
      </c>
      <c r="K128" s="4" t="str" cm="1">
        <f t="array" ref="K128">IF(SUMPRODUCT((A128&gt;=SchoolHols[Start])*(A128&lt;=SchoolHols[End]))&gt;0,"Y","N")</f>
        <v>N</v>
      </c>
    </row>
    <row r="129" spans="1:11">
      <c r="A129" s="6">
        <f t="shared" si="11"/>
        <v>43593</v>
      </c>
      <c r="B129" s="4" t="str">
        <f t="shared" si="6"/>
        <v>08</v>
      </c>
      <c r="C129" s="4" t="str">
        <f t="shared" si="7"/>
        <v>05</v>
      </c>
      <c r="D129" s="4" t="str">
        <f t="shared" si="8"/>
        <v>2019</v>
      </c>
      <c r="E129" s="3" t="str">
        <f t="shared" si="9"/>
        <v>Wednesday</v>
      </c>
      <c r="F129" s="4" t="str">
        <f t="shared" si="10"/>
        <v>N</v>
      </c>
      <c r="G129" s="4" t="str">
        <f>IF(COUNTIF(PublicHols[Date], A129)&gt;0, "Y", "N")</f>
        <v>N</v>
      </c>
      <c r="H129" s="3" t="str">
        <f>IFERROR(_xlfn.XLOOKUP(A129, PublicHols[Date], PublicHols[PH_Name]),"")</f>
        <v/>
      </c>
      <c r="I129" s="4" t="str">
        <f>IF(COUNTIF(EventsAll[Date], A129)&gt;0, "Y", "N")</f>
        <v>N</v>
      </c>
      <c r="J129" s="11" t="str">
        <f>IFERROR(_xlfn.XLOOKUP(A129, EventsAll[Date], EventsAll[Event]),"")</f>
        <v/>
      </c>
      <c r="K129" s="4" t="str" cm="1">
        <f t="array" ref="K129">IF(SUMPRODUCT((A129&gt;=SchoolHols[Start])*(A129&lt;=SchoolHols[End]))&gt;0,"Y","N")</f>
        <v>N</v>
      </c>
    </row>
    <row r="130" spans="1:11">
      <c r="A130" s="6">
        <f t="shared" si="11"/>
        <v>43594</v>
      </c>
      <c r="B130" s="4" t="str">
        <f t="shared" si="6"/>
        <v>09</v>
      </c>
      <c r="C130" s="4" t="str">
        <f t="shared" si="7"/>
        <v>05</v>
      </c>
      <c r="D130" s="4" t="str">
        <f t="shared" si="8"/>
        <v>2019</v>
      </c>
      <c r="E130" s="3" t="str">
        <f t="shared" si="9"/>
        <v>Thursday</v>
      </c>
      <c r="F130" s="4" t="str">
        <f t="shared" si="10"/>
        <v>N</v>
      </c>
      <c r="G130" s="4" t="str">
        <f>IF(COUNTIF(PublicHols[Date], A130)&gt;0, "Y", "N")</f>
        <v>N</v>
      </c>
      <c r="H130" s="3" t="str">
        <f>IFERROR(_xlfn.XLOOKUP(A130, PublicHols[Date], PublicHols[PH_Name]),"")</f>
        <v/>
      </c>
      <c r="I130" s="4" t="str">
        <f>IF(COUNTIF(EventsAll[Date], A130)&gt;0, "Y", "N")</f>
        <v>N</v>
      </c>
      <c r="J130" s="11" t="str">
        <f>IFERROR(_xlfn.XLOOKUP(A130, EventsAll[Date], EventsAll[Event]),"")</f>
        <v/>
      </c>
      <c r="K130" s="4" t="str" cm="1">
        <f t="array" ref="K130">IF(SUMPRODUCT((A130&gt;=SchoolHols[Start])*(A130&lt;=SchoolHols[End]))&gt;0,"Y","N")</f>
        <v>N</v>
      </c>
    </row>
    <row r="131" spans="1:11">
      <c r="A131" s="6">
        <f t="shared" si="11"/>
        <v>43595</v>
      </c>
      <c r="B131" s="4" t="str">
        <f t="shared" ref="B131:B194" si="12">TEXT($A131, "dd")</f>
        <v>10</v>
      </c>
      <c r="C131" s="4" t="str">
        <f t="shared" ref="C131:C194" si="13">TEXT($A131, "mm")</f>
        <v>05</v>
      </c>
      <c r="D131" s="4" t="str">
        <f t="shared" ref="D131:D194" si="14">TEXT($A131, "yyyy")</f>
        <v>2019</v>
      </c>
      <c r="E131" s="3" t="str">
        <f t="shared" ref="E131:E194" si="15">TEXT($A131, "dddd")</f>
        <v>Friday</v>
      </c>
      <c r="F131" s="4" t="str">
        <f t="shared" ref="F131:F194" si="16">IF($E131="Sunday", "Y", "N")</f>
        <v>N</v>
      </c>
      <c r="G131" s="4" t="str">
        <f>IF(COUNTIF(PublicHols[Date], A131)&gt;0, "Y", "N")</f>
        <v>N</v>
      </c>
      <c r="H131" s="3" t="str">
        <f>IFERROR(_xlfn.XLOOKUP(A131, PublicHols[Date], PublicHols[PH_Name]),"")</f>
        <v/>
      </c>
      <c r="I131" s="4" t="str">
        <f>IF(COUNTIF(EventsAll[Date], A131)&gt;0, "Y", "N")</f>
        <v>N</v>
      </c>
      <c r="J131" s="11" t="str">
        <f>IFERROR(_xlfn.XLOOKUP(A131, EventsAll[Date], EventsAll[Event]),"")</f>
        <v/>
      </c>
      <c r="K131" s="4" t="str" cm="1">
        <f t="array" ref="K131">IF(SUMPRODUCT((A131&gt;=SchoolHols[Start])*(A131&lt;=SchoolHols[End]))&gt;0,"Y","N")</f>
        <v>N</v>
      </c>
    </row>
    <row r="132" spans="1:11">
      <c r="A132" s="6">
        <f t="shared" ref="A132:A195" si="17">$A131+1</f>
        <v>43596</v>
      </c>
      <c r="B132" s="4" t="str">
        <f t="shared" si="12"/>
        <v>11</v>
      </c>
      <c r="C132" s="4" t="str">
        <f t="shared" si="13"/>
        <v>05</v>
      </c>
      <c r="D132" s="4" t="str">
        <f t="shared" si="14"/>
        <v>2019</v>
      </c>
      <c r="E132" s="3" t="str">
        <f t="shared" si="15"/>
        <v>Saturday</v>
      </c>
      <c r="F132" s="4" t="str">
        <f t="shared" si="16"/>
        <v>N</v>
      </c>
      <c r="G132" s="4" t="str">
        <f>IF(COUNTIF(PublicHols[Date], A132)&gt;0, "Y", "N")</f>
        <v>N</v>
      </c>
      <c r="H132" s="3" t="str">
        <f>IFERROR(_xlfn.XLOOKUP(A132, PublicHols[Date], PublicHols[PH_Name]),"")</f>
        <v/>
      </c>
      <c r="I132" s="4" t="str">
        <f>IF(COUNTIF(EventsAll[Date], A132)&gt;0, "Y", "N")</f>
        <v>N</v>
      </c>
      <c r="J132" s="11" t="str">
        <f>IFERROR(_xlfn.XLOOKUP(A132, EventsAll[Date], EventsAll[Event]),"")</f>
        <v/>
      </c>
      <c r="K132" s="4" t="str" cm="1">
        <f t="array" ref="K132">IF(SUMPRODUCT((A132&gt;=SchoolHols[Start])*(A132&lt;=SchoolHols[End]))&gt;0,"Y","N")</f>
        <v>N</v>
      </c>
    </row>
    <row r="133" spans="1:11">
      <c r="A133" s="6">
        <f t="shared" si="17"/>
        <v>43597</v>
      </c>
      <c r="B133" s="4" t="str">
        <f t="shared" si="12"/>
        <v>12</v>
      </c>
      <c r="C133" s="4" t="str">
        <f t="shared" si="13"/>
        <v>05</v>
      </c>
      <c r="D133" s="4" t="str">
        <f t="shared" si="14"/>
        <v>2019</v>
      </c>
      <c r="E133" s="3" t="str">
        <f t="shared" si="15"/>
        <v>Sunday</v>
      </c>
      <c r="F133" s="4" t="str">
        <f t="shared" si="16"/>
        <v>Y</v>
      </c>
      <c r="G133" s="4" t="str">
        <f>IF(COUNTIF(PublicHols[Date], A133)&gt;0, "Y", "N")</f>
        <v>N</v>
      </c>
      <c r="H133" s="3" t="str">
        <f>IFERROR(_xlfn.XLOOKUP(A133, PublicHols[Date], PublicHols[PH_Name]),"")</f>
        <v/>
      </c>
      <c r="I133" s="4" t="str">
        <f>IF(COUNTIF(EventsAll[Date], A133)&gt;0, "Y", "N")</f>
        <v>Y</v>
      </c>
      <c r="J133" s="11" t="str">
        <f>IFERROR(_xlfn.XLOOKUP(A133, EventsAll[Date], EventsAll[Event]),"")</f>
        <v xml:space="preserve"> Mother's Day</v>
      </c>
      <c r="K133" s="4" t="str" cm="1">
        <f t="array" ref="K133">IF(SUMPRODUCT((A133&gt;=SchoolHols[Start])*(A133&lt;=SchoolHols[End]))&gt;0,"Y","N")</f>
        <v>N</v>
      </c>
    </row>
    <row r="134" spans="1:11">
      <c r="A134" s="6">
        <f t="shared" si="17"/>
        <v>43598</v>
      </c>
      <c r="B134" s="4" t="str">
        <f t="shared" si="12"/>
        <v>13</v>
      </c>
      <c r="C134" s="4" t="str">
        <f t="shared" si="13"/>
        <v>05</v>
      </c>
      <c r="D134" s="4" t="str">
        <f t="shared" si="14"/>
        <v>2019</v>
      </c>
      <c r="E134" s="3" t="str">
        <f t="shared" si="15"/>
        <v>Monday</v>
      </c>
      <c r="F134" s="4" t="str">
        <f t="shared" si="16"/>
        <v>N</v>
      </c>
      <c r="G134" s="4" t="str">
        <f>IF(COUNTIF(PublicHols[Date], A134)&gt;0, "Y", "N")</f>
        <v>N</v>
      </c>
      <c r="H134" s="3" t="str">
        <f>IFERROR(_xlfn.XLOOKUP(A134, PublicHols[Date], PublicHols[PH_Name]),"")</f>
        <v/>
      </c>
      <c r="I134" s="4" t="str">
        <f>IF(COUNTIF(EventsAll[Date], A134)&gt;0, "Y", "N")</f>
        <v>N</v>
      </c>
      <c r="J134" s="11" t="str">
        <f>IFERROR(_xlfn.XLOOKUP(A134, EventsAll[Date], EventsAll[Event]),"")</f>
        <v/>
      </c>
      <c r="K134" s="4" t="str" cm="1">
        <f t="array" ref="K134">IF(SUMPRODUCT((A134&gt;=SchoolHols[Start])*(A134&lt;=SchoolHols[End]))&gt;0,"Y","N")</f>
        <v>N</v>
      </c>
    </row>
    <row r="135" spans="1:11">
      <c r="A135" s="6">
        <f t="shared" si="17"/>
        <v>43599</v>
      </c>
      <c r="B135" s="4" t="str">
        <f t="shared" si="12"/>
        <v>14</v>
      </c>
      <c r="C135" s="4" t="str">
        <f t="shared" si="13"/>
        <v>05</v>
      </c>
      <c r="D135" s="4" t="str">
        <f t="shared" si="14"/>
        <v>2019</v>
      </c>
      <c r="E135" s="3" t="str">
        <f t="shared" si="15"/>
        <v>Tuesday</v>
      </c>
      <c r="F135" s="4" t="str">
        <f t="shared" si="16"/>
        <v>N</v>
      </c>
      <c r="G135" s="4" t="str">
        <f>IF(COUNTIF(PublicHols[Date], A135)&gt;0, "Y", "N")</f>
        <v>N</v>
      </c>
      <c r="H135" s="3" t="str">
        <f>IFERROR(_xlfn.XLOOKUP(A135, PublicHols[Date], PublicHols[PH_Name]),"")</f>
        <v/>
      </c>
      <c r="I135" s="4" t="str">
        <f>IF(COUNTIF(EventsAll[Date], A135)&gt;0, "Y", "N")</f>
        <v>N</v>
      </c>
      <c r="J135" s="11" t="str">
        <f>IFERROR(_xlfn.XLOOKUP(A135, EventsAll[Date], EventsAll[Event]),"")</f>
        <v/>
      </c>
      <c r="K135" s="4" t="str" cm="1">
        <f t="array" ref="K135">IF(SUMPRODUCT((A135&gt;=SchoolHols[Start])*(A135&lt;=SchoolHols[End]))&gt;0,"Y","N")</f>
        <v>N</v>
      </c>
    </row>
    <row r="136" spans="1:11">
      <c r="A136" s="6">
        <f t="shared" si="17"/>
        <v>43600</v>
      </c>
      <c r="B136" s="4" t="str">
        <f t="shared" si="12"/>
        <v>15</v>
      </c>
      <c r="C136" s="4" t="str">
        <f t="shared" si="13"/>
        <v>05</v>
      </c>
      <c r="D136" s="4" t="str">
        <f t="shared" si="14"/>
        <v>2019</v>
      </c>
      <c r="E136" s="3" t="str">
        <f t="shared" si="15"/>
        <v>Wednesday</v>
      </c>
      <c r="F136" s="4" t="str">
        <f t="shared" si="16"/>
        <v>N</v>
      </c>
      <c r="G136" s="4" t="str">
        <f>IF(COUNTIF(PublicHols[Date], A136)&gt;0, "Y", "N")</f>
        <v>N</v>
      </c>
      <c r="H136" s="3" t="str">
        <f>IFERROR(_xlfn.XLOOKUP(A136, PublicHols[Date], PublicHols[PH_Name]),"")</f>
        <v/>
      </c>
      <c r="I136" s="4" t="str">
        <f>IF(COUNTIF(EventsAll[Date], A136)&gt;0, "Y", "N")</f>
        <v>N</v>
      </c>
      <c r="J136" s="11" t="str">
        <f>IFERROR(_xlfn.XLOOKUP(A136, EventsAll[Date], EventsAll[Event]),"")</f>
        <v/>
      </c>
      <c r="K136" s="4" t="str" cm="1">
        <f t="array" ref="K136">IF(SUMPRODUCT((A136&gt;=SchoolHols[Start])*(A136&lt;=SchoolHols[End]))&gt;0,"Y","N")</f>
        <v>N</v>
      </c>
    </row>
    <row r="137" spans="1:11">
      <c r="A137" s="6">
        <f t="shared" si="17"/>
        <v>43601</v>
      </c>
      <c r="B137" s="4" t="str">
        <f t="shared" si="12"/>
        <v>16</v>
      </c>
      <c r="C137" s="4" t="str">
        <f t="shared" si="13"/>
        <v>05</v>
      </c>
      <c r="D137" s="4" t="str">
        <f t="shared" si="14"/>
        <v>2019</v>
      </c>
      <c r="E137" s="3" t="str">
        <f t="shared" si="15"/>
        <v>Thursday</v>
      </c>
      <c r="F137" s="4" t="str">
        <f t="shared" si="16"/>
        <v>N</v>
      </c>
      <c r="G137" s="4" t="str">
        <f>IF(COUNTIF(PublicHols[Date], A137)&gt;0, "Y", "N")</f>
        <v>N</v>
      </c>
      <c r="H137" s="3" t="str">
        <f>IFERROR(_xlfn.XLOOKUP(A137, PublicHols[Date], PublicHols[PH_Name]),"")</f>
        <v/>
      </c>
      <c r="I137" s="4" t="str">
        <f>IF(COUNTIF(EventsAll[Date], A137)&gt;0, "Y", "N")</f>
        <v>N</v>
      </c>
      <c r="J137" s="11" t="str">
        <f>IFERROR(_xlfn.XLOOKUP(A137, EventsAll[Date], EventsAll[Event]),"")</f>
        <v/>
      </c>
      <c r="K137" s="4" t="str" cm="1">
        <f t="array" ref="K137">IF(SUMPRODUCT((A137&gt;=SchoolHols[Start])*(A137&lt;=SchoolHols[End]))&gt;0,"Y","N")</f>
        <v>N</v>
      </c>
    </row>
    <row r="138" spans="1:11">
      <c r="A138" s="6">
        <f t="shared" si="17"/>
        <v>43602</v>
      </c>
      <c r="B138" s="4" t="str">
        <f t="shared" si="12"/>
        <v>17</v>
      </c>
      <c r="C138" s="4" t="str">
        <f t="shared" si="13"/>
        <v>05</v>
      </c>
      <c r="D138" s="4" t="str">
        <f t="shared" si="14"/>
        <v>2019</v>
      </c>
      <c r="E138" s="3" t="str">
        <f t="shared" si="15"/>
        <v>Friday</v>
      </c>
      <c r="F138" s="4" t="str">
        <f t="shared" si="16"/>
        <v>N</v>
      </c>
      <c r="G138" s="4" t="str">
        <f>IF(COUNTIF(PublicHols[Date], A138)&gt;0, "Y", "N")</f>
        <v>N</v>
      </c>
      <c r="H138" s="3" t="str">
        <f>IFERROR(_xlfn.XLOOKUP(A138, PublicHols[Date], PublicHols[PH_Name]),"")</f>
        <v/>
      </c>
      <c r="I138" s="4" t="str">
        <f>IF(COUNTIF(EventsAll[Date], A138)&gt;0, "Y", "N")</f>
        <v>N</v>
      </c>
      <c r="J138" s="11" t="str">
        <f>IFERROR(_xlfn.XLOOKUP(A138, EventsAll[Date], EventsAll[Event]),"")</f>
        <v/>
      </c>
      <c r="K138" s="4" t="str" cm="1">
        <f t="array" ref="K138">IF(SUMPRODUCT((A138&gt;=SchoolHols[Start])*(A138&lt;=SchoolHols[End]))&gt;0,"Y","N")</f>
        <v>N</v>
      </c>
    </row>
    <row r="139" spans="1:11">
      <c r="A139" s="6">
        <f t="shared" si="17"/>
        <v>43603</v>
      </c>
      <c r="B139" s="4" t="str">
        <f t="shared" si="12"/>
        <v>18</v>
      </c>
      <c r="C139" s="4" t="str">
        <f t="shared" si="13"/>
        <v>05</v>
      </c>
      <c r="D139" s="4" t="str">
        <f t="shared" si="14"/>
        <v>2019</v>
      </c>
      <c r="E139" s="3" t="str">
        <f t="shared" si="15"/>
        <v>Saturday</v>
      </c>
      <c r="F139" s="4" t="str">
        <f t="shared" si="16"/>
        <v>N</v>
      </c>
      <c r="G139" s="4" t="str">
        <f>IF(COUNTIF(PublicHols[Date], A139)&gt;0, "Y", "N")</f>
        <v>N</v>
      </c>
      <c r="H139" s="3" t="str">
        <f>IFERROR(_xlfn.XLOOKUP(A139, PublicHols[Date], PublicHols[PH_Name]),"")</f>
        <v/>
      </c>
      <c r="I139" s="4" t="str">
        <f>IF(COUNTIF(EventsAll[Date], A139)&gt;0, "Y", "N")</f>
        <v>N</v>
      </c>
      <c r="J139" s="11" t="str">
        <f>IFERROR(_xlfn.XLOOKUP(A139, EventsAll[Date], EventsAll[Event]),"")</f>
        <v/>
      </c>
      <c r="K139" s="4" t="str" cm="1">
        <f t="array" ref="K139">IF(SUMPRODUCT((A139&gt;=SchoolHols[Start])*(A139&lt;=SchoolHols[End]))&gt;0,"Y","N")</f>
        <v>N</v>
      </c>
    </row>
    <row r="140" spans="1:11">
      <c r="A140" s="6">
        <f t="shared" si="17"/>
        <v>43604</v>
      </c>
      <c r="B140" s="4" t="str">
        <f t="shared" si="12"/>
        <v>19</v>
      </c>
      <c r="C140" s="4" t="str">
        <f t="shared" si="13"/>
        <v>05</v>
      </c>
      <c r="D140" s="4" t="str">
        <f t="shared" si="14"/>
        <v>2019</v>
      </c>
      <c r="E140" s="3" t="str">
        <f t="shared" si="15"/>
        <v>Sunday</v>
      </c>
      <c r="F140" s="4" t="str">
        <f t="shared" si="16"/>
        <v>Y</v>
      </c>
      <c r="G140" s="4" t="str">
        <f>IF(COUNTIF(PublicHols[Date], A140)&gt;0, "Y", "N")</f>
        <v>N</v>
      </c>
      <c r="H140" s="3" t="str">
        <f>IFERROR(_xlfn.XLOOKUP(A140, PublicHols[Date], PublicHols[PH_Name]),"")</f>
        <v/>
      </c>
      <c r="I140" s="4" t="str">
        <f>IF(COUNTIF(EventsAll[Date], A140)&gt;0, "Y", "N")</f>
        <v>N</v>
      </c>
      <c r="J140" s="11" t="str">
        <f>IFERROR(_xlfn.XLOOKUP(A140, EventsAll[Date], EventsAll[Event]),"")</f>
        <v/>
      </c>
      <c r="K140" s="4" t="str" cm="1">
        <f t="array" ref="K140">IF(SUMPRODUCT((A140&gt;=SchoolHols[Start])*(A140&lt;=SchoolHols[End]))&gt;0,"Y","N")</f>
        <v>N</v>
      </c>
    </row>
    <row r="141" spans="1:11">
      <c r="A141" s="6">
        <f t="shared" si="17"/>
        <v>43605</v>
      </c>
      <c r="B141" s="4" t="str">
        <f t="shared" si="12"/>
        <v>20</v>
      </c>
      <c r="C141" s="4" t="str">
        <f t="shared" si="13"/>
        <v>05</v>
      </c>
      <c r="D141" s="4" t="str">
        <f t="shared" si="14"/>
        <v>2019</v>
      </c>
      <c r="E141" s="3" t="str">
        <f t="shared" si="15"/>
        <v>Monday</v>
      </c>
      <c r="F141" s="4" t="str">
        <f t="shared" si="16"/>
        <v>N</v>
      </c>
      <c r="G141" s="4" t="str">
        <f>IF(COUNTIF(PublicHols[Date], A141)&gt;0, "Y", "N")</f>
        <v>N</v>
      </c>
      <c r="H141" s="3" t="str">
        <f>IFERROR(_xlfn.XLOOKUP(A141, PublicHols[Date], PublicHols[PH_Name]),"")</f>
        <v/>
      </c>
      <c r="I141" s="4" t="str">
        <f>IF(COUNTIF(EventsAll[Date], A141)&gt;0, "Y", "N")</f>
        <v>N</v>
      </c>
      <c r="J141" s="11" t="str">
        <f>IFERROR(_xlfn.XLOOKUP(A141, EventsAll[Date], EventsAll[Event]),"")</f>
        <v/>
      </c>
      <c r="K141" s="4" t="str" cm="1">
        <f t="array" ref="K141">IF(SUMPRODUCT((A141&gt;=SchoolHols[Start])*(A141&lt;=SchoolHols[End]))&gt;0,"Y","N")</f>
        <v>N</v>
      </c>
    </row>
    <row r="142" spans="1:11">
      <c r="A142" s="6">
        <f t="shared" si="17"/>
        <v>43606</v>
      </c>
      <c r="B142" s="4" t="str">
        <f t="shared" si="12"/>
        <v>21</v>
      </c>
      <c r="C142" s="4" t="str">
        <f t="shared" si="13"/>
        <v>05</v>
      </c>
      <c r="D142" s="4" t="str">
        <f t="shared" si="14"/>
        <v>2019</v>
      </c>
      <c r="E142" s="3" t="str">
        <f t="shared" si="15"/>
        <v>Tuesday</v>
      </c>
      <c r="F142" s="4" t="str">
        <f t="shared" si="16"/>
        <v>N</v>
      </c>
      <c r="G142" s="4" t="str">
        <f>IF(COUNTIF(PublicHols[Date], A142)&gt;0, "Y", "N")</f>
        <v>N</v>
      </c>
      <c r="H142" s="3" t="str">
        <f>IFERROR(_xlfn.XLOOKUP(A142, PublicHols[Date], PublicHols[PH_Name]),"")</f>
        <v/>
      </c>
      <c r="I142" s="4" t="str">
        <f>IF(COUNTIF(EventsAll[Date], A142)&gt;0, "Y", "N")</f>
        <v>N</v>
      </c>
      <c r="J142" s="11" t="str">
        <f>IFERROR(_xlfn.XLOOKUP(A142, EventsAll[Date], EventsAll[Event]),"")</f>
        <v/>
      </c>
      <c r="K142" s="4" t="str" cm="1">
        <f t="array" ref="K142">IF(SUMPRODUCT((A142&gt;=SchoolHols[Start])*(A142&lt;=SchoolHols[End]))&gt;0,"Y","N")</f>
        <v>N</v>
      </c>
    </row>
    <row r="143" spans="1:11">
      <c r="A143" s="6">
        <f t="shared" si="17"/>
        <v>43607</v>
      </c>
      <c r="B143" s="4" t="str">
        <f t="shared" si="12"/>
        <v>22</v>
      </c>
      <c r="C143" s="4" t="str">
        <f t="shared" si="13"/>
        <v>05</v>
      </c>
      <c r="D143" s="4" t="str">
        <f t="shared" si="14"/>
        <v>2019</v>
      </c>
      <c r="E143" s="3" t="str">
        <f t="shared" si="15"/>
        <v>Wednesday</v>
      </c>
      <c r="F143" s="4" t="str">
        <f t="shared" si="16"/>
        <v>N</v>
      </c>
      <c r="G143" s="4" t="str">
        <f>IF(COUNTIF(PublicHols[Date], A143)&gt;0, "Y", "N")</f>
        <v>N</v>
      </c>
      <c r="H143" s="3" t="str">
        <f>IFERROR(_xlfn.XLOOKUP(A143, PublicHols[Date], PublicHols[PH_Name]),"")</f>
        <v/>
      </c>
      <c r="I143" s="4" t="str">
        <f>IF(COUNTIF(EventsAll[Date], A143)&gt;0, "Y", "N")</f>
        <v>N</v>
      </c>
      <c r="J143" s="11" t="str">
        <f>IFERROR(_xlfn.XLOOKUP(A143, EventsAll[Date], EventsAll[Event]),"")</f>
        <v/>
      </c>
      <c r="K143" s="4" t="str" cm="1">
        <f t="array" ref="K143">IF(SUMPRODUCT((A143&gt;=SchoolHols[Start])*(A143&lt;=SchoolHols[End]))&gt;0,"Y","N")</f>
        <v>N</v>
      </c>
    </row>
    <row r="144" spans="1:11">
      <c r="A144" s="6">
        <f t="shared" si="17"/>
        <v>43608</v>
      </c>
      <c r="B144" s="4" t="str">
        <f t="shared" si="12"/>
        <v>23</v>
      </c>
      <c r="C144" s="4" t="str">
        <f t="shared" si="13"/>
        <v>05</v>
      </c>
      <c r="D144" s="4" t="str">
        <f t="shared" si="14"/>
        <v>2019</v>
      </c>
      <c r="E144" s="3" t="str">
        <f t="shared" si="15"/>
        <v>Thursday</v>
      </c>
      <c r="F144" s="4" t="str">
        <f t="shared" si="16"/>
        <v>N</v>
      </c>
      <c r="G144" s="4" t="str">
        <f>IF(COUNTIF(PublicHols[Date], A144)&gt;0, "Y", "N")</f>
        <v>N</v>
      </c>
      <c r="H144" s="3" t="str">
        <f>IFERROR(_xlfn.XLOOKUP(A144, PublicHols[Date], PublicHols[PH_Name]),"")</f>
        <v/>
      </c>
      <c r="I144" s="4" t="str">
        <f>IF(COUNTIF(EventsAll[Date], A144)&gt;0, "Y", "N")</f>
        <v>N</v>
      </c>
      <c r="J144" s="11" t="str">
        <f>IFERROR(_xlfn.XLOOKUP(A144, EventsAll[Date], EventsAll[Event]),"")</f>
        <v/>
      </c>
      <c r="K144" s="4" t="str" cm="1">
        <f t="array" ref="K144">IF(SUMPRODUCT((A144&gt;=SchoolHols[Start])*(A144&lt;=SchoolHols[End]))&gt;0,"Y","N")</f>
        <v>N</v>
      </c>
    </row>
    <row r="145" spans="1:11">
      <c r="A145" s="6">
        <f t="shared" si="17"/>
        <v>43609</v>
      </c>
      <c r="B145" s="4" t="str">
        <f t="shared" si="12"/>
        <v>24</v>
      </c>
      <c r="C145" s="4" t="str">
        <f t="shared" si="13"/>
        <v>05</v>
      </c>
      <c r="D145" s="4" t="str">
        <f t="shared" si="14"/>
        <v>2019</v>
      </c>
      <c r="E145" s="3" t="str">
        <f t="shared" si="15"/>
        <v>Friday</v>
      </c>
      <c r="F145" s="4" t="str">
        <f t="shared" si="16"/>
        <v>N</v>
      </c>
      <c r="G145" s="4" t="str">
        <f>IF(COUNTIF(PublicHols[Date], A145)&gt;0, "Y", "N")</f>
        <v>N</v>
      </c>
      <c r="H145" s="3" t="str">
        <f>IFERROR(_xlfn.XLOOKUP(A145, PublicHols[Date], PublicHols[PH_Name]),"")</f>
        <v/>
      </c>
      <c r="I145" s="4" t="str">
        <f>IF(COUNTIF(EventsAll[Date], A145)&gt;0, "Y", "N")</f>
        <v>N</v>
      </c>
      <c r="J145" s="11" t="str">
        <f>IFERROR(_xlfn.XLOOKUP(A145, EventsAll[Date], EventsAll[Event]),"")</f>
        <v/>
      </c>
      <c r="K145" s="4" t="str" cm="1">
        <f t="array" ref="K145">IF(SUMPRODUCT((A145&gt;=SchoolHols[Start])*(A145&lt;=SchoolHols[End]))&gt;0,"Y","N")</f>
        <v>N</v>
      </c>
    </row>
    <row r="146" spans="1:11">
      <c r="A146" s="6">
        <f t="shared" si="17"/>
        <v>43610</v>
      </c>
      <c r="B146" s="4" t="str">
        <f t="shared" si="12"/>
        <v>25</v>
      </c>
      <c r="C146" s="4" t="str">
        <f t="shared" si="13"/>
        <v>05</v>
      </c>
      <c r="D146" s="4" t="str">
        <f t="shared" si="14"/>
        <v>2019</v>
      </c>
      <c r="E146" s="3" t="str">
        <f t="shared" si="15"/>
        <v>Saturday</v>
      </c>
      <c r="F146" s="4" t="str">
        <f t="shared" si="16"/>
        <v>N</v>
      </c>
      <c r="G146" s="4" t="str">
        <f>IF(COUNTIF(PublicHols[Date], A146)&gt;0, "Y", "N")</f>
        <v>N</v>
      </c>
      <c r="H146" s="3" t="str">
        <f>IFERROR(_xlfn.XLOOKUP(A146, PublicHols[Date], PublicHols[PH_Name]),"")</f>
        <v/>
      </c>
      <c r="I146" s="4" t="str">
        <f>IF(COUNTIF(EventsAll[Date], A146)&gt;0, "Y", "N")</f>
        <v>N</v>
      </c>
      <c r="J146" s="11" t="str">
        <f>IFERROR(_xlfn.XLOOKUP(A146, EventsAll[Date], EventsAll[Event]),"")</f>
        <v/>
      </c>
      <c r="K146" s="4" t="str" cm="1">
        <f t="array" ref="K146">IF(SUMPRODUCT((A146&gt;=SchoolHols[Start])*(A146&lt;=SchoolHols[End]))&gt;0,"Y","N")</f>
        <v>N</v>
      </c>
    </row>
    <row r="147" spans="1:11">
      <c r="A147" s="6">
        <f t="shared" si="17"/>
        <v>43611</v>
      </c>
      <c r="B147" s="4" t="str">
        <f t="shared" si="12"/>
        <v>26</v>
      </c>
      <c r="C147" s="4" t="str">
        <f t="shared" si="13"/>
        <v>05</v>
      </c>
      <c r="D147" s="4" t="str">
        <f t="shared" si="14"/>
        <v>2019</v>
      </c>
      <c r="E147" s="3" t="str">
        <f t="shared" si="15"/>
        <v>Sunday</v>
      </c>
      <c r="F147" s="4" t="str">
        <f t="shared" si="16"/>
        <v>Y</v>
      </c>
      <c r="G147" s="4" t="str">
        <f>IF(COUNTIF(PublicHols[Date], A147)&gt;0, "Y", "N")</f>
        <v>N</v>
      </c>
      <c r="H147" s="3" t="str">
        <f>IFERROR(_xlfn.XLOOKUP(A147, PublicHols[Date], PublicHols[PH_Name]),"")</f>
        <v/>
      </c>
      <c r="I147" s="4" t="str">
        <f>IF(COUNTIF(EventsAll[Date], A147)&gt;0, "Y", "N")</f>
        <v>N</v>
      </c>
      <c r="J147" s="11" t="str">
        <f>IFERROR(_xlfn.XLOOKUP(A147, EventsAll[Date], EventsAll[Event]),"")</f>
        <v/>
      </c>
      <c r="K147" s="4" t="str" cm="1">
        <f t="array" ref="K147">IF(SUMPRODUCT((A147&gt;=SchoolHols[Start])*(A147&lt;=SchoolHols[End]))&gt;0,"Y","N")</f>
        <v>N</v>
      </c>
    </row>
    <row r="148" spans="1:11">
      <c r="A148" s="6">
        <f t="shared" si="17"/>
        <v>43612</v>
      </c>
      <c r="B148" s="4" t="str">
        <f t="shared" si="12"/>
        <v>27</v>
      </c>
      <c r="C148" s="4" t="str">
        <f t="shared" si="13"/>
        <v>05</v>
      </c>
      <c r="D148" s="4" t="str">
        <f t="shared" si="14"/>
        <v>2019</v>
      </c>
      <c r="E148" s="3" t="str">
        <f t="shared" si="15"/>
        <v>Monday</v>
      </c>
      <c r="F148" s="4" t="str">
        <f t="shared" si="16"/>
        <v>N</v>
      </c>
      <c r="G148" s="4" t="str">
        <f>IF(COUNTIF(PublicHols[Date], A148)&gt;0, "Y", "N")</f>
        <v>N</v>
      </c>
      <c r="H148" s="3" t="str">
        <f>IFERROR(_xlfn.XLOOKUP(A148, PublicHols[Date], PublicHols[PH_Name]),"")</f>
        <v/>
      </c>
      <c r="I148" s="4" t="str">
        <f>IF(COUNTIF(EventsAll[Date], A148)&gt;0, "Y", "N")</f>
        <v>N</v>
      </c>
      <c r="J148" s="11" t="str">
        <f>IFERROR(_xlfn.XLOOKUP(A148, EventsAll[Date], EventsAll[Event]),"")</f>
        <v/>
      </c>
      <c r="K148" s="4" t="str" cm="1">
        <f t="array" ref="K148">IF(SUMPRODUCT((A148&gt;=SchoolHols[Start])*(A148&lt;=SchoolHols[End]))&gt;0,"Y","N")</f>
        <v>N</v>
      </c>
    </row>
    <row r="149" spans="1:11">
      <c r="A149" s="6">
        <f t="shared" si="17"/>
        <v>43613</v>
      </c>
      <c r="B149" s="4" t="str">
        <f t="shared" si="12"/>
        <v>28</v>
      </c>
      <c r="C149" s="4" t="str">
        <f t="shared" si="13"/>
        <v>05</v>
      </c>
      <c r="D149" s="4" t="str">
        <f t="shared" si="14"/>
        <v>2019</v>
      </c>
      <c r="E149" s="3" t="str">
        <f t="shared" si="15"/>
        <v>Tuesday</v>
      </c>
      <c r="F149" s="4" t="str">
        <f t="shared" si="16"/>
        <v>N</v>
      </c>
      <c r="G149" s="4" t="str">
        <f>IF(COUNTIF(PublicHols[Date], A149)&gt;0, "Y", "N")</f>
        <v>N</v>
      </c>
      <c r="H149" s="3" t="str">
        <f>IFERROR(_xlfn.XLOOKUP(A149, PublicHols[Date], PublicHols[PH_Name]),"")</f>
        <v/>
      </c>
      <c r="I149" s="4" t="str">
        <f>IF(COUNTIF(EventsAll[Date], A149)&gt;0, "Y", "N")</f>
        <v>N</v>
      </c>
      <c r="J149" s="11" t="str">
        <f>IFERROR(_xlfn.XLOOKUP(A149, EventsAll[Date], EventsAll[Event]),"")</f>
        <v/>
      </c>
      <c r="K149" s="4" t="str" cm="1">
        <f t="array" ref="K149">IF(SUMPRODUCT((A149&gt;=SchoolHols[Start])*(A149&lt;=SchoolHols[End]))&gt;0,"Y","N")</f>
        <v>N</v>
      </c>
    </row>
    <row r="150" spans="1:11">
      <c r="A150" s="6">
        <f t="shared" si="17"/>
        <v>43614</v>
      </c>
      <c r="B150" s="4" t="str">
        <f t="shared" si="12"/>
        <v>29</v>
      </c>
      <c r="C150" s="4" t="str">
        <f t="shared" si="13"/>
        <v>05</v>
      </c>
      <c r="D150" s="4" t="str">
        <f t="shared" si="14"/>
        <v>2019</v>
      </c>
      <c r="E150" s="3" t="str">
        <f t="shared" si="15"/>
        <v>Wednesday</v>
      </c>
      <c r="F150" s="4" t="str">
        <f t="shared" si="16"/>
        <v>N</v>
      </c>
      <c r="G150" s="4" t="str">
        <f>IF(COUNTIF(PublicHols[Date], A150)&gt;0, "Y", "N")</f>
        <v>N</v>
      </c>
      <c r="H150" s="3" t="str">
        <f>IFERROR(_xlfn.XLOOKUP(A150, PublicHols[Date], PublicHols[PH_Name]),"")</f>
        <v/>
      </c>
      <c r="I150" s="4" t="str">
        <f>IF(COUNTIF(EventsAll[Date], A150)&gt;0, "Y", "N")</f>
        <v>N</v>
      </c>
      <c r="J150" s="11" t="str">
        <f>IFERROR(_xlfn.XLOOKUP(A150, EventsAll[Date], EventsAll[Event]),"")</f>
        <v/>
      </c>
      <c r="K150" s="4" t="str" cm="1">
        <f t="array" ref="K150">IF(SUMPRODUCT((A150&gt;=SchoolHols[Start])*(A150&lt;=SchoolHols[End]))&gt;0,"Y","N")</f>
        <v>N</v>
      </c>
    </row>
    <row r="151" spans="1:11">
      <c r="A151" s="6">
        <f t="shared" si="17"/>
        <v>43615</v>
      </c>
      <c r="B151" s="4" t="str">
        <f t="shared" si="12"/>
        <v>30</v>
      </c>
      <c r="C151" s="4" t="str">
        <f t="shared" si="13"/>
        <v>05</v>
      </c>
      <c r="D151" s="4" t="str">
        <f t="shared" si="14"/>
        <v>2019</v>
      </c>
      <c r="E151" s="3" t="str">
        <f t="shared" si="15"/>
        <v>Thursday</v>
      </c>
      <c r="F151" s="4" t="str">
        <f t="shared" si="16"/>
        <v>N</v>
      </c>
      <c r="G151" s="4" t="str">
        <f>IF(COUNTIF(PublicHols[Date], A151)&gt;0, "Y", "N")</f>
        <v>N</v>
      </c>
      <c r="H151" s="3" t="str">
        <f>IFERROR(_xlfn.XLOOKUP(A151, PublicHols[Date], PublicHols[PH_Name]),"")</f>
        <v/>
      </c>
      <c r="I151" s="4" t="str">
        <f>IF(COUNTIF(EventsAll[Date], A151)&gt;0, "Y", "N")</f>
        <v>N</v>
      </c>
      <c r="J151" s="11" t="str">
        <f>IFERROR(_xlfn.XLOOKUP(A151, EventsAll[Date], EventsAll[Event]),"")</f>
        <v/>
      </c>
      <c r="K151" s="4" t="str" cm="1">
        <f t="array" ref="K151">IF(SUMPRODUCT((A151&gt;=SchoolHols[Start])*(A151&lt;=SchoolHols[End]))&gt;0,"Y","N")</f>
        <v>N</v>
      </c>
    </row>
    <row r="152" spans="1:11">
      <c r="A152" s="6">
        <f t="shared" si="17"/>
        <v>43616</v>
      </c>
      <c r="B152" s="4" t="str">
        <f t="shared" si="12"/>
        <v>31</v>
      </c>
      <c r="C152" s="4" t="str">
        <f t="shared" si="13"/>
        <v>05</v>
      </c>
      <c r="D152" s="4" t="str">
        <f t="shared" si="14"/>
        <v>2019</v>
      </c>
      <c r="E152" s="3" t="str">
        <f t="shared" si="15"/>
        <v>Friday</v>
      </c>
      <c r="F152" s="4" t="str">
        <f t="shared" si="16"/>
        <v>N</v>
      </c>
      <c r="G152" s="4" t="str">
        <f>IF(COUNTIF(PublicHols[Date], A152)&gt;0, "Y", "N")</f>
        <v>N</v>
      </c>
      <c r="H152" s="3" t="str">
        <f>IFERROR(_xlfn.XLOOKUP(A152, PublicHols[Date], PublicHols[PH_Name]),"")</f>
        <v/>
      </c>
      <c r="I152" s="4" t="str">
        <f>IF(COUNTIF(EventsAll[Date], A152)&gt;0, "Y", "N")</f>
        <v>N</v>
      </c>
      <c r="J152" s="11" t="str">
        <f>IFERROR(_xlfn.XLOOKUP(A152, EventsAll[Date], EventsAll[Event]),"")</f>
        <v/>
      </c>
      <c r="K152" s="4" t="str" cm="1">
        <f t="array" ref="K152">IF(SUMPRODUCT((A152&gt;=SchoolHols[Start])*(A152&lt;=SchoolHols[End]))&gt;0,"Y","N")</f>
        <v>N</v>
      </c>
    </row>
    <row r="153" spans="1:11">
      <c r="A153" s="6">
        <f t="shared" si="17"/>
        <v>43617</v>
      </c>
      <c r="B153" s="4" t="str">
        <f t="shared" si="12"/>
        <v>01</v>
      </c>
      <c r="C153" s="4" t="str">
        <f t="shared" si="13"/>
        <v>06</v>
      </c>
      <c r="D153" s="4" t="str">
        <f t="shared" si="14"/>
        <v>2019</v>
      </c>
      <c r="E153" s="3" t="str">
        <f t="shared" si="15"/>
        <v>Saturday</v>
      </c>
      <c r="F153" s="4" t="str">
        <f t="shared" si="16"/>
        <v>N</v>
      </c>
      <c r="G153" s="4" t="str">
        <f>IF(COUNTIF(PublicHols[Date], A153)&gt;0, "Y", "N")</f>
        <v>N</v>
      </c>
      <c r="H153" s="3" t="str">
        <f>IFERROR(_xlfn.XLOOKUP(A153, PublicHols[Date], PublicHols[PH_Name]),"")</f>
        <v/>
      </c>
      <c r="I153" s="4" t="str">
        <f>IF(COUNTIF(EventsAll[Date], A153)&gt;0, "Y", "N")</f>
        <v>N</v>
      </c>
      <c r="J153" s="11" t="str">
        <f>IFERROR(_xlfn.XLOOKUP(A153, EventsAll[Date], EventsAll[Event]),"")</f>
        <v/>
      </c>
      <c r="K153" s="4" t="str" cm="1">
        <f t="array" ref="K153">IF(SUMPRODUCT((A153&gt;=SchoolHols[Start])*(A153&lt;=SchoolHols[End]))&gt;0,"Y","N")</f>
        <v>N</v>
      </c>
    </row>
    <row r="154" spans="1:11">
      <c r="A154" s="6">
        <f t="shared" si="17"/>
        <v>43618</v>
      </c>
      <c r="B154" s="4" t="str">
        <f t="shared" si="12"/>
        <v>02</v>
      </c>
      <c r="C154" s="4" t="str">
        <f t="shared" si="13"/>
        <v>06</v>
      </c>
      <c r="D154" s="4" t="str">
        <f t="shared" si="14"/>
        <v>2019</v>
      </c>
      <c r="E154" s="3" t="str">
        <f t="shared" si="15"/>
        <v>Sunday</v>
      </c>
      <c r="F154" s="4" t="str">
        <f t="shared" si="16"/>
        <v>Y</v>
      </c>
      <c r="G154" s="4" t="str">
        <f>IF(COUNTIF(PublicHols[Date], A154)&gt;0, "Y", "N")</f>
        <v>N</v>
      </c>
      <c r="H154" s="3" t="str">
        <f>IFERROR(_xlfn.XLOOKUP(A154, PublicHols[Date], PublicHols[PH_Name]),"")</f>
        <v/>
      </c>
      <c r="I154" s="4" t="str">
        <f>IF(COUNTIF(EventsAll[Date], A154)&gt;0, "Y", "N")</f>
        <v>N</v>
      </c>
      <c r="J154" s="11" t="str">
        <f>IFERROR(_xlfn.XLOOKUP(A154, EventsAll[Date], EventsAll[Event]),"")</f>
        <v/>
      </c>
      <c r="K154" s="4" t="str" cm="1">
        <f t="array" ref="K154">IF(SUMPRODUCT((A154&gt;=SchoolHols[Start])*(A154&lt;=SchoolHols[End]))&gt;0,"Y","N")</f>
        <v>N</v>
      </c>
    </row>
    <row r="155" spans="1:11">
      <c r="A155" s="6">
        <f t="shared" si="17"/>
        <v>43619</v>
      </c>
      <c r="B155" s="4" t="str">
        <f t="shared" si="12"/>
        <v>03</v>
      </c>
      <c r="C155" s="4" t="str">
        <f t="shared" si="13"/>
        <v>06</v>
      </c>
      <c r="D155" s="4" t="str">
        <f t="shared" si="14"/>
        <v>2019</v>
      </c>
      <c r="E155" s="3" t="str">
        <f t="shared" si="15"/>
        <v>Monday</v>
      </c>
      <c r="F155" s="4" t="str">
        <f t="shared" si="16"/>
        <v>N</v>
      </c>
      <c r="G155" s="4" t="str">
        <f>IF(COUNTIF(PublicHols[Date], A155)&gt;0, "Y", "N")</f>
        <v>N</v>
      </c>
      <c r="H155" s="3" t="str">
        <f>IFERROR(_xlfn.XLOOKUP(A155, PublicHols[Date], PublicHols[PH_Name]),"")</f>
        <v/>
      </c>
      <c r="I155" s="4" t="str">
        <f>IF(COUNTIF(EventsAll[Date], A155)&gt;0, "Y", "N")</f>
        <v>N</v>
      </c>
      <c r="J155" s="11" t="str">
        <f>IFERROR(_xlfn.XLOOKUP(A155, EventsAll[Date], EventsAll[Event]),"")</f>
        <v/>
      </c>
      <c r="K155" s="4" t="str" cm="1">
        <f t="array" ref="K155">IF(SUMPRODUCT((A155&gt;=SchoolHols[Start])*(A155&lt;=SchoolHols[End]))&gt;0,"Y","N")</f>
        <v>N</v>
      </c>
    </row>
    <row r="156" spans="1:11">
      <c r="A156" s="6">
        <f t="shared" si="17"/>
        <v>43620</v>
      </c>
      <c r="B156" s="4" t="str">
        <f t="shared" si="12"/>
        <v>04</v>
      </c>
      <c r="C156" s="4" t="str">
        <f t="shared" si="13"/>
        <v>06</v>
      </c>
      <c r="D156" s="4" t="str">
        <f t="shared" si="14"/>
        <v>2019</v>
      </c>
      <c r="E156" s="3" t="str">
        <f t="shared" si="15"/>
        <v>Tuesday</v>
      </c>
      <c r="F156" s="4" t="str">
        <f t="shared" si="16"/>
        <v>N</v>
      </c>
      <c r="G156" s="4" t="str">
        <f>IF(COUNTIF(PublicHols[Date], A156)&gt;0, "Y", "N")</f>
        <v>N</v>
      </c>
      <c r="H156" s="3" t="str">
        <f>IFERROR(_xlfn.XLOOKUP(A156, PublicHols[Date], PublicHols[PH_Name]),"")</f>
        <v/>
      </c>
      <c r="I156" s="4" t="str">
        <f>IF(COUNTIF(EventsAll[Date], A156)&gt;0, "Y", "N")</f>
        <v>N</v>
      </c>
      <c r="J156" s="11" t="str">
        <f>IFERROR(_xlfn.XLOOKUP(A156, EventsAll[Date], EventsAll[Event]),"")</f>
        <v/>
      </c>
      <c r="K156" s="4" t="str" cm="1">
        <f t="array" ref="K156">IF(SUMPRODUCT((A156&gt;=SchoolHols[Start])*(A156&lt;=SchoolHols[End]))&gt;0,"Y","N")</f>
        <v>N</v>
      </c>
    </row>
    <row r="157" spans="1:11">
      <c r="A157" s="6">
        <f t="shared" si="17"/>
        <v>43621</v>
      </c>
      <c r="B157" s="4" t="str">
        <f t="shared" si="12"/>
        <v>05</v>
      </c>
      <c r="C157" s="4" t="str">
        <f t="shared" si="13"/>
        <v>06</v>
      </c>
      <c r="D157" s="4" t="str">
        <f t="shared" si="14"/>
        <v>2019</v>
      </c>
      <c r="E157" s="3" t="str">
        <f t="shared" si="15"/>
        <v>Wednesday</v>
      </c>
      <c r="F157" s="4" t="str">
        <f t="shared" si="16"/>
        <v>N</v>
      </c>
      <c r="G157" s="4" t="str">
        <f>IF(COUNTIF(PublicHols[Date], A157)&gt;0, "Y", "N")</f>
        <v>N</v>
      </c>
      <c r="H157" s="3" t="str">
        <f>IFERROR(_xlfn.XLOOKUP(A157, PublicHols[Date], PublicHols[PH_Name]),"")</f>
        <v/>
      </c>
      <c r="I157" s="4" t="str">
        <f>IF(COUNTIF(EventsAll[Date], A157)&gt;0, "Y", "N")</f>
        <v>N</v>
      </c>
      <c r="J157" s="11" t="str">
        <f>IFERROR(_xlfn.XLOOKUP(A157, EventsAll[Date], EventsAll[Event]),"")</f>
        <v/>
      </c>
      <c r="K157" s="4" t="str" cm="1">
        <f t="array" ref="K157">IF(SUMPRODUCT((A157&gt;=SchoolHols[Start])*(A157&lt;=SchoolHols[End]))&gt;0,"Y","N")</f>
        <v>N</v>
      </c>
    </row>
    <row r="158" spans="1:11">
      <c r="A158" s="6">
        <f t="shared" si="17"/>
        <v>43622</v>
      </c>
      <c r="B158" s="4" t="str">
        <f t="shared" si="12"/>
        <v>06</v>
      </c>
      <c r="C158" s="4" t="str">
        <f t="shared" si="13"/>
        <v>06</v>
      </c>
      <c r="D158" s="4" t="str">
        <f t="shared" si="14"/>
        <v>2019</v>
      </c>
      <c r="E158" s="3" t="str">
        <f t="shared" si="15"/>
        <v>Thursday</v>
      </c>
      <c r="F158" s="4" t="str">
        <f t="shared" si="16"/>
        <v>N</v>
      </c>
      <c r="G158" s="4" t="str">
        <f>IF(COUNTIF(PublicHols[Date], A158)&gt;0, "Y", "N")</f>
        <v>N</v>
      </c>
      <c r="H158" s="3" t="str">
        <f>IFERROR(_xlfn.XLOOKUP(A158, PublicHols[Date], PublicHols[PH_Name]),"")</f>
        <v/>
      </c>
      <c r="I158" s="4" t="str">
        <f>IF(COUNTIF(EventsAll[Date], A158)&gt;0, "Y", "N")</f>
        <v>N</v>
      </c>
      <c r="J158" s="11" t="str">
        <f>IFERROR(_xlfn.XLOOKUP(A158, EventsAll[Date], EventsAll[Event]),"")</f>
        <v/>
      </c>
      <c r="K158" s="4" t="str" cm="1">
        <f t="array" ref="K158">IF(SUMPRODUCT((A158&gt;=SchoolHols[Start])*(A158&lt;=SchoolHols[End]))&gt;0,"Y","N")</f>
        <v>N</v>
      </c>
    </row>
    <row r="159" spans="1:11">
      <c r="A159" s="6">
        <f t="shared" si="17"/>
        <v>43623</v>
      </c>
      <c r="B159" s="4" t="str">
        <f t="shared" si="12"/>
        <v>07</v>
      </c>
      <c r="C159" s="4" t="str">
        <f t="shared" si="13"/>
        <v>06</v>
      </c>
      <c r="D159" s="4" t="str">
        <f t="shared" si="14"/>
        <v>2019</v>
      </c>
      <c r="E159" s="3" t="str">
        <f t="shared" si="15"/>
        <v>Friday</v>
      </c>
      <c r="F159" s="4" t="str">
        <f t="shared" si="16"/>
        <v>N</v>
      </c>
      <c r="G159" s="4" t="str">
        <f>IF(COUNTIF(PublicHols[Date], A159)&gt;0, "Y", "N")</f>
        <v>N</v>
      </c>
      <c r="H159" s="3" t="str">
        <f>IFERROR(_xlfn.XLOOKUP(A159, PublicHols[Date], PublicHols[PH_Name]),"")</f>
        <v/>
      </c>
      <c r="I159" s="4" t="str">
        <f>IF(COUNTIF(EventsAll[Date], A159)&gt;0, "Y", "N")</f>
        <v>N</v>
      </c>
      <c r="J159" s="11" t="str">
        <f>IFERROR(_xlfn.XLOOKUP(A159, EventsAll[Date], EventsAll[Event]),"")</f>
        <v/>
      </c>
      <c r="K159" s="4" t="str" cm="1">
        <f t="array" ref="K159">IF(SUMPRODUCT((A159&gt;=SchoolHols[Start])*(A159&lt;=SchoolHols[End]))&gt;0,"Y","N")</f>
        <v>N</v>
      </c>
    </row>
    <row r="160" spans="1:11">
      <c r="A160" s="6">
        <f t="shared" si="17"/>
        <v>43624</v>
      </c>
      <c r="B160" s="4" t="str">
        <f t="shared" si="12"/>
        <v>08</v>
      </c>
      <c r="C160" s="4" t="str">
        <f t="shared" si="13"/>
        <v>06</v>
      </c>
      <c r="D160" s="4" t="str">
        <f t="shared" si="14"/>
        <v>2019</v>
      </c>
      <c r="E160" s="3" t="str">
        <f t="shared" si="15"/>
        <v>Saturday</v>
      </c>
      <c r="F160" s="4" t="str">
        <f t="shared" si="16"/>
        <v>N</v>
      </c>
      <c r="G160" s="4" t="str">
        <f>IF(COUNTIF(PublicHols[Date], A160)&gt;0, "Y", "N")</f>
        <v>N</v>
      </c>
      <c r="H160" s="3" t="str">
        <f>IFERROR(_xlfn.XLOOKUP(A160, PublicHols[Date], PublicHols[PH_Name]),"")</f>
        <v/>
      </c>
      <c r="I160" s="4" t="str">
        <f>IF(COUNTIF(EventsAll[Date], A160)&gt;0, "Y", "N")</f>
        <v>N</v>
      </c>
      <c r="J160" s="11" t="str">
        <f>IFERROR(_xlfn.XLOOKUP(A160, EventsAll[Date], EventsAll[Event]),"")</f>
        <v/>
      </c>
      <c r="K160" s="4" t="str" cm="1">
        <f t="array" ref="K160">IF(SUMPRODUCT((A160&gt;=SchoolHols[Start])*(A160&lt;=SchoolHols[End]))&gt;0,"Y","N")</f>
        <v>N</v>
      </c>
    </row>
    <row r="161" spans="1:11">
      <c r="A161" s="6">
        <f t="shared" si="17"/>
        <v>43625</v>
      </c>
      <c r="B161" s="4" t="str">
        <f t="shared" si="12"/>
        <v>09</v>
      </c>
      <c r="C161" s="4" t="str">
        <f t="shared" si="13"/>
        <v>06</v>
      </c>
      <c r="D161" s="4" t="str">
        <f t="shared" si="14"/>
        <v>2019</v>
      </c>
      <c r="E161" s="3" t="str">
        <f t="shared" si="15"/>
        <v>Sunday</v>
      </c>
      <c r="F161" s="4" t="str">
        <f t="shared" si="16"/>
        <v>Y</v>
      </c>
      <c r="G161" s="4" t="str">
        <f>IF(COUNTIF(PublicHols[Date], A161)&gt;0, "Y", "N")</f>
        <v>N</v>
      </c>
      <c r="H161" s="3" t="str">
        <f>IFERROR(_xlfn.XLOOKUP(A161, PublicHols[Date], PublicHols[PH_Name]),"")</f>
        <v/>
      </c>
      <c r="I161" s="4" t="str">
        <f>IF(COUNTIF(EventsAll[Date], A161)&gt;0, "Y", "N")</f>
        <v>N</v>
      </c>
      <c r="J161" s="11" t="str">
        <f>IFERROR(_xlfn.XLOOKUP(A161, EventsAll[Date], EventsAll[Event]),"")</f>
        <v/>
      </c>
      <c r="K161" s="4" t="str" cm="1">
        <f t="array" ref="K161">IF(SUMPRODUCT((A161&gt;=SchoolHols[Start])*(A161&lt;=SchoolHols[End]))&gt;0,"Y","N")</f>
        <v>N</v>
      </c>
    </row>
    <row r="162" spans="1:11">
      <c r="A162" s="6">
        <f t="shared" si="17"/>
        <v>43626</v>
      </c>
      <c r="B162" s="4" t="str">
        <f t="shared" si="12"/>
        <v>10</v>
      </c>
      <c r="C162" s="4" t="str">
        <f t="shared" si="13"/>
        <v>06</v>
      </c>
      <c r="D162" s="4" t="str">
        <f t="shared" si="14"/>
        <v>2019</v>
      </c>
      <c r="E162" s="3" t="str">
        <f t="shared" si="15"/>
        <v>Monday</v>
      </c>
      <c r="F162" s="4" t="str">
        <f t="shared" si="16"/>
        <v>N</v>
      </c>
      <c r="G162" s="4" t="str">
        <f>IF(COUNTIF(PublicHols[Date], A162)&gt;0, "Y", "N")</f>
        <v>N</v>
      </c>
      <c r="H162" s="3" t="str">
        <f>IFERROR(_xlfn.XLOOKUP(A162, PublicHols[Date], PublicHols[PH_Name]),"")</f>
        <v/>
      </c>
      <c r="I162" s="4" t="str">
        <f>IF(COUNTIF(EventsAll[Date], A162)&gt;0, "Y", "N")</f>
        <v>N</v>
      </c>
      <c r="J162" s="11" t="str">
        <f>IFERROR(_xlfn.XLOOKUP(A162, EventsAll[Date], EventsAll[Event]),"")</f>
        <v/>
      </c>
      <c r="K162" s="4" t="str" cm="1">
        <f t="array" ref="K162">IF(SUMPRODUCT((A162&gt;=SchoolHols[Start])*(A162&lt;=SchoolHols[End]))&gt;0,"Y","N")</f>
        <v>N</v>
      </c>
    </row>
    <row r="163" spans="1:11">
      <c r="A163" s="6">
        <f t="shared" si="17"/>
        <v>43627</v>
      </c>
      <c r="B163" s="4" t="str">
        <f t="shared" si="12"/>
        <v>11</v>
      </c>
      <c r="C163" s="4" t="str">
        <f t="shared" si="13"/>
        <v>06</v>
      </c>
      <c r="D163" s="4" t="str">
        <f t="shared" si="14"/>
        <v>2019</v>
      </c>
      <c r="E163" s="3" t="str">
        <f t="shared" si="15"/>
        <v>Tuesday</v>
      </c>
      <c r="F163" s="4" t="str">
        <f t="shared" si="16"/>
        <v>N</v>
      </c>
      <c r="G163" s="4" t="str">
        <f>IF(COUNTIF(PublicHols[Date], A163)&gt;0, "Y", "N")</f>
        <v>N</v>
      </c>
      <c r="H163" s="3" t="str">
        <f>IFERROR(_xlfn.XLOOKUP(A163, PublicHols[Date], PublicHols[PH_Name]),"")</f>
        <v/>
      </c>
      <c r="I163" s="4" t="str">
        <f>IF(COUNTIF(EventsAll[Date], A163)&gt;0, "Y", "N")</f>
        <v>N</v>
      </c>
      <c r="J163" s="11" t="str">
        <f>IFERROR(_xlfn.XLOOKUP(A163, EventsAll[Date], EventsAll[Event]),"")</f>
        <v/>
      </c>
      <c r="K163" s="4" t="str" cm="1">
        <f t="array" ref="K163">IF(SUMPRODUCT((A163&gt;=SchoolHols[Start])*(A163&lt;=SchoolHols[End]))&gt;0,"Y","N")</f>
        <v>N</v>
      </c>
    </row>
    <row r="164" spans="1:11">
      <c r="A164" s="6">
        <f t="shared" si="17"/>
        <v>43628</v>
      </c>
      <c r="B164" s="4" t="str">
        <f t="shared" si="12"/>
        <v>12</v>
      </c>
      <c r="C164" s="4" t="str">
        <f t="shared" si="13"/>
        <v>06</v>
      </c>
      <c r="D164" s="4" t="str">
        <f t="shared" si="14"/>
        <v>2019</v>
      </c>
      <c r="E164" s="3" t="str">
        <f t="shared" si="15"/>
        <v>Wednesday</v>
      </c>
      <c r="F164" s="4" t="str">
        <f t="shared" si="16"/>
        <v>N</v>
      </c>
      <c r="G164" s="4" t="str">
        <f>IF(COUNTIF(PublicHols[Date], A164)&gt;0, "Y", "N")</f>
        <v>N</v>
      </c>
      <c r="H164" s="3" t="str">
        <f>IFERROR(_xlfn.XLOOKUP(A164, PublicHols[Date], PublicHols[PH_Name]),"")</f>
        <v/>
      </c>
      <c r="I164" s="4" t="str">
        <f>IF(COUNTIF(EventsAll[Date], A164)&gt;0, "Y", "N")</f>
        <v>N</v>
      </c>
      <c r="J164" s="11" t="str">
        <f>IFERROR(_xlfn.XLOOKUP(A164, EventsAll[Date], EventsAll[Event]),"")</f>
        <v/>
      </c>
      <c r="K164" s="4" t="str" cm="1">
        <f t="array" ref="K164">IF(SUMPRODUCT((A164&gt;=SchoolHols[Start])*(A164&lt;=SchoolHols[End]))&gt;0,"Y","N")</f>
        <v>N</v>
      </c>
    </row>
    <row r="165" spans="1:11">
      <c r="A165" s="6">
        <f t="shared" si="17"/>
        <v>43629</v>
      </c>
      <c r="B165" s="4" t="str">
        <f t="shared" si="12"/>
        <v>13</v>
      </c>
      <c r="C165" s="4" t="str">
        <f t="shared" si="13"/>
        <v>06</v>
      </c>
      <c r="D165" s="4" t="str">
        <f t="shared" si="14"/>
        <v>2019</v>
      </c>
      <c r="E165" s="3" t="str">
        <f t="shared" si="15"/>
        <v>Thursday</v>
      </c>
      <c r="F165" s="4" t="str">
        <f t="shared" si="16"/>
        <v>N</v>
      </c>
      <c r="G165" s="4" t="str">
        <f>IF(COUNTIF(PublicHols[Date], A165)&gt;0, "Y", "N")</f>
        <v>N</v>
      </c>
      <c r="H165" s="3" t="str">
        <f>IFERROR(_xlfn.XLOOKUP(A165, PublicHols[Date], PublicHols[PH_Name]),"")</f>
        <v/>
      </c>
      <c r="I165" s="4" t="str">
        <f>IF(COUNTIF(EventsAll[Date], A165)&gt;0, "Y", "N")</f>
        <v>N</v>
      </c>
      <c r="J165" s="11" t="str">
        <f>IFERROR(_xlfn.XLOOKUP(A165, EventsAll[Date], EventsAll[Event]),"")</f>
        <v/>
      </c>
      <c r="K165" s="4" t="str" cm="1">
        <f t="array" ref="K165">IF(SUMPRODUCT((A165&gt;=SchoolHols[Start])*(A165&lt;=SchoolHols[End]))&gt;0,"Y","N")</f>
        <v>N</v>
      </c>
    </row>
    <row r="166" spans="1:11">
      <c r="A166" s="6">
        <f t="shared" si="17"/>
        <v>43630</v>
      </c>
      <c r="B166" s="4" t="str">
        <f t="shared" si="12"/>
        <v>14</v>
      </c>
      <c r="C166" s="4" t="str">
        <f t="shared" si="13"/>
        <v>06</v>
      </c>
      <c r="D166" s="4" t="str">
        <f t="shared" si="14"/>
        <v>2019</v>
      </c>
      <c r="E166" s="3" t="str">
        <f t="shared" si="15"/>
        <v>Friday</v>
      </c>
      <c r="F166" s="4" t="str">
        <f t="shared" si="16"/>
        <v>N</v>
      </c>
      <c r="G166" s="4" t="str">
        <f>IF(COUNTIF(PublicHols[Date], A166)&gt;0, "Y", "N")</f>
        <v>N</v>
      </c>
      <c r="H166" s="3" t="str">
        <f>IFERROR(_xlfn.XLOOKUP(A166, PublicHols[Date], PublicHols[PH_Name]),"")</f>
        <v/>
      </c>
      <c r="I166" s="4" t="str">
        <f>IF(COUNTIF(EventsAll[Date], A166)&gt;0, "Y", "N")</f>
        <v>N</v>
      </c>
      <c r="J166" s="11" t="str">
        <f>IFERROR(_xlfn.XLOOKUP(A166, EventsAll[Date], EventsAll[Event]),"")</f>
        <v/>
      </c>
      <c r="K166" s="4" t="str" cm="1">
        <f t="array" ref="K166">IF(SUMPRODUCT((A166&gt;=SchoolHols[Start])*(A166&lt;=SchoolHols[End]))&gt;0,"Y","N")</f>
        <v>Y</v>
      </c>
    </row>
    <row r="167" spans="1:11">
      <c r="A167" s="6">
        <f t="shared" si="17"/>
        <v>43631</v>
      </c>
      <c r="B167" s="4" t="str">
        <f t="shared" si="12"/>
        <v>15</v>
      </c>
      <c r="C167" s="4" t="str">
        <f t="shared" si="13"/>
        <v>06</v>
      </c>
      <c r="D167" s="4" t="str">
        <f t="shared" si="14"/>
        <v>2019</v>
      </c>
      <c r="E167" s="3" t="str">
        <f t="shared" si="15"/>
        <v>Saturday</v>
      </c>
      <c r="F167" s="4" t="str">
        <f t="shared" si="16"/>
        <v>N</v>
      </c>
      <c r="G167" s="4" t="str">
        <f>IF(COUNTIF(PublicHols[Date], A167)&gt;0, "Y", "N")</f>
        <v>N</v>
      </c>
      <c r="H167" s="3" t="str">
        <f>IFERROR(_xlfn.XLOOKUP(A167, PublicHols[Date], PublicHols[PH_Name]),"")</f>
        <v/>
      </c>
      <c r="I167" s="4" t="str">
        <f>IF(COUNTIF(EventsAll[Date], A167)&gt;0, "Y", "N")</f>
        <v>N</v>
      </c>
      <c r="J167" s="11" t="str">
        <f>IFERROR(_xlfn.XLOOKUP(A167, EventsAll[Date], EventsAll[Event]),"")</f>
        <v/>
      </c>
      <c r="K167" s="4" t="str" cm="1">
        <f t="array" ref="K167">IF(SUMPRODUCT((A167&gt;=SchoolHols[Start])*(A167&lt;=SchoolHols[End]))&gt;0,"Y","N")</f>
        <v>Y</v>
      </c>
    </row>
    <row r="168" spans="1:11">
      <c r="A168" s="6">
        <f t="shared" si="17"/>
        <v>43632</v>
      </c>
      <c r="B168" s="4" t="str">
        <f t="shared" si="12"/>
        <v>16</v>
      </c>
      <c r="C168" s="4" t="str">
        <f t="shared" si="13"/>
        <v>06</v>
      </c>
      <c r="D168" s="4" t="str">
        <f t="shared" si="14"/>
        <v>2019</v>
      </c>
      <c r="E168" s="3" t="str">
        <f t="shared" si="15"/>
        <v>Sunday</v>
      </c>
      <c r="F168" s="4" t="str">
        <f t="shared" si="16"/>
        <v>Y</v>
      </c>
      <c r="G168" s="4" t="str">
        <f>IF(COUNTIF(PublicHols[Date], A168)&gt;0, "Y", "N")</f>
        <v>Y</v>
      </c>
      <c r="H168" s="3" t="str">
        <f>IFERROR(_xlfn.XLOOKUP(A168, PublicHols[Date], PublicHols[PH_Name]),"")</f>
        <v>Youth Day</v>
      </c>
      <c r="I168" s="4" t="str">
        <f>IF(COUNTIF(EventsAll[Date], A168)&gt;0, "Y", "N")</f>
        <v>Y</v>
      </c>
      <c r="J168" s="11" t="str">
        <f>IFERROR(_xlfn.XLOOKUP(A168, EventsAll[Date], EventsAll[Event]),"")</f>
        <v xml:space="preserve"> Father's Day</v>
      </c>
      <c r="K168" s="4" t="str" cm="1">
        <f t="array" ref="K168">IF(SUMPRODUCT((A168&gt;=SchoolHols[Start])*(A168&lt;=SchoolHols[End]))&gt;0,"Y","N")</f>
        <v>Y</v>
      </c>
    </row>
    <row r="169" spans="1:11">
      <c r="A169" s="6">
        <f t="shared" si="17"/>
        <v>43633</v>
      </c>
      <c r="B169" s="4" t="str">
        <f t="shared" si="12"/>
        <v>17</v>
      </c>
      <c r="C169" s="4" t="str">
        <f t="shared" si="13"/>
        <v>06</v>
      </c>
      <c r="D169" s="4" t="str">
        <f t="shared" si="14"/>
        <v>2019</v>
      </c>
      <c r="E169" s="3" t="str">
        <f t="shared" si="15"/>
        <v>Monday</v>
      </c>
      <c r="F169" s="4" t="str">
        <f t="shared" si="16"/>
        <v>N</v>
      </c>
      <c r="G169" s="4" t="str">
        <f>IF(COUNTIF(PublicHols[Date], A169)&gt;0, "Y", "N")</f>
        <v>Y</v>
      </c>
      <c r="H169" s="3" t="str">
        <f>IFERROR(_xlfn.XLOOKUP(A169, PublicHols[Date], PublicHols[PH_Name]),"")</f>
        <v>Public Holiday (Observed)</v>
      </c>
      <c r="I169" s="4" t="str">
        <f>IF(COUNTIF(EventsAll[Date], A169)&gt;0, "Y", "N")</f>
        <v>N</v>
      </c>
      <c r="J169" s="11" t="str">
        <f>IFERROR(_xlfn.XLOOKUP(A169, EventsAll[Date], EventsAll[Event]),"")</f>
        <v/>
      </c>
      <c r="K169" s="4" t="str" cm="1">
        <f t="array" ref="K169">IF(SUMPRODUCT((A169&gt;=SchoolHols[Start])*(A169&lt;=SchoolHols[End]))&gt;0,"Y","N")</f>
        <v>Y</v>
      </c>
    </row>
    <row r="170" spans="1:11">
      <c r="A170" s="6">
        <f t="shared" si="17"/>
        <v>43634</v>
      </c>
      <c r="B170" s="4" t="str">
        <f t="shared" si="12"/>
        <v>18</v>
      </c>
      <c r="C170" s="4" t="str">
        <f t="shared" si="13"/>
        <v>06</v>
      </c>
      <c r="D170" s="4" t="str">
        <f t="shared" si="14"/>
        <v>2019</v>
      </c>
      <c r="E170" s="3" t="str">
        <f t="shared" si="15"/>
        <v>Tuesday</v>
      </c>
      <c r="F170" s="4" t="str">
        <f t="shared" si="16"/>
        <v>N</v>
      </c>
      <c r="G170" s="4" t="str">
        <f>IF(COUNTIF(PublicHols[Date], A170)&gt;0, "Y", "N")</f>
        <v>N</v>
      </c>
      <c r="H170" s="3" t="str">
        <f>IFERROR(_xlfn.XLOOKUP(A170, PublicHols[Date], PublicHols[PH_Name]),"")</f>
        <v/>
      </c>
      <c r="I170" s="4" t="str">
        <f>IF(COUNTIF(EventsAll[Date], A170)&gt;0, "Y", "N")</f>
        <v>N</v>
      </c>
      <c r="J170" s="11" t="str">
        <f>IFERROR(_xlfn.XLOOKUP(A170, EventsAll[Date], EventsAll[Event]),"")</f>
        <v/>
      </c>
      <c r="K170" s="4" t="str" cm="1">
        <f t="array" ref="K170">IF(SUMPRODUCT((A170&gt;=SchoolHols[Start])*(A170&lt;=SchoolHols[End]))&gt;0,"Y","N")</f>
        <v>Y</v>
      </c>
    </row>
    <row r="171" spans="1:11">
      <c r="A171" s="6">
        <f t="shared" si="17"/>
        <v>43635</v>
      </c>
      <c r="B171" s="4" t="str">
        <f t="shared" si="12"/>
        <v>19</v>
      </c>
      <c r="C171" s="4" t="str">
        <f t="shared" si="13"/>
        <v>06</v>
      </c>
      <c r="D171" s="4" t="str">
        <f t="shared" si="14"/>
        <v>2019</v>
      </c>
      <c r="E171" s="3" t="str">
        <f t="shared" si="15"/>
        <v>Wednesday</v>
      </c>
      <c r="F171" s="4" t="str">
        <f t="shared" si="16"/>
        <v>N</v>
      </c>
      <c r="G171" s="4" t="str">
        <f>IF(COUNTIF(PublicHols[Date], A171)&gt;0, "Y", "N")</f>
        <v>N</v>
      </c>
      <c r="H171" s="3" t="str">
        <f>IFERROR(_xlfn.XLOOKUP(A171, PublicHols[Date], PublicHols[PH_Name]),"")</f>
        <v/>
      </c>
      <c r="I171" s="4" t="str">
        <f>IF(COUNTIF(EventsAll[Date], A171)&gt;0, "Y", "N")</f>
        <v>N</v>
      </c>
      <c r="J171" s="11" t="str">
        <f>IFERROR(_xlfn.XLOOKUP(A171, EventsAll[Date], EventsAll[Event]),"")</f>
        <v/>
      </c>
      <c r="K171" s="4" t="str" cm="1">
        <f t="array" ref="K171">IF(SUMPRODUCT((A171&gt;=SchoolHols[Start])*(A171&lt;=SchoolHols[End]))&gt;0,"Y","N")</f>
        <v>Y</v>
      </c>
    </row>
    <row r="172" spans="1:11">
      <c r="A172" s="6">
        <f t="shared" si="17"/>
        <v>43636</v>
      </c>
      <c r="B172" s="4" t="str">
        <f t="shared" si="12"/>
        <v>20</v>
      </c>
      <c r="C172" s="4" t="str">
        <f t="shared" si="13"/>
        <v>06</v>
      </c>
      <c r="D172" s="4" t="str">
        <f t="shared" si="14"/>
        <v>2019</v>
      </c>
      <c r="E172" s="3" t="str">
        <f t="shared" si="15"/>
        <v>Thursday</v>
      </c>
      <c r="F172" s="4" t="str">
        <f t="shared" si="16"/>
        <v>N</v>
      </c>
      <c r="G172" s="4" t="str">
        <f>IF(COUNTIF(PublicHols[Date], A172)&gt;0, "Y", "N")</f>
        <v>N</v>
      </c>
      <c r="H172" s="3" t="str">
        <f>IFERROR(_xlfn.XLOOKUP(A172, PublicHols[Date], PublicHols[PH_Name]),"")</f>
        <v/>
      </c>
      <c r="I172" s="4" t="str">
        <f>IF(COUNTIF(EventsAll[Date], A172)&gt;0, "Y", "N")</f>
        <v>N</v>
      </c>
      <c r="J172" s="11" t="str">
        <f>IFERROR(_xlfn.XLOOKUP(A172, EventsAll[Date], EventsAll[Event]),"")</f>
        <v/>
      </c>
      <c r="K172" s="4" t="str" cm="1">
        <f t="array" ref="K172">IF(SUMPRODUCT((A172&gt;=SchoolHols[Start])*(A172&lt;=SchoolHols[End]))&gt;0,"Y","N")</f>
        <v>Y</v>
      </c>
    </row>
    <row r="173" spans="1:11">
      <c r="A173" s="6">
        <f t="shared" si="17"/>
        <v>43637</v>
      </c>
      <c r="B173" s="4" t="str">
        <f t="shared" si="12"/>
        <v>21</v>
      </c>
      <c r="C173" s="4" t="str">
        <f t="shared" si="13"/>
        <v>06</v>
      </c>
      <c r="D173" s="4" t="str">
        <f t="shared" si="14"/>
        <v>2019</v>
      </c>
      <c r="E173" s="3" t="str">
        <f t="shared" si="15"/>
        <v>Friday</v>
      </c>
      <c r="F173" s="4" t="str">
        <f t="shared" si="16"/>
        <v>N</v>
      </c>
      <c r="G173" s="4" t="str">
        <f>IF(COUNTIF(PublicHols[Date], A173)&gt;0, "Y", "N")</f>
        <v>N</v>
      </c>
      <c r="H173" s="3" t="str">
        <f>IFERROR(_xlfn.XLOOKUP(A173, PublicHols[Date], PublicHols[PH_Name]),"")</f>
        <v/>
      </c>
      <c r="I173" s="4" t="str">
        <f>IF(COUNTIF(EventsAll[Date], A173)&gt;0, "Y", "N")</f>
        <v>N</v>
      </c>
      <c r="J173" s="11" t="str">
        <f>IFERROR(_xlfn.XLOOKUP(A173, EventsAll[Date], EventsAll[Event]),"")</f>
        <v/>
      </c>
      <c r="K173" s="4" t="str" cm="1">
        <f t="array" ref="K173">IF(SUMPRODUCT((A173&gt;=SchoolHols[Start])*(A173&lt;=SchoolHols[End]))&gt;0,"Y","N")</f>
        <v>Y</v>
      </c>
    </row>
    <row r="174" spans="1:11">
      <c r="A174" s="6">
        <f t="shared" si="17"/>
        <v>43638</v>
      </c>
      <c r="B174" s="4" t="str">
        <f t="shared" si="12"/>
        <v>22</v>
      </c>
      <c r="C174" s="4" t="str">
        <f t="shared" si="13"/>
        <v>06</v>
      </c>
      <c r="D174" s="4" t="str">
        <f t="shared" si="14"/>
        <v>2019</v>
      </c>
      <c r="E174" s="3" t="str">
        <f t="shared" si="15"/>
        <v>Saturday</v>
      </c>
      <c r="F174" s="4" t="str">
        <f t="shared" si="16"/>
        <v>N</v>
      </c>
      <c r="G174" s="4" t="str">
        <f>IF(COUNTIF(PublicHols[Date], A174)&gt;0, "Y", "N")</f>
        <v>N</v>
      </c>
      <c r="H174" s="3" t="str">
        <f>IFERROR(_xlfn.XLOOKUP(A174, PublicHols[Date], PublicHols[PH_Name]),"")</f>
        <v/>
      </c>
      <c r="I174" s="4" t="str">
        <f>IF(COUNTIF(EventsAll[Date], A174)&gt;0, "Y", "N")</f>
        <v>N</v>
      </c>
      <c r="J174" s="11" t="str">
        <f>IFERROR(_xlfn.XLOOKUP(A174, EventsAll[Date], EventsAll[Event]),"")</f>
        <v/>
      </c>
      <c r="K174" s="4" t="str" cm="1">
        <f t="array" ref="K174">IF(SUMPRODUCT((A174&gt;=SchoolHols[Start])*(A174&lt;=SchoolHols[End]))&gt;0,"Y","N")</f>
        <v>Y</v>
      </c>
    </row>
    <row r="175" spans="1:11">
      <c r="A175" s="6">
        <f t="shared" si="17"/>
        <v>43639</v>
      </c>
      <c r="B175" s="4" t="str">
        <f t="shared" si="12"/>
        <v>23</v>
      </c>
      <c r="C175" s="4" t="str">
        <f t="shared" si="13"/>
        <v>06</v>
      </c>
      <c r="D175" s="4" t="str">
        <f t="shared" si="14"/>
        <v>2019</v>
      </c>
      <c r="E175" s="3" t="str">
        <f t="shared" si="15"/>
        <v>Sunday</v>
      </c>
      <c r="F175" s="4" t="str">
        <f t="shared" si="16"/>
        <v>Y</v>
      </c>
      <c r="G175" s="4" t="str">
        <f>IF(COUNTIF(PublicHols[Date], A175)&gt;0, "Y", "N")</f>
        <v>N</v>
      </c>
      <c r="H175" s="3" t="str">
        <f>IFERROR(_xlfn.XLOOKUP(A175, PublicHols[Date], PublicHols[PH_Name]),"")</f>
        <v/>
      </c>
      <c r="I175" s="4" t="str">
        <f>IF(COUNTIF(EventsAll[Date], A175)&gt;0, "Y", "N")</f>
        <v>N</v>
      </c>
      <c r="J175" s="11" t="str">
        <f>IFERROR(_xlfn.XLOOKUP(A175, EventsAll[Date], EventsAll[Event]),"")</f>
        <v/>
      </c>
      <c r="K175" s="4" t="str" cm="1">
        <f t="array" ref="K175">IF(SUMPRODUCT((A175&gt;=SchoolHols[Start])*(A175&lt;=SchoolHols[End]))&gt;0,"Y","N")</f>
        <v>Y</v>
      </c>
    </row>
    <row r="176" spans="1:11">
      <c r="A176" s="6">
        <f t="shared" si="17"/>
        <v>43640</v>
      </c>
      <c r="B176" s="4" t="str">
        <f t="shared" si="12"/>
        <v>24</v>
      </c>
      <c r="C176" s="4" t="str">
        <f t="shared" si="13"/>
        <v>06</v>
      </c>
      <c r="D176" s="4" t="str">
        <f t="shared" si="14"/>
        <v>2019</v>
      </c>
      <c r="E176" s="3" t="str">
        <f t="shared" si="15"/>
        <v>Monday</v>
      </c>
      <c r="F176" s="4" t="str">
        <f t="shared" si="16"/>
        <v>N</v>
      </c>
      <c r="G176" s="4" t="str">
        <f>IF(COUNTIF(PublicHols[Date], A176)&gt;0, "Y", "N")</f>
        <v>N</v>
      </c>
      <c r="H176" s="3" t="str">
        <f>IFERROR(_xlfn.XLOOKUP(A176, PublicHols[Date], PublicHols[PH_Name]),"")</f>
        <v/>
      </c>
      <c r="I176" s="4" t="str">
        <f>IF(COUNTIF(EventsAll[Date], A176)&gt;0, "Y", "N")</f>
        <v>N</v>
      </c>
      <c r="J176" s="11" t="str">
        <f>IFERROR(_xlfn.XLOOKUP(A176, EventsAll[Date], EventsAll[Event]),"")</f>
        <v/>
      </c>
      <c r="K176" s="4" t="str" cm="1">
        <f t="array" ref="K176">IF(SUMPRODUCT((A176&gt;=SchoolHols[Start])*(A176&lt;=SchoolHols[End]))&gt;0,"Y","N")</f>
        <v>Y</v>
      </c>
    </row>
    <row r="177" spans="1:11">
      <c r="A177" s="6">
        <f t="shared" si="17"/>
        <v>43641</v>
      </c>
      <c r="B177" s="4" t="str">
        <f t="shared" si="12"/>
        <v>25</v>
      </c>
      <c r="C177" s="4" t="str">
        <f t="shared" si="13"/>
        <v>06</v>
      </c>
      <c r="D177" s="4" t="str">
        <f t="shared" si="14"/>
        <v>2019</v>
      </c>
      <c r="E177" s="3" t="str">
        <f t="shared" si="15"/>
        <v>Tuesday</v>
      </c>
      <c r="F177" s="4" t="str">
        <f t="shared" si="16"/>
        <v>N</v>
      </c>
      <c r="G177" s="4" t="str">
        <f>IF(COUNTIF(PublicHols[Date], A177)&gt;0, "Y", "N")</f>
        <v>N</v>
      </c>
      <c r="H177" s="3" t="str">
        <f>IFERROR(_xlfn.XLOOKUP(A177, PublicHols[Date], PublicHols[PH_Name]),"")</f>
        <v/>
      </c>
      <c r="I177" s="4" t="str">
        <f>IF(COUNTIF(EventsAll[Date], A177)&gt;0, "Y", "N")</f>
        <v>N</v>
      </c>
      <c r="J177" s="11" t="str">
        <f>IFERROR(_xlfn.XLOOKUP(A177, EventsAll[Date], EventsAll[Event]),"")</f>
        <v/>
      </c>
      <c r="K177" s="4" t="str" cm="1">
        <f t="array" ref="K177">IF(SUMPRODUCT((A177&gt;=SchoolHols[Start])*(A177&lt;=SchoolHols[End]))&gt;0,"Y","N")</f>
        <v>Y</v>
      </c>
    </row>
    <row r="178" spans="1:11">
      <c r="A178" s="6">
        <f t="shared" si="17"/>
        <v>43642</v>
      </c>
      <c r="B178" s="4" t="str">
        <f t="shared" si="12"/>
        <v>26</v>
      </c>
      <c r="C178" s="4" t="str">
        <f t="shared" si="13"/>
        <v>06</v>
      </c>
      <c r="D178" s="4" t="str">
        <f t="shared" si="14"/>
        <v>2019</v>
      </c>
      <c r="E178" s="3" t="str">
        <f t="shared" si="15"/>
        <v>Wednesday</v>
      </c>
      <c r="F178" s="4" t="str">
        <f t="shared" si="16"/>
        <v>N</v>
      </c>
      <c r="G178" s="4" t="str">
        <f>IF(COUNTIF(PublicHols[Date], A178)&gt;0, "Y", "N")</f>
        <v>N</v>
      </c>
      <c r="H178" s="3" t="str">
        <f>IFERROR(_xlfn.XLOOKUP(A178, PublicHols[Date], PublicHols[PH_Name]),"")</f>
        <v/>
      </c>
      <c r="I178" s="4" t="str">
        <f>IF(COUNTIF(EventsAll[Date], A178)&gt;0, "Y", "N")</f>
        <v>N</v>
      </c>
      <c r="J178" s="11" t="str">
        <f>IFERROR(_xlfn.XLOOKUP(A178, EventsAll[Date], EventsAll[Event]),"")</f>
        <v/>
      </c>
      <c r="K178" s="4" t="str" cm="1">
        <f t="array" ref="K178">IF(SUMPRODUCT((A178&gt;=SchoolHols[Start])*(A178&lt;=SchoolHols[End]))&gt;0,"Y","N")</f>
        <v>Y</v>
      </c>
    </row>
    <row r="179" spans="1:11">
      <c r="A179" s="6">
        <f t="shared" si="17"/>
        <v>43643</v>
      </c>
      <c r="B179" s="4" t="str">
        <f t="shared" si="12"/>
        <v>27</v>
      </c>
      <c r="C179" s="4" t="str">
        <f t="shared" si="13"/>
        <v>06</v>
      </c>
      <c r="D179" s="4" t="str">
        <f t="shared" si="14"/>
        <v>2019</v>
      </c>
      <c r="E179" s="3" t="str">
        <f t="shared" si="15"/>
        <v>Thursday</v>
      </c>
      <c r="F179" s="4" t="str">
        <f t="shared" si="16"/>
        <v>N</v>
      </c>
      <c r="G179" s="4" t="str">
        <f>IF(COUNTIF(PublicHols[Date], A179)&gt;0, "Y", "N")</f>
        <v>N</v>
      </c>
      <c r="H179" s="3" t="str">
        <f>IFERROR(_xlfn.XLOOKUP(A179, PublicHols[Date], PublicHols[PH_Name]),"")</f>
        <v/>
      </c>
      <c r="I179" s="4" t="str">
        <f>IF(COUNTIF(EventsAll[Date], A179)&gt;0, "Y", "N")</f>
        <v>N</v>
      </c>
      <c r="J179" s="11" t="str">
        <f>IFERROR(_xlfn.XLOOKUP(A179, EventsAll[Date], EventsAll[Event]),"")</f>
        <v/>
      </c>
      <c r="K179" s="4" t="str" cm="1">
        <f t="array" ref="K179">IF(SUMPRODUCT((A179&gt;=SchoolHols[Start])*(A179&lt;=SchoolHols[End]))&gt;0,"Y","N")</f>
        <v>Y</v>
      </c>
    </row>
    <row r="180" spans="1:11">
      <c r="A180" s="6">
        <f t="shared" si="17"/>
        <v>43644</v>
      </c>
      <c r="B180" s="4" t="str">
        <f t="shared" si="12"/>
        <v>28</v>
      </c>
      <c r="C180" s="4" t="str">
        <f t="shared" si="13"/>
        <v>06</v>
      </c>
      <c r="D180" s="4" t="str">
        <f t="shared" si="14"/>
        <v>2019</v>
      </c>
      <c r="E180" s="3" t="str">
        <f t="shared" si="15"/>
        <v>Friday</v>
      </c>
      <c r="F180" s="4" t="str">
        <f t="shared" si="16"/>
        <v>N</v>
      </c>
      <c r="G180" s="4" t="str">
        <f>IF(COUNTIF(PublicHols[Date], A180)&gt;0, "Y", "N")</f>
        <v>N</v>
      </c>
      <c r="H180" s="3" t="str">
        <f>IFERROR(_xlfn.XLOOKUP(A180, PublicHols[Date], PublicHols[PH_Name]),"")</f>
        <v/>
      </c>
      <c r="I180" s="4" t="str">
        <f>IF(COUNTIF(EventsAll[Date], A180)&gt;0, "Y", "N")</f>
        <v>N</v>
      </c>
      <c r="J180" s="11" t="str">
        <f>IFERROR(_xlfn.XLOOKUP(A180, EventsAll[Date], EventsAll[Event]),"")</f>
        <v/>
      </c>
      <c r="K180" s="4" t="str" cm="1">
        <f t="array" ref="K180">IF(SUMPRODUCT((A180&gt;=SchoolHols[Start])*(A180&lt;=SchoolHols[End]))&gt;0,"Y","N")</f>
        <v>Y</v>
      </c>
    </row>
    <row r="181" spans="1:11">
      <c r="A181" s="6">
        <f t="shared" si="17"/>
        <v>43645</v>
      </c>
      <c r="B181" s="4" t="str">
        <f t="shared" si="12"/>
        <v>29</v>
      </c>
      <c r="C181" s="4" t="str">
        <f t="shared" si="13"/>
        <v>06</v>
      </c>
      <c r="D181" s="4" t="str">
        <f t="shared" si="14"/>
        <v>2019</v>
      </c>
      <c r="E181" s="3" t="str">
        <f t="shared" si="15"/>
        <v>Saturday</v>
      </c>
      <c r="F181" s="4" t="str">
        <f t="shared" si="16"/>
        <v>N</v>
      </c>
      <c r="G181" s="4" t="str">
        <f>IF(COUNTIF(PublicHols[Date], A181)&gt;0, "Y", "N")</f>
        <v>N</v>
      </c>
      <c r="H181" s="3" t="str">
        <f>IFERROR(_xlfn.XLOOKUP(A181, PublicHols[Date], PublicHols[PH_Name]),"")</f>
        <v/>
      </c>
      <c r="I181" s="4" t="str">
        <f>IF(COUNTIF(EventsAll[Date], A181)&gt;0, "Y", "N")</f>
        <v>N</v>
      </c>
      <c r="J181" s="11" t="str">
        <f>IFERROR(_xlfn.XLOOKUP(A181, EventsAll[Date], EventsAll[Event]),"")</f>
        <v/>
      </c>
      <c r="K181" s="4" t="str" cm="1">
        <f t="array" ref="K181">IF(SUMPRODUCT((A181&gt;=SchoolHols[Start])*(A181&lt;=SchoolHols[End]))&gt;0,"Y","N")</f>
        <v>Y</v>
      </c>
    </row>
    <row r="182" spans="1:11">
      <c r="A182" s="6">
        <f t="shared" si="17"/>
        <v>43646</v>
      </c>
      <c r="B182" s="4" t="str">
        <f t="shared" si="12"/>
        <v>30</v>
      </c>
      <c r="C182" s="4" t="str">
        <f t="shared" si="13"/>
        <v>06</v>
      </c>
      <c r="D182" s="4" t="str">
        <f t="shared" si="14"/>
        <v>2019</v>
      </c>
      <c r="E182" s="3" t="str">
        <f t="shared" si="15"/>
        <v>Sunday</v>
      </c>
      <c r="F182" s="4" t="str">
        <f t="shared" si="16"/>
        <v>Y</v>
      </c>
      <c r="G182" s="4" t="str">
        <f>IF(COUNTIF(PublicHols[Date], A182)&gt;0, "Y", "N")</f>
        <v>N</v>
      </c>
      <c r="H182" s="3" t="str">
        <f>IFERROR(_xlfn.XLOOKUP(A182, PublicHols[Date], PublicHols[PH_Name]),"")</f>
        <v/>
      </c>
      <c r="I182" s="4" t="str">
        <f>IF(COUNTIF(EventsAll[Date], A182)&gt;0, "Y", "N")</f>
        <v>N</v>
      </c>
      <c r="J182" s="11" t="str">
        <f>IFERROR(_xlfn.XLOOKUP(A182, EventsAll[Date], EventsAll[Event]),"")</f>
        <v/>
      </c>
      <c r="K182" s="4" t="str" cm="1">
        <f t="array" ref="K182">IF(SUMPRODUCT((A182&gt;=SchoolHols[Start])*(A182&lt;=SchoolHols[End]))&gt;0,"Y","N")</f>
        <v>Y</v>
      </c>
    </row>
    <row r="183" spans="1:11">
      <c r="A183" s="6">
        <f t="shared" si="17"/>
        <v>43647</v>
      </c>
      <c r="B183" s="4" t="str">
        <f t="shared" si="12"/>
        <v>01</v>
      </c>
      <c r="C183" s="4" t="str">
        <f t="shared" si="13"/>
        <v>07</v>
      </c>
      <c r="D183" s="4" t="str">
        <f t="shared" si="14"/>
        <v>2019</v>
      </c>
      <c r="E183" s="3" t="str">
        <f t="shared" si="15"/>
        <v>Monday</v>
      </c>
      <c r="F183" s="4" t="str">
        <f t="shared" si="16"/>
        <v>N</v>
      </c>
      <c r="G183" s="4" t="str">
        <f>IF(COUNTIF(PublicHols[Date], A183)&gt;0, "Y", "N")</f>
        <v>N</v>
      </c>
      <c r="H183" s="3" t="str">
        <f>IFERROR(_xlfn.XLOOKUP(A183, PublicHols[Date], PublicHols[PH_Name]),"")</f>
        <v/>
      </c>
      <c r="I183" s="4" t="str">
        <f>IF(COUNTIF(EventsAll[Date], A183)&gt;0, "Y", "N")</f>
        <v>N</v>
      </c>
      <c r="J183" s="11" t="str">
        <f>IFERROR(_xlfn.XLOOKUP(A183, EventsAll[Date], EventsAll[Event]),"")</f>
        <v/>
      </c>
      <c r="K183" s="4" t="str" cm="1">
        <f t="array" ref="K183">IF(SUMPRODUCT((A183&gt;=SchoolHols[Start])*(A183&lt;=SchoolHols[End]))&gt;0,"Y","N")</f>
        <v>Y</v>
      </c>
    </row>
    <row r="184" spans="1:11">
      <c r="A184" s="6">
        <f t="shared" si="17"/>
        <v>43648</v>
      </c>
      <c r="B184" s="4" t="str">
        <f t="shared" si="12"/>
        <v>02</v>
      </c>
      <c r="C184" s="4" t="str">
        <f t="shared" si="13"/>
        <v>07</v>
      </c>
      <c r="D184" s="4" t="str">
        <f t="shared" si="14"/>
        <v>2019</v>
      </c>
      <c r="E184" s="3" t="str">
        <f t="shared" si="15"/>
        <v>Tuesday</v>
      </c>
      <c r="F184" s="4" t="str">
        <f t="shared" si="16"/>
        <v>N</v>
      </c>
      <c r="G184" s="4" t="str">
        <f>IF(COUNTIF(PublicHols[Date], A184)&gt;0, "Y", "N")</f>
        <v>N</v>
      </c>
      <c r="H184" s="3" t="str">
        <f>IFERROR(_xlfn.XLOOKUP(A184, PublicHols[Date], PublicHols[PH_Name]),"")</f>
        <v/>
      </c>
      <c r="I184" s="4" t="str">
        <f>IF(COUNTIF(EventsAll[Date], A184)&gt;0, "Y", "N")</f>
        <v>N</v>
      </c>
      <c r="J184" s="11" t="str">
        <f>IFERROR(_xlfn.XLOOKUP(A184, EventsAll[Date], EventsAll[Event]),"")</f>
        <v/>
      </c>
      <c r="K184" s="4" t="str" cm="1">
        <f t="array" ref="K184">IF(SUMPRODUCT((A184&gt;=SchoolHols[Start])*(A184&lt;=SchoolHols[End]))&gt;0,"Y","N")</f>
        <v>Y</v>
      </c>
    </row>
    <row r="185" spans="1:11">
      <c r="A185" s="6">
        <f t="shared" si="17"/>
        <v>43649</v>
      </c>
      <c r="B185" s="4" t="str">
        <f t="shared" si="12"/>
        <v>03</v>
      </c>
      <c r="C185" s="4" t="str">
        <f t="shared" si="13"/>
        <v>07</v>
      </c>
      <c r="D185" s="4" t="str">
        <f t="shared" si="14"/>
        <v>2019</v>
      </c>
      <c r="E185" s="3" t="str">
        <f t="shared" si="15"/>
        <v>Wednesday</v>
      </c>
      <c r="F185" s="4" t="str">
        <f t="shared" si="16"/>
        <v>N</v>
      </c>
      <c r="G185" s="4" t="str">
        <f>IF(COUNTIF(PublicHols[Date], A185)&gt;0, "Y", "N")</f>
        <v>N</v>
      </c>
      <c r="H185" s="3" t="str">
        <f>IFERROR(_xlfn.XLOOKUP(A185, PublicHols[Date], PublicHols[PH_Name]),"")</f>
        <v/>
      </c>
      <c r="I185" s="4" t="str">
        <f>IF(COUNTIF(EventsAll[Date], A185)&gt;0, "Y", "N")</f>
        <v>N</v>
      </c>
      <c r="J185" s="11" t="str">
        <f>IFERROR(_xlfn.XLOOKUP(A185, EventsAll[Date], EventsAll[Event]),"")</f>
        <v/>
      </c>
      <c r="K185" s="4" t="str" cm="1">
        <f t="array" ref="K185">IF(SUMPRODUCT((A185&gt;=SchoolHols[Start])*(A185&lt;=SchoolHols[End]))&gt;0,"Y","N")</f>
        <v>Y</v>
      </c>
    </row>
    <row r="186" spans="1:11">
      <c r="A186" s="6">
        <f t="shared" si="17"/>
        <v>43650</v>
      </c>
      <c r="B186" s="4" t="str">
        <f t="shared" si="12"/>
        <v>04</v>
      </c>
      <c r="C186" s="4" t="str">
        <f t="shared" si="13"/>
        <v>07</v>
      </c>
      <c r="D186" s="4" t="str">
        <f t="shared" si="14"/>
        <v>2019</v>
      </c>
      <c r="E186" s="3" t="str">
        <f t="shared" si="15"/>
        <v>Thursday</v>
      </c>
      <c r="F186" s="4" t="str">
        <f t="shared" si="16"/>
        <v>N</v>
      </c>
      <c r="G186" s="4" t="str">
        <f>IF(COUNTIF(PublicHols[Date], A186)&gt;0, "Y", "N")</f>
        <v>N</v>
      </c>
      <c r="H186" s="3" t="str">
        <f>IFERROR(_xlfn.XLOOKUP(A186, PublicHols[Date], PublicHols[PH_Name]),"")</f>
        <v/>
      </c>
      <c r="I186" s="4" t="str">
        <f>IF(COUNTIF(EventsAll[Date], A186)&gt;0, "Y", "N")</f>
        <v>N</v>
      </c>
      <c r="J186" s="11" t="str">
        <f>IFERROR(_xlfn.XLOOKUP(A186, EventsAll[Date], EventsAll[Event]),"")</f>
        <v/>
      </c>
      <c r="K186" s="4" t="str" cm="1">
        <f t="array" ref="K186">IF(SUMPRODUCT((A186&gt;=SchoolHols[Start])*(A186&lt;=SchoolHols[End]))&gt;0,"Y","N")</f>
        <v>Y</v>
      </c>
    </row>
    <row r="187" spans="1:11">
      <c r="A187" s="6">
        <f t="shared" si="17"/>
        <v>43651</v>
      </c>
      <c r="B187" s="4" t="str">
        <f t="shared" si="12"/>
        <v>05</v>
      </c>
      <c r="C187" s="4" t="str">
        <f t="shared" si="13"/>
        <v>07</v>
      </c>
      <c r="D187" s="4" t="str">
        <f t="shared" si="14"/>
        <v>2019</v>
      </c>
      <c r="E187" s="3" t="str">
        <f t="shared" si="15"/>
        <v>Friday</v>
      </c>
      <c r="F187" s="4" t="str">
        <f t="shared" si="16"/>
        <v>N</v>
      </c>
      <c r="G187" s="4" t="str">
        <f>IF(COUNTIF(PublicHols[Date], A187)&gt;0, "Y", "N")</f>
        <v>N</v>
      </c>
      <c r="H187" s="3" t="str">
        <f>IFERROR(_xlfn.XLOOKUP(A187, PublicHols[Date], PublicHols[PH_Name]),"")</f>
        <v/>
      </c>
      <c r="I187" s="4" t="str">
        <f>IF(COUNTIF(EventsAll[Date], A187)&gt;0, "Y", "N")</f>
        <v>N</v>
      </c>
      <c r="J187" s="11" t="str">
        <f>IFERROR(_xlfn.XLOOKUP(A187, EventsAll[Date], EventsAll[Event]),"")</f>
        <v/>
      </c>
      <c r="K187" s="4" t="str" cm="1">
        <f t="array" ref="K187">IF(SUMPRODUCT((A187&gt;=SchoolHols[Start])*(A187&lt;=SchoolHols[End]))&gt;0,"Y","N")</f>
        <v>Y</v>
      </c>
    </row>
    <row r="188" spans="1:11">
      <c r="A188" s="6">
        <f t="shared" si="17"/>
        <v>43652</v>
      </c>
      <c r="B188" s="4" t="str">
        <f t="shared" si="12"/>
        <v>06</v>
      </c>
      <c r="C188" s="4" t="str">
        <f t="shared" si="13"/>
        <v>07</v>
      </c>
      <c r="D188" s="4" t="str">
        <f t="shared" si="14"/>
        <v>2019</v>
      </c>
      <c r="E188" s="3" t="str">
        <f t="shared" si="15"/>
        <v>Saturday</v>
      </c>
      <c r="F188" s="4" t="str">
        <f t="shared" si="16"/>
        <v>N</v>
      </c>
      <c r="G188" s="4" t="str">
        <f>IF(COUNTIF(PublicHols[Date], A188)&gt;0, "Y", "N")</f>
        <v>N</v>
      </c>
      <c r="H188" s="3" t="str">
        <f>IFERROR(_xlfn.XLOOKUP(A188, PublicHols[Date], PublicHols[PH_Name]),"")</f>
        <v/>
      </c>
      <c r="I188" s="4" t="str">
        <f>IF(COUNTIF(EventsAll[Date], A188)&gt;0, "Y", "N")</f>
        <v>N</v>
      </c>
      <c r="J188" s="11" t="str">
        <f>IFERROR(_xlfn.XLOOKUP(A188, EventsAll[Date], EventsAll[Event]),"")</f>
        <v/>
      </c>
      <c r="K188" s="4" t="str" cm="1">
        <f t="array" ref="K188">IF(SUMPRODUCT((A188&gt;=SchoolHols[Start])*(A188&lt;=SchoolHols[End]))&gt;0,"Y","N")</f>
        <v>Y</v>
      </c>
    </row>
    <row r="189" spans="1:11">
      <c r="A189" s="6">
        <f t="shared" si="17"/>
        <v>43653</v>
      </c>
      <c r="B189" s="4" t="str">
        <f t="shared" si="12"/>
        <v>07</v>
      </c>
      <c r="C189" s="4" t="str">
        <f t="shared" si="13"/>
        <v>07</v>
      </c>
      <c r="D189" s="4" t="str">
        <f t="shared" si="14"/>
        <v>2019</v>
      </c>
      <c r="E189" s="3" t="str">
        <f t="shared" si="15"/>
        <v>Sunday</v>
      </c>
      <c r="F189" s="4" t="str">
        <f t="shared" si="16"/>
        <v>Y</v>
      </c>
      <c r="G189" s="4" t="str">
        <f>IF(COUNTIF(PublicHols[Date], A189)&gt;0, "Y", "N")</f>
        <v>N</v>
      </c>
      <c r="H189" s="3" t="str">
        <f>IFERROR(_xlfn.XLOOKUP(A189, PublicHols[Date], PublicHols[PH_Name]),"")</f>
        <v/>
      </c>
      <c r="I189" s="4" t="str">
        <f>IF(COUNTIF(EventsAll[Date], A189)&gt;0, "Y", "N")</f>
        <v>N</v>
      </c>
      <c r="J189" s="11" t="str">
        <f>IFERROR(_xlfn.XLOOKUP(A189, EventsAll[Date], EventsAll[Event]),"")</f>
        <v/>
      </c>
      <c r="K189" s="4" t="str" cm="1">
        <f t="array" ref="K189">IF(SUMPRODUCT((A189&gt;=SchoolHols[Start])*(A189&lt;=SchoolHols[End]))&gt;0,"Y","N")</f>
        <v>Y</v>
      </c>
    </row>
    <row r="190" spans="1:11">
      <c r="A190" s="6">
        <f t="shared" si="17"/>
        <v>43654</v>
      </c>
      <c r="B190" s="4" t="str">
        <f t="shared" si="12"/>
        <v>08</v>
      </c>
      <c r="C190" s="4" t="str">
        <f t="shared" si="13"/>
        <v>07</v>
      </c>
      <c r="D190" s="4" t="str">
        <f t="shared" si="14"/>
        <v>2019</v>
      </c>
      <c r="E190" s="3" t="str">
        <f t="shared" si="15"/>
        <v>Monday</v>
      </c>
      <c r="F190" s="4" t="str">
        <f t="shared" si="16"/>
        <v>N</v>
      </c>
      <c r="G190" s="4" t="str">
        <f>IF(COUNTIF(PublicHols[Date], A190)&gt;0, "Y", "N")</f>
        <v>N</v>
      </c>
      <c r="H190" s="3" t="str">
        <f>IFERROR(_xlfn.XLOOKUP(A190, PublicHols[Date], PublicHols[PH_Name]),"")</f>
        <v/>
      </c>
      <c r="I190" s="4" t="str">
        <f>IF(COUNTIF(EventsAll[Date], A190)&gt;0, "Y", "N")</f>
        <v>Y</v>
      </c>
      <c r="J190" s="11" t="str">
        <f>IFERROR(_xlfn.XLOOKUP(A190, EventsAll[Date], EventsAll[Event]),"")</f>
        <v xml:space="preserve"> Back to School (Term 3)</v>
      </c>
      <c r="K190" s="4" t="str" cm="1">
        <f t="array" ref="K190">IF(SUMPRODUCT((A190&gt;=SchoolHols[Start])*(A190&lt;=SchoolHols[End]))&gt;0,"Y","N")</f>
        <v>Y</v>
      </c>
    </row>
    <row r="191" spans="1:11">
      <c r="A191" s="6">
        <f t="shared" si="17"/>
        <v>43655</v>
      </c>
      <c r="B191" s="4" t="str">
        <f t="shared" si="12"/>
        <v>09</v>
      </c>
      <c r="C191" s="4" t="str">
        <f t="shared" si="13"/>
        <v>07</v>
      </c>
      <c r="D191" s="4" t="str">
        <f t="shared" si="14"/>
        <v>2019</v>
      </c>
      <c r="E191" s="3" t="str">
        <f t="shared" si="15"/>
        <v>Tuesday</v>
      </c>
      <c r="F191" s="4" t="str">
        <f t="shared" si="16"/>
        <v>N</v>
      </c>
      <c r="G191" s="4" t="str">
        <f>IF(COUNTIF(PublicHols[Date], A191)&gt;0, "Y", "N")</f>
        <v>N</v>
      </c>
      <c r="H191" s="3" t="str">
        <f>IFERROR(_xlfn.XLOOKUP(A191, PublicHols[Date], PublicHols[PH_Name]),"")</f>
        <v/>
      </c>
      <c r="I191" s="4" t="str">
        <f>IF(COUNTIF(EventsAll[Date], A191)&gt;0, "Y", "N")</f>
        <v>N</v>
      </c>
      <c r="J191" s="11" t="str">
        <f>IFERROR(_xlfn.XLOOKUP(A191, EventsAll[Date], EventsAll[Event]),"")</f>
        <v/>
      </c>
      <c r="K191" s="4" t="str" cm="1">
        <f t="array" ref="K191">IF(SUMPRODUCT((A191&gt;=SchoolHols[Start])*(A191&lt;=SchoolHols[End]))&gt;0,"Y","N")</f>
        <v>N</v>
      </c>
    </row>
    <row r="192" spans="1:11">
      <c r="A192" s="6">
        <f t="shared" si="17"/>
        <v>43656</v>
      </c>
      <c r="B192" s="4" t="str">
        <f t="shared" si="12"/>
        <v>10</v>
      </c>
      <c r="C192" s="4" t="str">
        <f t="shared" si="13"/>
        <v>07</v>
      </c>
      <c r="D192" s="4" t="str">
        <f t="shared" si="14"/>
        <v>2019</v>
      </c>
      <c r="E192" s="3" t="str">
        <f t="shared" si="15"/>
        <v>Wednesday</v>
      </c>
      <c r="F192" s="4" t="str">
        <f t="shared" si="16"/>
        <v>N</v>
      </c>
      <c r="G192" s="4" t="str">
        <f>IF(COUNTIF(PublicHols[Date], A192)&gt;0, "Y", "N")</f>
        <v>N</v>
      </c>
      <c r="H192" s="3" t="str">
        <f>IFERROR(_xlfn.XLOOKUP(A192, PublicHols[Date], PublicHols[PH_Name]),"")</f>
        <v/>
      </c>
      <c r="I192" s="4" t="str">
        <f>IF(COUNTIF(EventsAll[Date], A192)&gt;0, "Y", "N")</f>
        <v>N</v>
      </c>
      <c r="J192" s="11" t="str">
        <f>IFERROR(_xlfn.XLOOKUP(A192, EventsAll[Date], EventsAll[Event]),"")</f>
        <v/>
      </c>
      <c r="K192" s="4" t="str" cm="1">
        <f t="array" ref="K192">IF(SUMPRODUCT((A192&gt;=SchoolHols[Start])*(A192&lt;=SchoolHols[End]))&gt;0,"Y","N")</f>
        <v>N</v>
      </c>
    </row>
    <row r="193" spans="1:11">
      <c r="A193" s="6">
        <f t="shared" si="17"/>
        <v>43657</v>
      </c>
      <c r="B193" s="4" t="str">
        <f t="shared" si="12"/>
        <v>11</v>
      </c>
      <c r="C193" s="4" t="str">
        <f t="shared" si="13"/>
        <v>07</v>
      </c>
      <c r="D193" s="4" t="str">
        <f t="shared" si="14"/>
        <v>2019</v>
      </c>
      <c r="E193" s="3" t="str">
        <f t="shared" si="15"/>
        <v>Thursday</v>
      </c>
      <c r="F193" s="4" t="str">
        <f t="shared" si="16"/>
        <v>N</v>
      </c>
      <c r="G193" s="4" t="str">
        <f>IF(COUNTIF(PublicHols[Date], A193)&gt;0, "Y", "N")</f>
        <v>N</v>
      </c>
      <c r="H193" s="3" t="str">
        <f>IFERROR(_xlfn.XLOOKUP(A193, PublicHols[Date], PublicHols[PH_Name]),"")</f>
        <v/>
      </c>
      <c r="I193" s="4" t="str">
        <f>IF(COUNTIF(EventsAll[Date], A193)&gt;0, "Y", "N")</f>
        <v>N</v>
      </c>
      <c r="J193" s="11" t="str">
        <f>IFERROR(_xlfn.XLOOKUP(A193, EventsAll[Date], EventsAll[Event]),"")</f>
        <v/>
      </c>
      <c r="K193" s="4" t="str" cm="1">
        <f t="array" ref="K193">IF(SUMPRODUCT((A193&gt;=SchoolHols[Start])*(A193&lt;=SchoolHols[End]))&gt;0,"Y","N")</f>
        <v>N</v>
      </c>
    </row>
    <row r="194" spans="1:11">
      <c r="A194" s="6">
        <f t="shared" si="17"/>
        <v>43658</v>
      </c>
      <c r="B194" s="4" t="str">
        <f t="shared" si="12"/>
        <v>12</v>
      </c>
      <c r="C194" s="4" t="str">
        <f t="shared" si="13"/>
        <v>07</v>
      </c>
      <c r="D194" s="4" t="str">
        <f t="shared" si="14"/>
        <v>2019</v>
      </c>
      <c r="E194" s="3" t="str">
        <f t="shared" si="15"/>
        <v>Friday</v>
      </c>
      <c r="F194" s="4" t="str">
        <f t="shared" si="16"/>
        <v>N</v>
      </c>
      <c r="G194" s="4" t="str">
        <f>IF(COUNTIF(PublicHols[Date], A194)&gt;0, "Y", "N")</f>
        <v>N</v>
      </c>
      <c r="H194" s="3" t="str">
        <f>IFERROR(_xlfn.XLOOKUP(A194, PublicHols[Date], PublicHols[PH_Name]),"")</f>
        <v/>
      </c>
      <c r="I194" s="4" t="str">
        <f>IF(COUNTIF(EventsAll[Date], A194)&gt;0, "Y", "N")</f>
        <v>N</v>
      </c>
      <c r="J194" s="11" t="str">
        <f>IFERROR(_xlfn.XLOOKUP(A194, EventsAll[Date], EventsAll[Event]),"")</f>
        <v/>
      </c>
      <c r="K194" s="4" t="str" cm="1">
        <f t="array" ref="K194">IF(SUMPRODUCT((A194&gt;=SchoolHols[Start])*(A194&lt;=SchoolHols[End]))&gt;0,"Y","N")</f>
        <v>N</v>
      </c>
    </row>
    <row r="195" spans="1:11">
      <c r="A195" s="6">
        <f t="shared" si="17"/>
        <v>43659</v>
      </c>
      <c r="B195" s="4" t="str">
        <f t="shared" ref="B195:B258" si="18">TEXT($A195, "dd")</f>
        <v>13</v>
      </c>
      <c r="C195" s="4" t="str">
        <f t="shared" ref="C195:C258" si="19">TEXT($A195, "mm")</f>
        <v>07</v>
      </c>
      <c r="D195" s="4" t="str">
        <f t="shared" ref="D195:D258" si="20">TEXT($A195, "yyyy")</f>
        <v>2019</v>
      </c>
      <c r="E195" s="3" t="str">
        <f t="shared" ref="E195:E258" si="21">TEXT($A195, "dddd")</f>
        <v>Saturday</v>
      </c>
      <c r="F195" s="4" t="str">
        <f t="shared" ref="F195:F258" si="22">IF($E195="Sunday", "Y", "N")</f>
        <v>N</v>
      </c>
      <c r="G195" s="4" t="str">
        <f>IF(COUNTIF(PublicHols[Date], A195)&gt;0, "Y", "N")</f>
        <v>N</v>
      </c>
      <c r="H195" s="3" t="str">
        <f>IFERROR(_xlfn.XLOOKUP(A195, PublicHols[Date], PublicHols[PH_Name]),"")</f>
        <v/>
      </c>
      <c r="I195" s="4" t="str">
        <f>IF(COUNTIF(EventsAll[Date], A195)&gt;0, "Y", "N")</f>
        <v>N</v>
      </c>
      <c r="J195" s="11" t="str">
        <f>IFERROR(_xlfn.XLOOKUP(A195, EventsAll[Date], EventsAll[Event]),"")</f>
        <v/>
      </c>
      <c r="K195" s="4" t="str" cm="1">
        <f t="array" ref="K195">IF(SUMPRODUCT((A195&gt;=SchoolHols[Start])*(A195&lt;=SchoolHols[End]))&gt;0,"Y","N")</f>
        <v>N</v>
      </c>
    </row>
    <row r="196" spans="1:11">
      <c r="A196" s="6">
        <f t="shared" ref="A196:A259" si="23">$A195+1</f>
        <v>43660</v>
      </c>
      <c r="B196" s="4" t="str">
        <f t="shared" si="18"/>
        <v>14</v>
      </c>
      <c r="C196" s="4" t="str">
        <f t="shared" si="19"/>
        <v>07</v>
      </c>
      <c r="D196" s="4" t="str">
        <f t="shared" si="20"/>
        <v>2019</v>
      </c>
      <c r="E196" s="3" t="str">
        <f t="shared" si="21"/>
        <v>Sunday</v>
      </c>
      <c r="F196" s="4" t="str">
        <f t="shared" si="22"/>
        <v>Y</v>
      </c>
      <c r="G196" s="4" t="str">
        <f>IF(COUNTIF(PublicHols[Date], A196)&gt;0, "Y", "N")</f>
        <v>N</v>
      </c>
      <c r="H196" s="3" t="str">
        <f>IFERROR(_xlfn.XLOOKUP(A196, PublicHols[Date], PublicHols[PH_Name]),"")</f>
        <v/>
      </c>
      <c r="I196" s="4" t="str">
        <f>IF(COUNTIF(EventsAll[Date], A196)&gt;0, "Y", "N")</f>
        <v>N</v>
      </c>
      <c r="J196" s="11" t="str">
        <f>IFERROR(_xlfn.XLOOKUP(A196, EventsAll[Date], EventsAll[Event]),"")</f>
        <v/>
      </c>
      <c r="K196" s="4" t="str" cm="1">
        <f t="array" ref="K196">IF(SUMPRODUCT((A196&gt;=SchoolHols[Start])*(A196&lt;=SchoolHols[End]))&gt;0,"Y","N")</f>
        <v>N</v>
      </c>
    </row>
    <row r="197" spans="1:11">
      <c r="A197" s="6">
        <f t="shared" si="23"/>
        <v>43661</v>
      </c>
      <c r="B197" s="4" t="str">
        <f t="shared" si="18"/>
        <v>15</v>
      </c>
      <c r="C197" s="4" t="str">
        <f t="shared" si="19"/>
        <v>07</v>
      </c>
      <c r="D197" s="4" t="str">
        <f t="shared" si="20"/>
        <v>2019</v>
      </c>
      <c r="E197" s="3" t="str">
        <f t="shared" si="21"/>
        <v>Monday</v>
      </c>
      <c r="F197" s="4" t="str">
        <f t="shared" si="22"/>
        <v>N</v>
      </c>
      <c r="G197" s="4" t="str">
        <f>IF(COUNTIF(PublicHols[Date], A197)&gt;0, "Y", "N")</f>
        <v>N</v>
      </c>
      <c r="H197" s="3" t="str">
        <f>IFERROR(_xlfn.XLOOKUP(A197, PublicHols[Date], PublicHols[PH_Name]),"")</f>
        <v/>
      </c>
      <c r="I197" s="4" t="str">
        <f>IF(COUNTIF(EventsAll[Date], A197)&gt;0, "Y", "N")</f>
        <v>N</v>
      </c>
      <c r="J197" s="11" t="str">
        <f>IFERROR(_xlfn.XLOOKUP(A197, EventsAll[Date], EventsAll[Event]),"")</f>
        <v/>
      </c>
      <c r="K197" s="4" t="str" cm="1">
        <f t="array" ref="K197">IF(SUMPRODUCT((A197&gt;=SchoolHols[Start])*(A197&lt;=SchoolHols[End]))&gt;0,"Y","N")</f>
        <v>N</v>
      </c>
    </row>
    <row r="198" spans="1:11">
      <c r="A198" s="6">
        <f t="shared" si="23"/>
        <v>43662</v>
      </c>
      <c r="B198" s="4" t="str">
        <f t="shared" si="18"/>
        <v>16</v>
      </c>
      <c r="C198" s="4" t="str">
        <f t="shared" si="19"/>
        <v>07</v>
      </c>
      <c r="D198" s="4" t="str">
        <f t="shared" si="20"/>
        <v>2019</v>
      </c>
      <c r="E198" s="3" t="str">
        <f t="shared" si="21"/>
        <v>Tuesday</v>
      </c>
      <c r="F198" s="4" t="str">
        <f t="shared" si="22"/>
        <v>N</v>
      </c>
      <c r="G198" s="4" t="str">
        <f>IF(COUNTIF(PublicHols[Date], A198)&gt;0, "Y", "N")</f>
        <v>N</v>
      </c>
      <c r="H198" s="3" t="str">
        <f>IFERROR(_xlfn.XLOOKUP(A198, PublicHols[Date], PublicHols[PH_Name]),"")</f>
        <v/>
      </c>
      <c r="I198" s="4" t="str">
        <f>IF(COUNTIF(EventsAll[Date], A198)&gt;0, "Y", "N")</f>
        <v>N</v>
      </c>
      <c r="J198" s="11" t="str">
        <f>IFERROR(_xlfn.XLOOKUP(A198, EventsAll[Date], EventsAll[Event]),"")</f>
        <v/>
      </c>
      <c r="K198" s="4" t="str" cm="1">
        <f t="array" ref="K198">IF(SUMPRODUCT((A198&gt;=SchoolHols[Start])*(A198&lt;=SchoolHols[End]))&gt;0,"Y","N")</f>
        <v>N</v>
      </c>
    </row>
    <row r="199" spans="1:11">
      <c r="A199" s="6">
        <f t="shared" si="23"/>
        <v>43663</v>
      </c>
      <c r="B199" s="4" t="str">
        <f t="shared" si="18"/>
        <v>17</v>
      </c>
      <c r="C199" s="4" t="str">
        <f t="shared" si="19"/>
        <v>07</v>
      </c>
      <c r="D199" s="4" t="str">
        <f t="shared" si="20"/>
        <v>2019</v>
      </c>
      <c r="E199" s="3" t="str">
        <f t="shared" si="21"/>
        <v>Wednesday</v>
      </c>
      <c r="F199" s="4" t="str">
        <f t="shared" si="22"/>
        <v>N</v>
      </c>
      <c r="G199" s="4" t="str">
        <f>IF(COUNTIF(PublicHols[Date], A199)&gt;0, "Y", "N")</f>
        <v>N</v>
      </c>
      <c r="H199" s="3" t="str">
        <f>IFERROR(_xlfn.XLOOKUP(A199, PublicHols[Date], PublicHols[PH_Name]),"")</f>
        <v/>
      </c>
      <c r="I199" s="4" t="str">
        <f>IF(COUNTIF(EventsAll[Date], A199)&gt;0, "Y", "N")</f>
        <v>N</v>
      </c>
      <c r="J199" s="11" t="str">
        <f>IFERROR(_xlfn.XLOOKUP(A199, EventsAll[Date], EventsAll[Event]),"")</f>
        <v/>
      </c>
      <c r="K199" s="4" t="str" cm="1">
        <f t="array" ref="K199">IF(SUMPRODUCT((A199&gt;=SchoolHols[Start])*(A199&lt;=SchoolHols[End]))&gt;0,"Y","N")</f>
        <v>N</v>
      </c>
    </row>
    <row r="200" spans="1:11">
      <c r="A200" s="6">
        <f t="shared" si="23"/>
        <v>43664</v>
      </c>
      <c r="B200" s="4" t="str">
        <f t="shared" si="18"/>
        <v>18</v>
      </c>
      <c r="C200" s="4" t="str">
        <f t="shared" si="19"/>
        <v>07</v>
      </c>
      <c r="D200" s="4" t="str">
        <f t="shared" si="20"/>
        <v>2019</v>
      </c>
      <c r="E200" s="3" t="str">
        <f t="shared" si="21"/>
        <v>Thursday</v>
      </c>
      <c r="F200" s="4" t="str">
        <f t="shared" si="22"/>
        <v>N</v>
      </c>
      <c r="G200" s="4" t="str">
        <f>IF(COUNTIF(PublicHols[Date], A200)&gt;0, "Y", "N")</f>
        <v>N</v>
      </c>
      <c r="H200" s="3" t="str">
        <f>IFERROR(_xlfn.XLOOKUP(A200, PublicHols[Date], PublicHols[PH_Name]),"")</f>
        <v/>
      </c>
      <c r="I200" s="4" t="str">
        <f>IF(COUNTIF(EventsAll[Date], A200)&gt;0, "Y", "N")</f>
        <v>N</v>
      </c>
      <c r="J200" s="11" t="str">
        <f>IFERROR(_xlfn.XLOOKUP(A200, EventsAll[Date], EventsAll[Event]),"")</f>
        <v/>
      </c>
      <c r="K200" s="4" t="str" cm="1">
        <f t="array" ref="K200">IF(SUMPRODUCT((A200&gt;=SchoolHols[Start])*(A200&lt;=SchoolHols[End]))&gt;0,"Y","N")</f>
        <v>N</v>
      </c>
    </row>
    <row r="201" spans="1:11">
      <c r="A201" s="6">
        <f t="shared" si="23"/>
        <v>43665</v>
      </c>
      <c r="B201" s="4" t="str">
        <f t="shared" si="18"/>
        <v>19</v>
      </c>
      <c r="C201" s="4" t="str">
        <f t="shared" si="19"/>
        <v>07</v>
      </c>
      <c r="D201" s="4" t="str">
        <f t="shared" si="20"/>
        <v>2019</v>
      </c>
      <c r="E201" s="3" t="str">
        <f t="shared" si="21"/>
        <v>Friday</v>
      </c>
      <c r="F201" s="4" t="str">
        <f t="shared" si="22"/>
        <v>N</v>
      </c>
      <c r="G201" s="4" t="str">
        <f>IF(COUNTIF(PublicHols[Date], A201)&gt;0, "Y", "N")</f>
        <v>N</v>
      </c>
      <c r="H201" s="3" t="str">
        <f>IFERROR(_xlfn.XLOOKUP(A201, PublicHols[Date], PublicHols[PH_Name]),"")</f>
        <v/>
      </c>
      <c r="I201" s="4" t="str">
        <f>IF(COUNTIF(EventsAll[Date], A201)&gt;0, "Y", "N")</f>
        <v>N</v>
      </c>
      <c r="J201" s="11" t="str">
        <f>IFERROR(_xlfn.XLOOKUP(A201, EventsAll[Date], EventsAll[Event]),"")</f>
        <v/>
      </c>
      <c r="K201" s="4" t="str" cm="1">
        <f t="array" ref="K201">IF(SUMPRODUCT((A201&gt;=SchoolHols[Start])*(A201&lt;=SchoolHols[End]))&gt;0,"Y","N")</f>
        <v>N</v>
      </c>
    </row>
    <row r="202" spans="1:11">
      <c r="A202" s="6">
        <f t="shared" si="23"/>
        <v>43666</v>
      </c>
      <c r="B202" s="4" t="str">
        <f t="shared" si="18"/>
        <v>20</v>
      </c>
      <c r="C202" s="4" t="str">
        <f t="shared" si="19"/>
        <v>07</v>
      </c>
      <c r="D202" s="4" t="str">
        <f t="shared" si="20"/>
        <v>2019</v>
      </c>
      <c r="E202" s="3" t="str">
        <f t="shared" si="21"/>
        <v>Saturday</v>
      </c>
      <c r="F202" s="4" t="str">
        <f t="shared" si="22"/>
        <v>N</v>
      </c>
      <c r="G202" s="4" t="str">
        <f>IF(COUNTIF(PublicHols[Date], A202)&gt;0, "Y", "N")</f>
        <v>N</v>
      </c>
      <c r="H202" s="3" t="str">
        <f>IFERROR(_xlfn.XLOOKUP(A202, PublicHols[Date], PublicHols[PH_Name]),"")</f>
        <v/>
      </c>
      <c r="I202" s="4" t="str">
        <f>IF(COUNTIF(EventsAll[Date], A202)&gt;0, "Y", "N")</f>
        <v>N</v>
      </c>
      <c r="J202" s="11" t="str">
        <f>IFERROR(_xlfn.XLOOKUP(A202, EventsAll[Date], EventsAll[Event]),"")</f>
        <v/>
      </c>
      <c r="K202" s="4" t="str" cm="1">
        <f t="array" ref="K202">IF(SUMPRODUCT((A202&gt;=SchoolHols[Start])*(A202&lt;=SchoolHols[End]))&gt;0,"Y","N")</f>
        <v>N</v>
      </c>
    </row>
    <row r="203" spans="1:11">
      <c r="A203" s="6">
        <f t="shared" si="23"/>
        <v>43667</v>
      </c>
      <c r="B203" s="4" t="str">
        <f t="shared" si="18"/>
        <v>21</v>
      </c>
      <c r="C203" s="4" t="str">
        <f t="shared" si="19"/>
        <v>07</v>
      </c>
      <c r="D203" s="4" t="str">
        <f t="shared" si="20"/>
        <v>2019</v>
      </c>
      <c r="E203" s="3" t="str">
        <f t="shared" si="21"/>
        <v>Sunday</v>
      </c>
      <c r="F203" s="4" t="str">
        <f t="shared" si="22"/>
        <v>Y</v>
      </c>
      <c r="G203" s="4" t="str">
        <f>IF(COUNTIF(PublicHols[Date], A203)&gt;0, "Y", "N")</f>
        <v>N</v>
      </c>
      <c r="H203" s="3" t="str">
        <f>IFERROR(_xlfn.XLOOKUP(A203, PublicHols[Date], PublicHols[PH_Name]),"")</f>
        <v/>
      </c>
      <c r="I203" s="4" t="str">
        <f>IF(COUNTIF(EventsAll[Date], A203)&gt;0, "Y", "N")</f>
        <v>N</v>
      </c>
      <c r="J203" s="11" t="str">
        <f>IFERROR(_xlfn.XLOOKUP(A203, EventsAll[Date], EventsAll[Event]),"")</f>
        <v/>
      </c>
      <c r="K203" s="4" t="str" cm="1">
        <f t="array" ref="K203">IF(SUMPRODUCT((A203&gt;=SchoolHols[Start])*(A203&lt;=SchoolHols[End]))&gt;0,"Y","N")</f>
        <v>N</v>
      </c>
    </row>
    <row r="204" spans="1:11">
      <c r="A204" s="6">
        <f t="shared" si="23"/>
        <v>43668</v>
      </c>
      <c r="B204" s="4" t="str">
        <f t="shared" si="18"/>
        <v>22</v>
      </c>
      <c r="C204" s="4" t="str">
        <f t="shared" si="19"/>
        <v>07</v>
      </c>
      <c r="D204" s="4" t="str">
        <f t="shared" si="20"/>
        <v>2019</v>
      </c>
      <c r="E204" s="3" t="str">
        <f t="shared" si="21"/>
        <v>Monday</v>
      </c>
      <c r="F204" s="4" t="str">
        <f t="shared" si="22"/>
        <v>N</v>
      </c>
      <c r="G204" s="4" t="str">
        <f>IF(COUNTIF(PublicHols[Date], A204)&gt;0, "Y", "N")</f>
        <v>N</v>
      </c>
      <c r="H204" s="3" t="str">
        <f>IFERROR(_xlfn.XLOOKUP(A204, PublicHols[Date], PublicHols[PH_Name]),"")</f>
        <v/>
      </c>
      <c r="I204" s="4" t="str">
        <f>IF(COUNTIF(EventsAll[Date], A204)&gt;0, "Y", "N")</f>
        <v>N</v>
      </c>
      <c r="J204" s="11" t="str">
        <f>IFERROR(_xlfn.XLOOKUP(A204, EventsAll[Date], EventsAll[Event]),"")</f>
        <v/>
      </c>
      <c r="K204" s="4" t="str" cm="1">
        <f t="array" ref="K204">IF(SUMPRODUCT((A204&gt;=SchoolHols[Start])*(A204&lt;=SchoolHols[End]))&gt;0,"Y","N")</f>
        <v>N</v>
      </c>
    </row>
    <row r="205" spans="1:11">
      <c r="A205" s="6">
        <f t="shared" si="23"/>
        <v>43669</v>
      </c>
      <c r="B205" s="4" t="str">
        <f t="shared" si="18"/>
        <v>23</v>
      </c>
      <c r="C205" s="4" t="str">
        <f t="shared" si="19"/>
        <v>07</v>
      </c>
      <c r="D205" s="4" t="str">
        <f t="shared" si="20"/>
        <v>2019</v>
      </c>
      <c r="E205" s="3" t="str">
        <f t="shared" si="21"/>
        <v>Tuesday</v>
      </c>
      <c r="F205" s="4" t="str">
        <f t="shared" si="22"/>
        <v>N</v>
      </c>
      <c r="G205" s="4" t="str">
        <f>IF(COUNTIF(PublicHols[Date], A205)&gt;0, "Y", "N")</f>
        <v>N</v>
      </c>
      <c r="H205" s="3" t="str">
        <f>IFERROR(_xlfn.XLOOKUP(A205, PublicHols[Date], PublicHols[PH_Name]),"")</f>
        <v/>
      </c>
      <c r="I205" s="4" t="str">
        <f>IF(COUNTIF(EventsAll[Date], A205)&gt;0, "Y", "N")</f>
        <v>N</v>
      </c>
      <c r="J205" s="11" t="str">
        <f>IFERROR(_xlfn.XLOOKUP(A205, EventsAll[Date], EventsAll[Event]),"")</f>
        <v/>
      </c>
      <c r="K205" s="4" t="str" cm="1">
        <f t="array" ref="K205">IF(SUMPRODUCT((A205&gt;=SchoolHols[Start])*(A205&lt;=SchoolHols[End]))&gt;0,"Y","N")</f>
        <v>N</v>
      </c>
    </row>
    <row r="206" spans="1:11">
      <c r="A206" s="6">
        <f t="shared" si="23"/>
        <v>43670</v>
      </c>
      <c r="B206" s="4" t="str">
        <f t="shared" si="18"/>
        <v>24</v>
      </c>
      <c r="C206" s="4" t="str">
        <f t="shared" si="19"/>
        <v>07</v>
      </c>
      <c r="D206" s="4" t="str">
        <f t="shared" si="20"/>
        <v>2019</v>
      </c>
      <c r="E206" s="3" t="str">
        <f t="shared" si="21"/>
        <v>Wednesday</v>
      </c>
      <c r="F206" s="4" t="str">
        <f t="shared" si="22"/>
        <v>N</v>
      </c>
      <c r="G206" s="4" t="str">
        <f>IF(COUNTIF(PublicHols[Date], A206)&gt;0, "Y", "N")</f>
        <v>N</v>
      </c>
      <c r="H206" s="3" t="str">
        <f>IFERROR(_xlfn.XLOOKUP(A206, PublicHols[Date], PublicHols[PH_Name]),"")</f>
        <v/>
      </c>
      <c r="I206" s="4" t="str">
        <f>IF(COUNTIF(EventsAll[Date], A206)&gt;0, "Y", "N")</f>
        <v>N</v>
      </c>
      <c r="J206" s="11" t="str">
        <f>IFERROR(_xlfn.XLOOKUP(A206, EventsAll[Date], EventsAll[Event]),"")</f>
        <v/>
      </c>
      <c r="K206" s="4" t="str" cm="1">
        <f t="array" ref="K206">IF(SUMPRODUCT((A206&gt;=SchoolHols[Start])*(A206&lt;=SchoolHols[End]))&gt;0,"Y","N")</f>
        <v>N</v>
      </c>
    </row>
    <row r="207" spans="1:11">
      <c r="A207" s="6">
        <f t="shared" si="23"/>
        <v>43671</v>
      </c>
      <c r="B207" s="4" t="str">
        <f t="shared" si="18"/>
        <v>25</v>
      </c>
      <c r="C207" s="4" t="str">
        <f t="shared" si="19"/>
        <v>07</v>
      </c>
      <c r="D207" s="4" t="str">
        <f t="shared" si="20"/>
        <v>2019</v>
      </c>
      <c r="E207" s="3" t="str">
        <f t="shared" si="21"/>
        <v>Thursday</v>
      </c>
      <c r="F207" s="4" t="str">
        <f t="shared" si="22"/>
        <v>N</v>
      </c>
      <c r="G207" s="4" t="str">
        <f>IF(COUNTIF(PublicHols[Date], A207)&gt;0, "Y", "N")</f>
        <v>N</v>
      </c>
      <c r="H207" s="3" t="str">
        <f>IFERROR(_xlfn.XLOOKUP(A207, PublicHols[Date], PublicHols[PH_Name]),"")</f>
        <v/>
      </c>
      <c r="I207" s="4" t="str">
        <f>IF(COUNTIF(EventsAll[Date], A207)&gt;0, "Y", "N")</f>
        <v>N</v>
      </c>
      <c r="J207" s="11" t="str">
        <f>IFERROR(_xlfn.XLOOKUP(A207, EventsAll[Date], EventsAll[Event]),"")</f>
        <v/>
      </c>
      <c r="K207" s="4" t="str" cm="1">
        <f t="array" ref="K207">IF(SUMPRODUCT((A207&gt;=SchoolHols[Start])*(A207&lt;=SchoolHols[End]))&gt;0,"Y","N")</f>
        <v>N</v>
      </c>
    </row>
    <row r="208" spans="1:11">
      <c r="A208" s="6">
        <f t="shared" si="23"/>
        <v>43672</v>
      </c>
      <c r="B208" s="4" t="str">
        <f t="shared" si="18"/>
        <v>26</v>
      </c>
      <c r="C208" s="4" t="str">
        <f t="shared" si="19"/>
        <v>07</v>
      </c>
      <c r="D208" s="4" t="str">
        <f t="shared" si="20"/>
        <v>2019</v>
      </c>
      <c r="E208" s="3" t="str">
        <f t="shared" si="21"/>
        <v>Friday</v>
      </c>
      <c r="F208" s="4" t="str">
        <f t="shared" si="22"/>
        <v>N</v>
      </c>
      <c r="G208" s="4" t="str">
        <f>IF(COUNTIF(PublicHols[Date], A208)&gt;0, "Y", "N")</f>
        <v>N</v>
      </c>
      <c r="H208" s="3" t="str">
        <f>IFERROR(_xlfn.XLOOKUP(A208, PublicHols[Date], PublicHols[PH_Name]),"")</f>
        <v/>
      </c>
      <c r="I208" s="4" t="str">
        <f>IF(COUNTIF(EventsAll[Date], A208)&gt;0, "Y", "N")</f>
        <v>N</v>
      </c>
      <c r="J208" s="11" t="str">
        <f>IFERROR(_xlfn.XLOOKUP(A208, EventsAll[Date], EventsAll[Event]),"")</f>
        <v/>
      </c>
      <c r="K208" s="4" t="str" cm="1">
        <f t="array" ref="K208">IF(SUMPRODUCT((A208&gt;=SchoolHols[Start])*(A208&lt;=SchoolHols[End]))&gt;0,"Y","N")</f>
        <v>N</v>
      </c>
    </row>
    <row r="209" spans="1:11">
      <c r="A209" s="6">
        <f t="shared" si="23"/>
        <v>43673</v>
      </c>
      <c r="B209" s="4" t="str">
        <f t="shared" si="18"/>
        <v>27</v>
      </c>
      <c r="C209" s="4" t="str">
        <f t="shared" si="19"/>
        <v>07</v>
      </c>
      <c r="D209" s="4" t="str">
        <f t="shared" si="20"/>
        <v>2019</v>
      </c>
      <c r="E209" s="3" t="str">
        <f t="shared" si="21"/>
        <v>Saturday</v>
      </c>
      <c r="F209" s="4" t="str">
        <f t="shared" si="22"/>
        <v>N</v>
      </c>
      <c r="G209" s="4" t="str">
        <f>IF(COUNTIF(PublicHols[Date], A209)&gt;0, "Y", "N")</f>
        <v>N</v>
      </c>
      <c r="H209" s="3" t="str">
        <f>IFERROR(_xlfn.XLOOKUP(A209, PublicHols[Date], PublicHols[PH_Name]),"")</f>
        <v/>
      </c>
      <c r="I209" s="4" t="str">
        <f>IF(COUNTIF(EventsAll[Date], A209)&gt;0, "Y", "N")</f>
        <v>N</v>
      </c>
      <c r="J209" s="11" t="str">
        <f>IFERROR(_xlfn.XLOOKUP(A209, EventsAll[Date], EventsAll[Event]),"")</f>
        <v/>
      </c>
      <c r="K209" s="4" t="str" cm="1">
        <f t="array" ref="K209">IF(SUMPRODUCT((A209&gt;=SchoolHols[Start])*(A209&lt;=SchoolHols[End]))&gt;0,"Y","N")</f>
        <v>N</v>
      </c>
    </row>
    <row r="210" spans="1:11">
      <c r="A210" s="6">
        <f t="shared" si="23"/>
        <v>43674</v>
      </c>
      <c r="B210" s="4" t="str">
        <f t="shared" si="18"/>
        <v>28</v>
      </c>
      <c r="C210" s="4" t="str">
        <f t="shared" si="19"/>
        <v>07</v>
      </c>
      <c r="D210" s="4" t="str">
        <f t="shared" si="20"/>
        <v>2019</v>
      </c>
      <c r="E210" s="3" t="str">
        <f t="shared" si="21"/>
        <v>Sunday</v>
      </c>
      <c r="F210" s="4" t="str">
        <f t="shared" si="22"/>
        <v>Y</v>
      </c>
      <c r="G210" s="4" t="str">
        <f>IF(COUNTIF(PublicHols[Date], A210)&gt;0, "Y", "N")</f>
        <v>N</v>
      </c>
      <c r="H210" s="3" t="str">
        <f>IFERROR(_xlfn.XLOOKUP(A210, PublicHols[Date], PublicHols[PH_Name]),"")</f>
        <v/>
      </c>
      <c r="I210" s="4" t="str">
        <f>IF(COUNTIF(EventsAll[Date], A210)&gt;0, "Y", "N")</f>
        <v>N</v>
      </c>
      <c r="J210" s="11" t="str">
        <f>IFERROR(_xlfn.XLOOKUP(A210, EventsAll[Date], EventsAll[Event]),"")</f>
        <v/>
      </c>
      <c r="K210" s="4" t="str" cm="1">
        <f t="array" ref="K210">IF(SUMPRODUCT((A210&gt;=SchoolHols[Start])*(A210&lt;=SchoolHols[End]))&gt;0,"Y","N")</f>
        <v>N</v>
      </c>
    </row>
    <row r="211" spans="1:11">
      <c r="A211" s="6">
        <f t="shared" si="23"/>
        <v>43675</v>
      </c>
      <c r="B211" s="4" t="str">
        <f t="shared" si="18"/>
        <v>29</v>
      </c>
      <c r="C211" s="4" t="str">
        <f t="shared" si="19"/>
        <v>07</v>
      </c>
      <c r="D211" s="4" t="str">
        <f t="shared" si="20"/>
        <v>2019</v>
      </c>
      <c r="E211" s="3" t="str">
        <f t="shared" si="21"/>
        <v>Monday</v>
      </c>
      <c r="F211" s="4" t="str">
        <f t="shared" si="22"/>
        <v>N</v>
      </c>
      <c r="G211" s="4" t="str">
        <f>IF(COUNTIF(PublicHols[Date], A211)&gt;0, "Y", "N")</f>
        <v>N</v>
      </c>
      <c r="H211" s="3" t="str">
        <f>IFERROR(_xlfn.XLOOKUP(A211, PublicHols[Date], PublicHols[PH_Name]),"")</f>
        <v/>
      </c>
      <c r="I211" s="4" t="str">
        <f>IF(COUNTIF(EventsAll[Date], A211)&gt;0, "Y", "N")</f>
        <v>N</v>
      </c>
      <c r="J211" s="11" t="str">
        <f>IFERROR(_xlfn.XLOOKUP(A211, EventsAll[Date], EventsAll[Event]),"")</f>
        <v/>
      </c>
      <c r="K211" s="4" t="str" cm="1">
        <f t="array" ref="K211">IF(SUMPRODUCT((A211&gt;=SchoolHols[Start])*(A211&lt;=SchoolHols[End]))&gt;0,"Y","N")</f>
        <v>N</v>
      </c>
    </row>
    <row r="212" spans="1:11">
      <c r="A212" s="6">
        <f t="shared" si="23"/>
        <v>43676</v>
      </c>
      <c r="B212" s="4" t="str">
        <f t="shared" si="18"/>
        <v>30</v>
      </c>
      <c r="C212" s="4" t="str">
        <f t="shared" si="19"/>
        <v>07</v>
      </c>
      <c r="D212" s="4" t="str">
        <f t="shared" si="20"/>
        <v>2019</v>
      </c>
      <c r="E212" s="3" t="str">
        <f t="shared" si="21"/>
        <v>Tuesday</v>
      </c>
      <c r="F212" s="4" t="str">
        <f t="shared" si="22"/>
        <v>N</v>
      </c>
      <c r="G212" s="4" t="str">
        <f>IF(COUNTIF(PublicHols[Date], A212)&gt;0, "Y", "N")</f>
        <v>N</v>
      </c>
      <c r="H212" s="3" t="str">
        <f>IFERROR(_xlfn.XLOOKUP(A212, PublicHols[Date], PublicHols[PH_Name]),"")</f>
        <v/>
      </c>
      <c r="I212" s="4" t="str">
        <f>IF(COUNTIF(EventsAll[Date], A212)&gt;0, "Y", "N")</f>
        <v>N</v>
      </c>
      <c r="J212" s="11" t="str">
        <f>IFERROR(_xlfn.XLOOKUP(A212, EventsAll[Date], EventsAll[Event]),"")</f>
        <v/>
      </c>
      <c r="K212" s="4" t="str" cm="1">
        <f t="array" ref="K212">IF(SUMPRODUCT((A212&gt;=SchoolHols[Start])*(A212&lt;=SchoolHols[End]))&gt;0,"Y","N")</f>
        <v>N</v>
      </c>
    </row>
    <row r="213" spans="1:11">
      <c r="A213" s="6">
        <f t="shared" si="23"/>
        <v>43677</v>
      </c>
      <c r="B213" s="4" t="str">
        <f t="shared" si="18"/>
        <v>31</v>
      </c>
      <c r="C213" s="4" t="str">
        <f t="shared" si="19"/>
        <v>07</v>
      </c>
      <c r="D213" s="4" t="str">
        <f t="shared" si="20"/>
        <v>2019</v>
      </c>
      <c r="E213" s="3" t="str">
        <f t="shared" si="21"/>
        <v>Wednesday</v>
      </c>
      <c r="F213" s="4" t="str">
        <f t="shared" si="22"/>
        <v>N</v>
      </c>
      <c r="G213" s="4" t="str">
        <f>IF(COUNTIF(PublicHols[Date], A213)&gt;0, "Y", "N")</f>
        <v>N</v>
      </c>
      <c r="H213" s="3" t="str">
        <f>IFERROR(_xlfn.XLOOKUP(A213, PublicHols[Date], PublicHols[PH_Name]),"")</f>
        <v/>
      </c>
      <c r="I213" s="4" t="str">
        <f>IF(COUNTIF(EventsAll[Date], A213)&gt;0, "Y", "N")</f>
        <v>N</v>
      </c>
      <c r="J213" s="11" t="str">
        <f>IFERROR(_xlfn.XLOOKUP(A213, EventsAll[Date], EventsAll[Event]),"")</f>
        <v/>
      </c>
      <c r="K213" s="4" t="str" cm="1">
        <f t="array" ref="K213">IF(SUMPRODUCT((A213&gt;=SchoolHols[Start])*(A213&lt;=SchoolHols[End]))&gt;0,"Y","N")</f>
        <v>N</v>
      </c>
    </row>
    <row r="214" spans="1:11">
      <c r="A214" s="6">
        <f t="shared" si="23"/>
        <v>43678</v>
      </c>
      <c r="B214" s="4" t="str">
        <f t="shared" si="18"/>
        <v>01</v>
      </c>
      <c r="C214" s="4" t="str">
        <f t="shared" si="19"/>
        <v>08</v>
      </c>
      <c r="D214" s="4" t="str">
        <f t="shared" si="20"/>
        <v>2019</v>
      </c>
      <c r="E214" s="3" t="str">
        <f t="shared" si="21"/>
        <v>Thursday</v>
      </c>
      <c r="F214" s="4" t="str">
        <f t="shared" si="22"/>
        <v>N</v>
      </c>
      <c r="G214" s="4" t="str">
        <f>IF(COUNTIF(PublicHols[Date], A214)&gt;0, "Y", "N")</f>
        <v>N</v>
      </c>
      <c r="H214" s="3" t="str">
        <f>IFERROR(_xlfn.XLOOKUP(A214, PublicHols[Date], PublicHols[PH_Name]),"")</f>
        <v/>
      </c>
      <c r="I214" s="4" t="str">
        <f>IF(COUNTIF(EventsAll[Date], A214)&gt;0, "Y", "N")</f>
        <v>N</v>
      </c>
      <c r="J214" s="11" t="str">
        <f>IFERROR(_xlfn.XLOOKUP(A214, EventsAll[Date], EventsAll[Event]),"")</f>
        <v/>
      </c>
      <c r="K214" s="4" t="str" cm="1">
        <f t="array" ref="K214">IF(SUMPRODUCT((A214&gt;=SchoolHols[Start])*(A214&lt;=SchoolHols[End]))&gt;0,"Y","N")</f>
        <v>N</v>
      </c>
    </row>
    <row r="215" spans="1:11">
      <c r="A215" s="6">
        <f t="shared" si="23"/>
        <v>43679</v>
      </c>
      <c r="B215" s="4" t="str">
        <f t="shared" si="18"/>
        <v>02</v>
      </c>
      <c r="C215" s="4" t="str">
        <f t="shared" si="19"/>
        <v>08</v>
      </c>
      <c r="D215" s="4" t="str">
        <f t="shared" si="20"/>
        <v>2019</v>
      </c>
      <c r="E215" s="3" t="str">
        <f t="shared" si="21"/>
        <v>Friday</v>
      </c>
      <c r="F215" s="4" t="str">
        <f t="shared" si="22"/>
        <v>N</v>
      </c>
      <c r="G215" s="4" t="str">
        <f>IF(COUNTIF(PublicHols[Date], A215)&gt;0, "Y", "N")</f>
        <v>N</v>
      </c>
      <c r="H215" s="3" t="str">
        <f>IFERROR(_xlfn.XLOOKUP(A215, PublicHols[Date], PublicHols[PH_Name]),"")</f>
        <v/>
      </c>
      <c r="I215" s="4" t="str">
        <f>IF(COUNTIF(EventsAll[Date], A215)&gt;0, "Y", "N")</f>
        <v>N</v>
      </c>
      <c r="J215" s="11" t="str">
        <f>IFERROR(_xlfn.XLOOKUP(A215, EventsAll[Date], EventsAll[Event]),"")</f>
        <v/>
      </c>
      <c r="K215" s="4" t="str" cm="1">
        <f t="array" ref="K215">IF(SUMPRODUCT((A215&gt;=SchoolHols[Start])*(A215&lt;=SchoolHols[End]))&gt;0,"Y","N")</f>
        <v>N</v>
      </c>
    </row>
    <row r="216" spans="1:11">
      <c r="A216" s="6">
        <f t="shared" si="23"/>
        <v>43680</v>
      </c>
      <c r="B216" s="4" t="str">
        <f t="shared" si="18"/>
        <v>03</v>
      </c>
      <c r="C216" s="4" t="str">
        <f t="shared" si="19"/>
        <v>08</v>
      </c>
      <c r="D216" s="4" t="str">
        <f t="shared" si="20"/>
        <v>2019</v>
      </c>
      <c r="E216" s="3" t="str">
        <f t="shared" si="21"/>
        <v>Saturday</v>
      </c>
      <c r="F216" s="4" t="str">
        <f t="shared" si="22"/>
        <v>N</v>
      </c>
      <c r="G216" s="4" t="str">
        <f>IF(COUNTIF(PublicHols[Date], A216)&gt;0, "Y", "N")</f>
        <v>N</v>
      </c>
      <c r="H216" s="3" t="str">
        <f>IFERROR(_xlfn.XLOOKUP(A216, PublicHols[Date], PublicHols[PH_Name]),"")</f>
        <v/>
      </c>
      <c r="I216" s="4" t="str">
        <f>IF(COUNTIF(EventsAll[Date], A216)&gt;0, "Y", "N")</f>
        <v>N</v>
      </c>
      <c r="J216" s="11" t="str">
        <f>IFERROR(_xlfn.XLOOKUP(A216, EventsAll[Date], EventsAll[Event]),"")</f>
        <v/>
      </c>
      <c r="K216" s="4" t="str" cm="1">
        <f t="array" ref="K216">IF(SUMPRODUCT((A216&gt;=SchoolHols[Start])*(A216&lt;=SchoolHols[End]))&gt;0,"Y","N")</f>
        <v>N</v>
      </c>
    </row>
    <row r="217" spans="1:11">
      <c r="A217" s="6">
        <f t="shared" si="23"/>
        <v>43681</v>
      </c>
      <c r="B217" s="4" t="str">
        <f t="shared" si="18"/>
        <v>04</v>
      </c>
      <c r="C217" s="4" t="str">
        <f t="shared" si="19"/>
        <v>08</v>
      </c>
      <c r="D217" s="4" t="str">
        <f t="shared" si="20"/>
        <v>2019</v>
      </c>
      <c r="E217" s="3" t="str">
        <f t="shared" si="21"/>
        <v>Sunday</v>
      </c>
      <c r="F217" s="4" t="str">
        <f t="shared" si="22"/>
        <v>Y</v>
      </c>
      <c r="G217" s="4" t="str">
        <f>IF(COUNTIF(PublicHols[Date], A217)&gt;0, "Y", "N")</f>
        <v>N</v>
      </c>
      <c r="H217" s="3" t="str">
        <f>IFERROR(_xlfn.XLOOKUP(A217, PublicHols[Date], PublicHols[PH_Name]),"")</f>
        <v/>
      </c>
      <c r="I217" s="4" t="str">
        <f>IF(COUNTIF(EventsAll[Date], A217)&gt;0, "Y", "N")</f>
        <v>N</v>
      </c>
      <c r="J217" s="11" t="str">
        <f>IFERROR(_xlfn.XLOOKUP(A217, EventsAll[Date], EventsAll[Event]),"")</f>
        <v/>
      </c>
      <c r="K217" s="4" t="str" cm="1">
        <f t="array" ref="K217">IF(SUMPRODUCT((A217&gt;=SchoolHols[Start])*(A217&lt;=SchoolHols[End]))&gt;0,"Y","N")</f>
        <v>N</v>
      </c>
    </row>
    <row r="218" spans="1:11">
      <c r="A218" s="6">
        <f t="shared" si="23"/>
        <v>43682</v>
      </c>
      <c r="B218" s="4" t="str">
        <f t="shared" si="18"/>
        <v>05</v>
      </c>
      <c r="C218" s="4" t="str">
        <f t="shared" si="19"/>
        <v>08</v>
      </c>
      <c r="D218" s="4" t="str">
        <f t="shared" si="20"/>
        <v>2019</v>
      </c>
      <c r="E218" s="3" t="str">
        <f t="shared" si="21"/>
        <v>Monday</v>
      </c>
      <c r="F218" s="4" t="str">
        <f t="shared" si="22"/>
        <v>N</v>
      </c>
      <c r="G218" s="4" t="str">
        <f>IF(COUNTIF(PublicHols[Date], A218)&gt;0, "Y", "N")</f>
        <v>N</v>
      </c>
      <c r="H218" s="3" t="str">
        <f>IFERROR(_xlfn.XLOOKUP(A218, PublicHols[Date], PublicHols[PH_Name]),"")</f>
        <v/>
      </c>
      <c r="I218" s="4" t="str">
        <f>IF(COUNTIF(EventsAll[Date], A218)&gt;0, "Y", "N")</f>
        <v>N</v>
      </c>
      <c r="J218" s="11" t="str">
        <f>IFERROR(_xlfn.XLOOKUP(A218, EventsAll[Date], EventsAll[Event]),"")</f>
        <v/>
      </c>
      <c r="K218" s="4" t="str" cm="1">
        <f t="array" ref="K218">IF(SUMPRODUCT((A218&gt;=SchoolHols[Start])*(A218&lt;=SchoolHols[End]))&gt;0,"Y","N")</f>
        <v>N</v>
      </c>
    </row>
    <row r="219" spans="1:11">
      <c r="A219" s="6">
        <f t="shared" si="23"/>
        <v>43683</v>
      </c>
      <c r="B219" s="4" t="str">
        <f t="shared" si="18"/>
        <v>06</v>
      </c>
      <c r="C219" s="4" t="str">
        <f t="shared" si="19"/>
        <v>08</v>
      </c>
      <c r="D219" s="4" t="str">
        <f t="shared" si="20"/>
        <v>2019</v>
      </c>
      <c r="E219" s="3" t="str">
        <f t="shared" si="21"/>
        <v>Tuesday</v>
      </c>
      <c r="F219" s="4" t="str">
        <f t="shared" si="22"/>
        <v>N</v>
      </c>
      <c r="G219" s="4" t="str">
        <f>IF(COUNTIF(PublicHols[Date], A219)&gt;0, "Y", "N")</f>
        <v>N</v>
      </c>
      <c r="H219" s="3" t="str">
        <f>IFERROR(_xlfn.XLOOKUP(A219, PublicHols[Date], PublicHols[PH_Name]),"")</f>
        <v/>
      </c>
      <c r="I219" s="4" t="str">
        <f>IF(COUNTIF(EventsAll[Date], A219)&gt;0, "Y", "N")</f>
        <v>N</v>
      </c>
      <c r="J219" s="11" t="str">
        <f>IFERROR(_xlfn.XLOOKUP(A219, EventsAll[Date], EventsAll[Event]),"")</f>
        <v/>
      </c>
      <c r="K219" s="4" t="str" cm="1">
        <f t="array" ref="K219">IF(SUMPRODUCT((A219&gt;=SchoolHols[Start])*(A219&lt;=SchoolHols[End]))&gt;0,"Y","N")</f>
        <v>N</v>
      </c>
    </row>
    <row r="220" spans="1:11">
      <c r="A220" s="6">
        <f t="shared" si="23"/>
        <v>43684</v>
      </c>
      <c r="B220" s="4" t="str">
        <f t="shared" si="18"/>
        <v>07</v>
      </c>
      <c r="C220" s="4" t="str">
        <f t="shared" si="19"/>
        <v>08</v>
      </c>
      <c r="D220" s="4" t="str">
        <f t="shared" si="20"/>
        <v>2019</v>
      </c>
      <c r="E220" s="3" t="str">
        <f t="shared" si="21"/>
        <v>Wednesday</v>
      </c>
      <c r="F220" s="4" t="str">
        <f t="shared" si="22"/>
        <v>N</v>
      </c>
      <c r="G220" s="4" t="str">
        <f>IF(COUNTIF(PublicHols[Date], A220)&gt;0, "Y", "N")</f>
        <v>N</v>
      </c>
      <c r="H220" s="3" t="str">
        <f>IFERROR(_xlfn.XLOOKUP(A220, PublicHols[Date], PublicHols[PH_Name]),"")</f>
        <v/>
      </c>
      <c r="I220" s="4" t="str">
        <f>IF(COUNTIF(EventsAll[Date], A220)&gt;0, "Y", "N")</f>
        <v>N</v>
      </c>
      <c r="J220" s="11" t="str">
        <f>IFERROR(_xlfn.XLOOKUP(A220, EventsAll[Date], EventsAll[Event]),"")</f>
        <v/>
      </c>
      <c r="K220" s="4" t="str" cm="1">
        <f t="array" ref="K220">IF(SUMPRODUCT((A220&gt;=SchoolHols[Start])*(A220&lt;=SchoolHols[End]))&gt;0,"Y","N")</f>
        <v>N</v>
      </c>
    </row>
    <row r="221" spans="1:11">
      <c r="A221" s="6">
        <f t="shared" si="23"/>
        <v>43685</v>
      </c>
      <c r="B221" s="4" t="str">
        <f t="shared" si="18"/>
        <v>08</v>
      </c>
      <c r="C221" s="4" t="str">
        <f t="shared" si="19"/>
        <v>08</v>
      </c>
      <c r="D221" s="4" t="str">
        <f t="shared" si="20"/>
        <v>2019</v>
      </c>
      <c r="E221" s="3" t="str">
        <f t="shared" si="21"/>
        <v>Thursday</v>
      </c>
      <c r="F221" s="4" t="str">
        <f t="shared" si="22"/>
        <v>N</v>
      </c>
      <c r="G221" s="4" t="str">
        <f>IF(COUNTIF(PublicHols[Date], A221)&gt;0, "Y", "N")</f>
        <v>N</v>
      </c>
      <c r="H221" s="3" t="str">
        <f>IFERROR(_xlfn.XLOOKUP(A221, PublicHols[Date], PublicHols[PH_Name]),"")</f>
        <v/>
      </c>
      <c r="I221" s="4" t="str">
        <f>IF(COUNTIF(EventsAll[Date], A221)&gt;0, "Y", "N")</f>
        <v>N</v>
      </c>
      <c r="J221" s="11" t="str">
        <f>IFERROR(_xlfn.XLOOKUP(A221, EventsAll[Date], EventsAll[Event]),"")</f>
        <v/>
      </c>
      <c r="K221" s="4" t="str" cm="1">
        <f t="array" ref="K221">IF(SUMPRODUCT((A221&gt;=SchoolHols[Start])*(A221&lt;=SchoolHols[End]))&gt;0,"Y","N")</f>
        <v>N</v>
      </c>
    </row>
    <row r="222" spans="1:11">
      <c r="A222" s="6">
        <f t="shared" si="23"/>
        <v>43686</v>
      </c>
      <c r="B222" s="4" t="str">
        <f t="shared" si="18"/>
        <v>09</v>
      </c>
      <c r="C222" s="4" t="str">
        <f t="shared" si="19"/>
        <v>08</v>
      </c>
      <c r="D222" s="4" t="str">
        <f t="shared" si="20"/>
        <v>2019</v>
      </c>
      <c r="E222" s="3" t="str">
        <f t="shared" si="21"/>
        <v>Friday</v>
      </c>
      <c r="F222" s="4" t="str">
        <f t="shared" si="22"/>
        <v>N</v>
      </c>
      <c r="G222" s="4" t="str">
        <f>IF(COUNTIF(PublicHols[Date], A222)&gt;0, "Y", "N")</f>
        <v>Y</v>
      </c>
      <c r="H222" s="3" t="str">
        <f>IFERROR(_xlfn.XLOOKUP(A222, PublicHols[Date], PublicHols[PH_Name]),"")</f>
        <v>National Women's Day</v>
      </c>
      <c r="I222" s="4" t="str">
        <f>IF(COUNTIF(EventsAll[Date], A222)&gt;0, "Y", "N")</f>
        <v>N</v>
      </c>
      <c r="J222" s="11" t="str">
        <f>IFERROR(_xlfn.XLOOKUP(A222, EventsAll[Date], EventsAll[Event]),"")</f>
        <v/>
      </c>
      <c r="K222" s="4" t="str" cm="1">
        <f t="array" ref="K222">IF(SUMPRODUCT((A222&gt;=SchoolHols[Start])*(A222&lt;=SchoolHols[End]))&gt;0,"Y","N")</f>
        <v>N</v>
      </c>
    </row>
    <row r="223" spans="1:11">
      <c r="A223" s="6">
        <f t="shared" si="23"/>
        <v>43687</v>
      </c>
      <c r="B223" s="4" t="str">
        <f t="shared" si="18"/>
        <v>10</v>
      </c>
      <c r="C223" s="4" t="str">
        <f t="shared" si="19"/>
        <v>08</v>
      </c>
      <c r="D223" s="4" t="str">
        <f t="shared" si="20"/>
        <v>2019</v>
      </c>
      <c r="E223" s="3" t="str">
        <f t="shared" si="21"/>
        <v>Saturday</v>
      </c>
      <c r="F223" s="4" t="str">
        <f t="shared" si="22"/>
        <v>N</v>
      </c>
      <c r="G223" s="4" t="str">
        <f>IF(COUNTIF(PublicHols[Date], A223)&gt;0, "Y", "N")</f>
        <v>N</v>
      </c>
      <c r="H223" s="3" t="str">
        <f>IFERROR(_xlfn.XLOOKUP(A223, PublicHols[Date], PublicHols[PH_Name]),"")</f>
        <v/>
      </c>
      <c r="I223" s="4" t="str">
        <f>IF(COUNTIF(EventsAll[Date], A223)&gt;0, "Y", "N")</f>
        <v>N</v>
      </c>
      <c r="J223" s="11" t="str">
        <f>IFERROR(_xlfn.XLOOKUP(A223, EventsAll[Date], EventsAll[Event]),"")</f>
        <v/>
      </c>
      <c r="K223" s="4" t="str" cm="1">
        <f t="array" ref="K223">IF(SUMPRODUCT((A223&gt;=SchoolHols[Start])*(A223&lt;=SchoolHols[End]))&gt;0,"Y","N")</f>
        <v>N</v>
      </c>
    </row>
    <row r="224" spans="1:11">
      <c r="A224" s="6">
        <f t="shared" si="23"/>
        <v>43688</v>
      </c>
      <c r="B224" s="4" t="str">
        <f t="shared" si="18"/>
        <v>11</v>
      </c>
      <c r="C224" s="4" t="str">
        <f t="shared" si="19"/>
        <v>08</v>
      </c>
      <c r="D224" s="4" t="str">
        <f t="shared" si="20"/>
        <v>2019</v>
      </c>
      <c r="E224" s="3" t="str">
        <f t="shared" si="21"/>
        <v>Sunday</v>
      </c>
      <c r="F224" s="4" t="str">
        <f t="shared" si="22"/>
        <v>Y</v>
      </c>
      <c r="G224" s="4" t="str">
        <f>IF(COUNTIF(PublicHols[Date], A224)&gt;0, "Y", "N")</f>
        <v>N</v>
      </c>
      <c r="H224" s="3" t="str">
        <f>IFERROR(_xlfn.XLOOKUP(A224, PublicHols[Date], PublicHols[PH_Name]),"")</f>
        <v/>
      </c>
      <c r="I224" s="4" t="str">
        <f>IF(COUNTIF(EventsAll[Date], A224)&gt;0, "Y", "N")</f>
        <v>N</v>
      </c>
      <c r="J224" s="11" t="str">
        <f>IFERROR(_xlfn.XLOOKUP(A224, EventsAll[Date], EventsAll[Event]),"")</f>
        <v/>
      </c>
      <c r="K224" s="4" t="str" cm="1">
        <f t="array" ref="K224">IF(SUMPRODUCT((A224&gt;=SchoolHols[Start])*(A224&lt;=SchoolHols[End]))&gt;0,"Y","N")</f>
        <v>N</v>
      </c>
    </row>
    <row r="225" spans="1:11">
      <c r="A225" s="6">
        <f t="shared" si="23"/>
        <v>43689</v>
      </c>
      <c r="B225" s="4" t="str">
        <f t="shared" si="18"/>
        <v>12</v>
      </c>
      <c r="C225" s="4" t="str">
        <f t="shared" si="19"/>
        <v>08</v>
      </c>
      <c r="D225" s="4" t="str">
        <f t="shared" si="20"/>
        <v>2019</v>
      </c>
      <c r="E225" s="3" t="str">
        <f t="shared" si="21"/>
        <v>Monday</v>
      </c>
      <c r="F225" s="4" t="str">
        <f t="shared" si="22"/>
        <v>N</v>
      </c>
      <c r="G225" s="4" t="str">
        <f>IF(COUNTIF(PublicHols[Date], A225)&gt;0, "Y", "N")</f>
        <v>N</v>
      </c>
      <c r="H225" s="3" t="str">
        <f>IFERROR(_xlfn.XLOOKUP(A225, PublicHols[Date], PublicHols[PH_Name]),"")</f>
        <v/>
      </c>
      <c r="I225" s="4" t="str">
        <f>IF(COUNTIF(EventsAll[Date], A225)&gt;0, "Y", "N")</f>
        <v>N</v>
      </c>
      <c r="J225" s="11" t="str">
        <f>IFERROR(_xlfn.XLOOKUP(A225, EventsAll[Date], EventsAll[Event]),"")</f>
        <v/>
      </c>
      <c r="K225" s="4" t="str" cm="1">
        <f t="array" ref="K225">IF(SUMPRODUCT((A225&gt;=SchoolHols[Start])*(A225&lt;=SchoolHols[End]))&gt;0,"Y","N")</f>
        <v>N</v>
      </c>
    </row>
    <row r="226" spans="1:11">
      <c r="A226" s="6">
        <f t="shared" si="23"/>
        <v>43690</v>
      </c>
      <c r="B226" s="4" t="str">
        <f t="shared" si="18"/>
        <v>13</v>
      </c>
      <c r="C226" s="4" t="str">
        <f t="shared" si="19"/>
        <v>08</v>
      </c>
      <c r="D226" s="4" t="str">
        <f t="shared" si="20"/>
        <v>2019</v>
      </c>
      <c r="E226" s="3" t="str">
        <f t="shared" si="21"/>
        <v>Tuesday</v>
      </c>
      <c r="F226" s="4" t="str">
        <f t="shared" si="22"/>
        <v>N</v>
      </c>
      <c r="G226" s="4" t="str">
        <f>IF(COUNTIF(PublicHols[Date], A226)&gt;0, "Y", "N")</f>
        <v>N</v>
      </c>
      <c r="H226" s="3" t="str">
        <f>IFERROR(_xlfn.XLOOKUP(A226, PublicHols[Date], PublicHols[PH_Name]),"")</f>
        <v/>
      </c>
      <c r="I226" s="4" t="str">
        <f>IF(COUNTIF(EventsAll[Date], A226)&gt;0, "Y", "N")</f>
        <v>N</v>
      </c>
      <c r="J226" s="11" t="str">
        <f>IFERROR(_xlfn.XLOOKUP(A226, EventsAll[Date], EventsAll[Event]),"")</f>
        <v/>
      </c>
      <c r="K226" s="4" t="str" cm="1">
        <f t="array" ref="K226">IF(SUMPRODUCT((A226&gt;=SchoolHols[Start])*(A226&lt;=SchoolHols[End]))&gt;0,"Y","N")</f>
        <v>N</v>
      </c>
    </row>
    <row r="227" spans="1:11">
      <c r="A227" s="6">
        <f t="shared" si="23"/>
        <v>43691</v>
      </c>
      <c r="B227" s="4" t="str">
        <f t="shared" si="18"/>
        <v>14</v>
      </c>
      <c r="C227" s="4" t="str">
        <f t="shared" si="19"/>
        <v>08</v>
      </c>
      <c r="D227" s="4" t="str">
        <f t="shared" si="20"/>
        <v>2019</v>
      </c>
      <c r="E227" s="3" t="str">
        <f t="shared" si="21"/>
        <v>Wednesday</v>
      </c>
      <c r="F227" s="4" t="str">
        <f t="shared" si="22"/>
        <v>N</v>
      </c>
      <c r="G227" s="4" t="str">
        <f>IF(COUNTIF(PublicHols[Date], A227)&gt;0, "Y", "N")</f>
        <v>N</v>
      </c>
      <c r="H227" s="3" t="str">
        <f>IFERROR(_xlfn.XLOOKUP(A227, PublicHols[Date], PublicHols[PH_Name]),"")</f>
        <v/>
      </c>
      <c r="I227" s="4" t="str">
        <f>IF(COUNTIF(EventsAll[Date], A227)&gt;0, "Y", "N")</f>
        <v>N</v>
      </c>
      <c r="J227" s="11" t="str">
        <f>IFERROR(_xlfn.XLOOKUP(A227, EventsAll[Date], EventsAll[Event]),"")</f>
        <v/>
      </c>
      <c r="K227" s="4" t="str" cm="1">
        <f t="array" ref="K227">IF(SUMPRODUCT((A227&gt;=SchoolHols[Start])*(A227&lt;=SchoolHols[End]))&gt;0,"Y","N")</f>
        <v>N</v>
      </c>
    </row>
    <row r="228" spans="1:11">
      <c r="A228" s="6">
        <f t="shared" si="23"/>
        <v>43692</v>
      </c>
      <c r="B228" s="4" t="str">
        <f t="shared" si="18"/>
        <v>15</v>
      </c>
      <c r="C228" s="4" t="str">
        <f t="shared" si="19"/>
        <v>08</v>
      </c>
      <c r="D228" s="4" t="str">
        <f t="shared" si="20"/>
        <v>2019</v>
      </c>
      <c r="E228" s="3" t="str">
        <f t="shared" si="21"/>
        <v>Thursday</v>
      </c>
      <c r="F228" s="4" t="str">
        <f t="shared" si="22"/>
        <v>N</v>
      </c>
      <c r="G228" s="4" t="str">
        <f>IF(COUNTIF(PublicHols[Date], A228)&gt;0, "Y", "N")</f>
        <v>N</v>
      </c>
      <c r="H228" s="3" t="str">
        <f>IFERROR(_xlfn.XLOOKUP(A228, PublicHols[Date], PublicHols[PH_Name]),"")</f>
        <v/>
      </c>
      <c r="I228" s="4" t="str">
        <f>IF(COUNTIF(EventsAll[Date], A228)&gt;0, "Y", "N")</f>
        <v>N</v>
      </c>
      <c r="J228" s="11" t="str">
        <f>IFERROR(_xlfn.XLOOKUP(A228, EventsAll[Date], EventsAll[Event]),"")</f>
        <v/>
      </c>
      <c r="K228" s="4" t="str" cm="1">
        <f t="array" ref="K228">IF(SUMPRODUCT((A228&gt;=SchoolHols[Start])*(A228&lt;=SchoolHols[End]))&gt;0,"Y","N")</f>
        <v>N</v>
      </c>
    </row>
    <row r="229" spans="1:11">
      <c r="A229" s="6">
        <f t="shared" si="23"/>
        <v>43693</v>
      </c>
      <c r="B229" s="4" t="str">
        <f t="shared" si="18"/>
        <v>16</v>
      </c>
      <c r="C229" s="4" t="str">
        <f t="shared" si="19"/>
        <v>08</v>
      </c>
      <c r="D229" s="4" t="str">
        <f t="shared" si="20"/>
        <v>2019</v>
      </c>
      <c r="E229" s="3" t="str">
        <f t="shared" si="21"/>
        <v>Friday</v>
      </c>
      <c r="F229" s="4" t="str">
        <f t="shared" si="22"/>
        <v>N</v>
      </c>
      <c r="G229" s="4" t="str">
        <f>IF(COUNTIF(PublicHols[Date], A229)&gt;0, "Y", "N")</f>
        <v>N</v>
      </c>
      <c r="H229" s="3" t="str">
        <f>IFERROR(_xlfn.XLOOKUP(A229, PublicHols[Date], PublicHols[PH_Name]),"")</f>
        <v/>
      </c>
      <c r="I229" s="4" t="str">
        <f>IF(COUNTIF(EventsAll[Date], A229)&gt;0, "Y", "N")</f>
        <v>N</v>
      </c>
      <c r="J229" s="11" t="str">
        <f>IFERROR(_xlfn.XLOOKUP(A229, EventsAll[Date], EventsAll[Event]),"")</f>
        <v/>
      </c>
      <c r="K229" s="4" t="str" cm="1">
        <f t="array" ref="K229">IF(SUMPRODUCT((A229&gt;=SchoolHols[Start])*(A229&lt;=SchoolHols[End]))&gt;0,"Y","N")</f>
        <v>N</v>
      </c>
    </row>
    <row r="230" spans="1:11">
      <c r="A230" s="6">
        <f t="shared" si="23"/>
        <v>43694</v>
      </c>
      <c r="B230" s="4" t="str">
        <f t="shared" si="18"/>
        <v>17</v>
      </c>
      <c r="C230" s="4" t="str">
        <f t="shared" si="19"/>
        <v>08</v>
      </c>
      <c r="D230" s="4" t="str">
        <f t="shared" si="20"/>
        <v>2019</v>
      </c>
      <c r="E230" s="3" t="str">
        <f t="shared" si="21"/>
        <v>Saturday</v>
      </c>
      <c r="F230" s="4" t="str">
        <f t="shared" si="22"/>
        <v>N</v>
      </c>
      <c r="G230" s="4" t="str">
        <f>IF(COUNTIF(PublicHols[Date], A230)&gt;0, "Y", "N")</f>
        <v>N</v>
      </c>
      <c r="H230" s="3" t="str">
        <f>IFERROR(_xlfn.XLOOKUP(A230, PublicHols[Date], PublicHols[PH_Name]),"")</f>
        <v/>
      </c>
      <c r="I230" s="4" t="str">
        <f>IF(COUNTIF(EventsAll[Date], A230)&gt;0, "Y", "N")</f>
        <v>N</v>
      </c>
      <c r="J230" s="11" t="str">
        <f>IFERROR(_xlfn.XLOOKUP(A230, EventsAll[Date], EventsAll[Event]),"")</f>
        <v/>
      </c>
      <c r="K230" s="4" t="str" cm="1">
        <f t="array" ref="K230">IF(SUMPRODUCT((A230&gt;=SchoolHols[Start])*(A230&lt;=SchoolHols[End]))&gt;0,"Y","N")</f>
        <v>N</v>
      </c>
    </row>
    <row r="231" spans="1:11">
      <c r="A231" s="6">
        <f t="shared" si="23"/>
        <v>43695</v>
      </c>
      <c r="B231" s="4" t="str">
        <f t="shared" si="18"/>
        <v>18</v>
      </c>
      <c r="C231" s="4" t="str">
        <f t="shared" si="19"/>
        <v>08</v>
      </c>
      <c r="D231" s="4" t="str">
        <f t="shared" si="20"/>
        <v>2019</v>
      </c>
      <c r="E231" s="3" t="str">
        <f t="shared" si="21"/>
        <v>Sunday</v>
      </c>
      <c r="F231" s="4" t="str">
        <f t="shared" si="22"/>
        <v>Y</v>
      </c>
      <c r="G231" s="4" t="str">
        <f>IF(COUNTIF(PublicHols[Date], A231)&gt;0, "Y", "N")</f>
        <v>N</v>
      </c>
      <c r="H231" s="3" t="str">
        <f>IFERROR(_xlfn.XLOOKUP(A231, PublicHols[Date], PublicHols[PH_Name]),"")</f>
        <v/>
      </c>
      <c r="I231" s="4" t="str">
        <f>IF(COUNTIF(EventsAll[Date], A231)&gt;0, "Y", "N")</f>
        <v>N</v>
      </c>
      <c r="J231" s="11" t="str">
        <f>IFERROR(_xlfn.XLOOKUP(A231, EventsAll[Date], EventsAll[Event]),"")</f>
        <v/>
      </c>
      <c r="K231" s="4" t="str" cm="1">
        <f t="array" ref="K231">IF(SUMPRODUCT((A231&gt;=SchoolHols[Start])*(A231&lt;=SchoolHols[End]))&gt;0,"Y","N")</f>
        <v>N</v>
      </c>
    </row>
    <row r="232" spans="1:11">
      <c r="A232" s="6">
        <f t="shared" si="23"/>
        <v>43696</v>
      </c>
      <c r="B232" s="4" t="str">
        <f t="shared" si="18"/>
        <v>19</v>
      </c>
      <c r="C232" s="4" t="str">
        <f t="shared" si="19"/>
        <v>08</v>
      </c>
      <c r="D232" s="4" t="str">
        <f t="shared" si="20"/>
        <v>2019</v>
      </c>
      <c r="E232" s="3" t="str">
        <f t="shared" si="21"/>
        <v>Monday</v>
      </c>
      <c r="F232" s="4" t="str">
        <f t="shared" si="22"/>
        <v>N</v>
      </c>
      <c r="G232" s="4" t="str">
        <f>IF(COUNTIF(PublicHols[Date], A232)&gt;0, "Y", "N")</f>
        <v>N</v>
      </c>
      <c r="H232" s="3" t="str">
        <f>IFERROR(_xlfn.XLOOKUP(A232, PublicHols[Date], PublicHols[PH_Name]),"")</f>
        <v/>
      </c>
      <c r="I232" s="4" t="str">
        <f>IF(COUNTIF(EventsAll[Date], A232)&gt;0, "Y", "N")</f>
        <v>N</v>
      </c>
      <c r="J232" s="11" t="str">
        <f>IFERROR(_xlfn.XLOOKUP(A232, EventsAll[Date], EventsAll[Event]),"")</f>
        <v/>
      </c>
      <c r="K232" s="4" t="str" cm="1">
        <f t="array" ref="K232">IF(SUMPRODUCT((A232&gt;=SchoolHols[Start])*(A232&lt;=SchoolHols[End]))&gt;0,"Y","N")</f>
        <v>N</v>
      </c>
    </row>
    <row r="233" spans="1:11">
      <c r="A233" s="6">
        <f t="shared" si="23"/>
        <v>43697</v>
      </c>
      <c r="B233" s="4" t="str">
        <f t="shared" si="18"/>
        <v>20</v>
      </c>
      <c r="C233" s="4" t="str">
        <f t="shared" si="19"/>
        <v>08</v>
      </c>
      <c r="D233" s="4" t="str">
        <f t="shared" si="20"/>
        <v>2019</v>
      </c>
      <c r="E233" s="3" t="str">
        <f t="shared" si="21"/>
        <v>Tuesday</v>
      </c>
      <c r="F233" s="4" t="str">
        <f t="shared" si="22"/>
        <v>N</v>
      </c>
      <c r="G233" s="4" t="str">
        <f>IF(COUNTIF(PublicHols[Date], A233)&gt;0, "Y", "N")</f>
        <v>N</v>
      </c>
      <c r="H233" s="3" t="str">
        <f>IFERROR(_xlfn.XLOOKUP(A233, PublicHols[Date], PublicHols[PH_Name]),"")</f>
        <v/>
      </c>
      <c r="I233" s="4" t="str">
        <f>IF(COUNTIF(EventsAll[Date], A233)&gt;0, "Y", "N")</f>
        <v>N</v>
      </c>
      <c r="J233" s="11" t="str">
        <f>IFERROR(_xlfn.XLOOKUP(A233, EventsAll[Date], EventsAll[Event]),"")</f>
        <v/>
      </c>
      <c r="K233" s="4" t="str" cm="1">
        <f t="array" ref="K233">IF(SUMPRODUCT((A233&gt;=SchoolHols[Start])*(A233&lt;=SchoolHols[End]))&gt;0,"Y","N")</f>
        <v>N</v>
      </c>
    </row>
    <row r="234" spans="1:11">
      <c r="A234" s="6">
        <f t="shared" si="23"/>
        <v>43698</v>
      </c>
      <c r="B234" s="4" t="str">
        <f t="shared" si="18"/>
        <v>21</v>
      </c>
      <c r="C234" s="4" t="str">
        <f t="shared" si="19"/>
        <v>08</v>
      </c>
      <c r="D234" s="4" t="str">
        <f t="shared" si="20"/>
        <v>2019</v>
      </c>
      <c r="E234" s="3" t="str">
        <f t="shared" si="21"/>
        <v>Wednesday</v>
      </c>
      <c r="F234" s="4" t="str">
        <f t="shared" si="22"/>
        <v>N</v>
      </c>
      <c r="G234" s="4" t="str">
        <f>IF(COUNTIF(PublicHols[Date], A234)&gt;0, "Y", "N")</f>
        <v>N</v>
      </c>
      <c r="H234" s="3" t="str">
        <f>IFERROR(_xlfn.XLOOKUP(A234, PublicHols[Date], PublicHols[PH_Name]),"")</f>
        <v/>
      </c>
      <c r="I234" s="4" t="str">
        <f>IF(COUNTIF(EventsAll[Date], A234)&gt;0, "Y", "N")</f>
        <v>N</v>
      </c>
      <c r="J234" s="11" t="str">
        <f>IFERROR(_xlfn.XLOOKUP(A234, EventsAll[Date], EventsAll[Event]),"")</f>
        <v/>
      </c>
      <c r="K234" s="4" t="str" cm="1">
        <f t="array" ref="K234">IF(SUMPRODUCT((A234&gt;=SchoolHols[Start])*(A234&lt;=SchoolHols[End]))&gt;0,"Y","N")</f>
        <v>N</v>
      </c>
    </row>
    <row r="235" spans="1:11">
      <c r="A235" s="6">
        <f t="shared" si="23"/>
        <v>43699</v>
      </c>
      <c r="B235" s="4" t="str">
        <f t="shared" si="18"/>
        <v>22</v>
      </c>
      <c r="C235" s="4" t="str">
        <f t="shared" si="19"/>
        <v>08</v>
      </c>
      <c r="D235" s="4" t="str">
        <f t="shared" si="20"/>
        <v>2019</v>
      </c>
      <c r="E235" s="3" t="str">
        <f t="shared" si="21"/>
        <v>Thursday</v>
      </c>
      <c r="F235" s="4" t="str">
        <f t="shared" si="22"/>
        <v>N</v>
      </c>
      <c r="G235" s="4" t="str">
        <f>IF(COUNTIF(PublicHols[Date], A235)&gt;0, "Y", "N")</f>
        <v>N</v>
      </c>
      <c r="H235" s="3" t="str">
        <f>IFERROR(_xlfn.XLOOKUP(A235, PublicHols[Date], PublicHols[PH_Name]),"")</f>
        <v/>
      </c>
      <c r="I235" s="4" t="str">
        <f>IF(COUNTIF(EventsAll[Date], A235)&gt;0, "Y", "N")</f>
        <v>N</v>
      </c>
      <c r="J235" s="11" t="str">
        <f>IFERROR(_xlfn.XLOOKUP(A235, EventsAll[Date], EventsAll[Event]),"")</f>
        <v/>
      </c>
      <c r="K235" s="4" t="str" cm="1">
        <f t="array" ref="K235">IF(SUMPRODUCT((A235&gt;=SchoolHols[Start])*(A235&lt;=SchoolHols[End]))&gt;0,"Y","N")</f>
        <v>N</v>
      </c>
    </row>
    <row r="236" spans="1:11">
      <c r="A236" s="6">
        <f t="shared" si="23"/>
        <v>43700</v>
      </c>
      <c r="B236" s="4" t="str">
        <f t="shared" si="18"/>
        <v>23</v>
      </c>
      <c r="C236" s="4" t="str">
        <f t="shared" si="19"/>
        <v>08</v>
      </c>
      <c r="D236" s="4" t="str">
        <f t="shared" si="20"/>
        <v>2019</v>
      </c>
      <c r="E236" s="3" t="str">
        <f t="shared" si="21"/>
        <v>Friday</v>
      </c>
      <c r="F236" s="4" t="str">
        <f t="shared" si="22"/>
        <v>N</v>
      </c>
      <c r="G236" s="4" t="str">
        <f>IF(COUNTIF(PublicHols[Date], A236)&gt;0, "Y", "N")</f>
        <v>N</v>
      </c>
      <c r="H236" s="3" t="str">
        <f>IFERROR(_xlfn.XLOOKUP(A236, PublicHols[Date], PublicHols[PH_Name]),"")</f>
        <v/>
      </c>
      <c r="I236" s="4" t="str">
        <f>IF(COUNTIF(EventsAll[Date], A236)&gt;0, "Y", "N")</f>
        <v>N</v>
      </c>
      <c r="J236" s="11" t="str">
        <f>IFERROR(_xlfn.XLOOKUP(A236, EventsAll[Date], EventsAll[Event]),"")</f>
        <v/>
      </c>
      <c r="K236" s="4" t="str" cm="1">
        <f t="array" ref="K236">IF(SUMPRODUCT((A236&gt;=SchoolHols[Start])*(A236&lt;=SchoolHols[End]))&gt;0,"Y","N")</f>
        <v>N</v>
      </c>
    </row>
    <row r="237" spans="1:11">
      <c r="A237" s="6">
        <f t="shared" si="23"/>
        <v>43701</v>
      </c>
      <c r="B237" s="4" t="str">
        <f t="shared" si="18"/>
        <v>24</v>
      </c>
      <c r="C237" s="4" t="str">
        <f t="shared" si="19"/>
        <v>08</v>
      </c>
      <c r="D237" s="4" t="str">
        <f t="shared" si="20"/>
        <v>2019</v>
      </c>
      <c r="E237" s="3" t="str">
        <f t="shared" si="21"/>
        <v>Saturday</v>
      </c>
      <c r="F237" s="4" t="str">
        <f t="shared" si="22"/>
        <v>N</v>
      </c>
      <c r="G237" s="4" t="str">
        <f>IF(COUNTIF(PublicHols[Date], A237)&gt;0, "Y", "N")</f>
        <v>N</v>
      </c>
      <c r="H237" s="3" t="str">
        <f>IFERROR(_xlfn.XLOOKUP(A237, PublicHols[Date], PublicHols[PH_Name]),"")</f>
        <v/>
      </c>
      <c r="I237" s="4" t="str">
        <f>IF(COUNTIF(EventsAll[Date], A237)&gt;0, "Y", "N")</f>
        <v>N</v>
      </c>
      <c r="J237" s="11" t="str">
        <f>IFERROR(_xlfn.XLOOKUP(A237, EventsAll[Date], EventsAll[Event]),"")</f>
        <v/>
      </c>
      <c r="K237" s="4" t="str" cm="1">
        <f t="array" ref="K237">IF(SUMPRODUCT((A237&gt;=SchoolHols[Start])*(A237&lt;=SchoolHols[End]))&gt;0,"Y","N")</f>
        <v>N</v>
      </c>
    </row>
    <row r="238" spans="1:11">
      <c r="A238" s="6">
        <f t="shared" si="23"/>
        <v>43702</v>
      </c>
      <c r="B238" s="4" t="str">
        <f t="shared" si="18"/>
        <v>25</v>
      </c>
      <c r="C238" s="4" t="str">
        <f t="shared" si="19"/>
        <v>08</v>
      </c>
      <c r="D238" s="4" t="str">
        <f t="shared" si="20"/>
        <v>2019</v>
      </c>
      <c r="E238" s="3" t="str">
        <f t="shared" si="21"/>
        <v>Sunday</v>
      </c>
      <c r="F238" s="4" t="str">
        <f t="shared" si="22"/>
        <v>Y</v>
      </c>
      <c r="G238" s="4" t="str">
        <f>IF(COUNTIF(PublicHols[Date], A238)&gt;0, "Y", "N")</f>
        <v>N</v>
      </c>
      <c r="H238" s="3" t="str">
        <f>IFERROR(_xlfn.XLOOKUP(A238, PublicHols[Date], PublicHols[PH_Name]),"")</f>
        <v/>
      </c>
      <c r="I238" s="4" t="str">
        <f>IF(COUNTIF(EventsAll[Date], A238)&gt;0, "Y", "N")</f>
        <v>N</v>
      </c>
      <c r="J238" s="11" t="str">
        <f>IFERROR(_xlfn.XLOOKUP(A238, EventsAll[Date], EventsAll[Event]),"")</f>
        <v/>
      </c>
      <c r="K238" s="4" t="str" cm="1">
        <f t="array" ref="K238">IF(SUMPRODUCT((A238&gt;=SchoolHols[Start])*(A238&lt;=SchoolHols[End]))&gt;0,"Y","N")</f>
        <v>N</v>
      </c>
    </row>
    <row r="239" spans="1:11">
      <c r="A239" s="6">
        <f t="shared" si="23"/>
        <v>43703</v>
      </c>
      <c r="B239" s="4" t="str">
        <f t="shared" si="18"/>
        <v>26</v>
      </c>
      <c r="C239" s="4" t="str">
        <f t="shared" si="19"/>
        <v>08</v>
      </c>
      <c r="D239" s="4" t="str">
        <f t="shared" si="20"/>
        <v>2019</v>
      </c>
      <c r="E239" s="3" t="str">
        <f t="shared" si="21"/>
        <v>Monday</v>
      </c>
      <c r="F239" s="4" t="str">
        <f t="shared" si="22"/>
        <v>N</v>
      </c>
      <c r="G239" s="4" t="str">
        <f>IF(COUNTIF(PublicHols[Date], A239)&gt;0, "Y", "N")</f>
        <v>N</v>
      </c>
      <c r="H239" s="3" t="str">
        <f>IFERROR(_xlfn.XLOOKUP(A239, PublicHols[Date], PublicHols[PH_Name]),"")</f>
        <v/>
      </c>
      <c r="I239" s="4" t="str">
        <f>IF(COUNTIF(EventsAll[Date], A239)&gt;0, "Y", "N")</f>
        <v>N</v>
      </c>
      <c r="J239" s="11" t="str">
        <f>IFERROR(_xlfn.XLOOKUP(A239, EventsAll[Date], EventsAll[Event]),"")</f>
        <v/>
      </c>
      <c r="K239" s="4" t="str" cm="1">
        <f t="array" ref="K239">IF(SUMPRODUCT((A239&gt;=SchoolHols[Start])*(A239&lt;=SchoolHols[End]))&gt;0,"Y","N")</f>
        <v>N</v>
      </c>
    </row>
    <row r="240" spans="1:11">
      <c r="A240" s="6">
        <f t="shared" si="23"/>
        <v>43704</v>
      </c>
      <c r="B240" s="4" t="str">
        <f t="shared" si="18"/>
        <v>27</v>
      </c>
      <c r="C240" s="4" t="str">
        <f t="shared" si="19"/>
        <v>08</v>
      </c>
      <c r="D240" s="4" t="str">
        <f t="shared" si="20"/>
        <v>2019</v>
      </c>
      <c r="E240" s="3" t="str">
        <f t="shared" si="21"/>
        <v>Tuesday</v>
      </c>
      <c r="F240" s="4" t="str">
        <f t="shared" si="22"/>
        <v>N</v>
      </c>
      <c r="G240" s="4" t="str">
        <f>IF(COUNTIF(PublicHols[Date], A240)&gt;0, "Y", "N")</f>
        <v>N</v>
      </c>
      <c r="H240" s="3" t="str">
        <f>IFERROR(_xlfn.XLOOKUP(A240, PublicHols[Date], PublicHols[PH_Name]),"")</f>
        <v/>
      </c>
      <c r="I240" s="4" t="str">
        <f>IF(COUNTIF(EventsAll[Date], A240)&gt;0, "Y", "N")</f>
        <v>N</v>
      </c>
      <c r="J240" s="11" t="str">
        <f>IFERROR(_xlfn.XLOOKUP(A240, EventsAll[Date], EventsAll[Event]),"")</f>
        <v/>
      </c>
      <c r="K240" s="4" t="str" cm="1">
        <f t="array" ref="K240">IF(SUMPRODUCT((A240&gt;=SchoolHols[Start])*(A240&lt;=SchoolHols[End]))&gt;0,"Y","N")</f>
        <v>N</v>
      </c>
    </row>
    <row r="241" spans="1:11">
      <c r="A241" s="6">
        <f t="shared" si="23"/>
        <v>43705</v>
      </c>
      <c r="B241" s="4" t="str">
        <f t="shared" si="18"/>
        <v>28</v>
      </c>
      <c r="C241" s="4" t="str">
        <f t="shared" si="19"/>
        <v>08</v>
      </c>
      <c r="D241" s="4" t="str">
        <f t="shared" si="20"/>
        <v>2019</v>
      </c>
      <c r="E241" s="3" t="str">
        <f t="shared" si="21"/>
        <v>Wednesday</v>
      </c>
      <c r="F241" s="4" t="str">
        <f t="shared" si="22"/>
        <v>N</v>
      </c>
      <c r="G241" s="4" t="str">
        <f>IF(COUNTIF(PublicHols[Date], A241)&gt;0, "Y", "N")</f>
        <v>N</v>
      </c>
      <c r="H241" s="3" t="str">
        <f>IFERROR(_xlfn.XLOOKUP(A241, PublicHols[Date], PublicHols[PH_Name]),"")</f>
        <v/>
      </c>
      <c r="I241" s="4" t="str">
        <f>IF(COUNTIF(EventsAll[Date], A241)&gt;0, "Y", "N")</f>
        <v>N</v>
      </c>
      <c r="J241" s="11" t="str">
        <f>IFERROR(_xlfn.XLOOKUP(A241, EventsAll[Date], EventsAll[Event]),"")</f>
        <v/>
      </c>
      <c r="K241" s="4" t="str" cm="1">
        <f t="array" ref="K241">IF(SUMPRODUCT((A241&gt;=SchoolHols[Start])*(A241&lt;=SchoolHols[End]))&gt;0,"Y","N")</f>
        <v>N</v>
      </c>
    </row>
    <row r="242" spans="1:11">
      <c r="A242" s="6">
        <f t="shared" si="23"/>
        <v>43706</v>
      </c>
      <c r="B242" s="4" t="str">
        <f t="shared" si="18"/>
        <v>29</v>
      </c>
      <c r="C242" s="4" t="str">
        <f t="shared" si="19"/>
        <v>08</v>
      </c>
      <c r="D242" s="4" t="str">
        <f t="shared" si="20"/>
        <v>2019</v>
      </c>
      <c r="E242" s="3" t="str">
        <f t="shared" si="21"/>
        <v>Thursday</v>
      </c>
      <c r="F242" s="4" t="str">
        <f t="shared" si="22"/>
        <v>N</v>
      </c>
      <c r="G242" s="4" t="str">
        <f>IF(COUNTIF(PublicHols[Date], A242)&gt;0, "Y", "N")</f>
        <v>N</v>
      </c>
      <c r="H242" s="3" t="str">
        <f>IFERROR(_xlfn.XLOOKUP(A242, PublicHols[Date], PublicHols[PH_Name]),"")</f>
        <v/>
      </c>
      <c r="I242" s="4" t="str">
        <f>IF(COUNTIF(EventsAll[Date], A242)&gt;0, "Y", "N")</f>
        <v>N</v>
      </c>
      <c r="J242" s="11" t="str">
        <f>IFERROR(_xlfn.XLOOKUP(A242, EventsAll[Date], EventsAll[Event]),"")</f>
        <v/>
      </c>
      <c r="K242" s="4" t="str" cm="1">
        <f t="array" ref="K242">IF(SUMPRODUCT((A242&gt;=SchoolHols[Start])*(A242&lt;=SchoolHols[End]))&gt;0,"Y","N")</f>
        <v>N</v>
      </c>
    </row>
    <row r="243" spans="1:11">
      <c r="A243" s="6">
        <f t="shared" si="23"/>
        <v>43707</v>
      </c>
      <c r="B243" s="4" t="str">
        <f t="shared" si="18"/>
        <v>30</v>
      </c>
      <c r="C243" s="4" t="str">
        <f t="shared" si="19"/>
        <v>08</v>
      </c>
      <c r="D243" s="4" t="str">
        <f t="shared" si="20"/>
        <v>2019</v>
      </c>
      <c r="E243" s="3" t="str">
        <f t="shared" si="21"/>
        <v>Friday</v>
      </c>
      <c r="F243" s="4" t="str">
        <f t="shared" si="22"/>
        <v>N</v>
      </c>
      <c r="G243" s="4" t="str">
        <f>IF(COUNTIF(PublicHols[Date], A243)&gt;0, "Y", "N")</f>
        <v>N</v>
      </c>
      <c r="H243" s="3" t="str">
        <f>IFERROR(_xlfn.XLOOKUP(A243, PublicHols[Date], PublicHols[PH_Name]),"")</f>
        <v/>
      </c>
      <c r="I243" s="4" t="str">
        <f>IF(COUNTIF(EventsAll[Date], A243)&gt;0, "Y", "N")</f>
        <v>N</v>
      </c>
      <c r="J243" s="11" t="str">
        <f>IFERROR(_xlfn.XLOOKUP(A243, EventsAll[Date], EventsAll[Event]),"")</f>
        <v/>
      </c>
      <c r="K243" s="4" t="str" cm="1">
        <f t="array" ref="K243">IF(SUMPRODUCT((A243&gt;=SchoolHols[Start])*(A243&lt;=SchoolHols[End]))&gt;0,"Y","N")</f>
        <v>N</v>
      </c>
    </row>
    <row r="244" spans="1:11">
      <c r="A244" s="6">
        <f t="shared" si="23"/>
        <v>43708</v>
      </c>
      <c r="B244" s="4" t="str">
        <f t="shared" si="18"/>
        <v>31</v>
      </c>
      <c r="C244" s="4" t="str">
        <f t="shared" si="19"/>
        <v>08</v>
      </c>
      <c r="D244" s="4" t="str">
        <f t="shared" si="20"/>
        <v>2019</v>
      </c>
      <c r="E244" s="3" t="str">
        <f t="shared" si="21"/>
        <v>Saturday</v>
      </c>
      <c r="F244" s="4" t="str">
        <f t="shared" si="22"/>
        <v>N</v>
      </c>
      <c r="G244" s="4" t="str">
        <f>IF(COUNTIF(PublicHols[Date], A244)&gt;0, "Y", "N")</f>
        <v>N</v>
      </c>
      <c r="H244" s="3" t="str">
        <f>IFERROR(_xlfn.XLOOKUP(A244, PublicHols[Date], PublicHols[PH_Name]),"")</f>
        <v/>
      </c>
      <c r="I244" s="4" t="str">
        <f>IF(COUNTIF(EventsAll[Date], A244)&gt;0, "Y", "N")</f>
        <v>N</v>
      </c>
      <c r="J244" s="11" t="str">
        <f>IFERROR(_xlfn.XLOOKUP(A244, EventsAll[Date], EventsAll[Event]),"")</f>
        <v/>
      </c>
      <c r="K244" s="4" t="str" cm="1">
        <f t="array" ref="K244">IF(SUMPRODUCT((A244&gt;=SchoolHols[Start])*(A244&lt;=SchoolHols[End]))&gt;0,"Y","N")</f>
        <v>N</v>
      </c>
    </row>
    <row r="245" spans="1:11">
      <c r="A245" s="6">
        <f t="shared" si="23"/>
        <v>43709</v>
      </c>
      <c r="B245" s="4" t="str">
        <f t="shared" si="18"/>
        <v>01</v>
      </c>
      <c r="C245" s="4" t="str">
        <f t="shared" si="19"/>
        <v>09</v>
      </c>
      <c r="D245" s="4" t="str">
        <f t="shared" si="20"/>
        <v>2019</v>
      </c>
      <c r="E245" s="3" t="str">
        <f t="shared" si="21"/>
        <v>Sunday</v>
      </c>
      <c r="F245" s="4" t="str">
        <f t="shared" si="22"/>
        <v>Y</v>
      </c>
      <c r="G245" s="4" t="str">
        <f>IF(COUNTIF(PublicHols[Date], A245)&gt;0, "Y", "N")</f>
        <v>N</v>
      </c>
      <c r="H245" s="3" t="str">
        <f>IFERROR(_xlfn.XLOOKUP(A245, PublicHols[Date], PublicHols[PH_Name]),"")</f>
        <v/>
      </c>
      <c r="I245" s="4" t="str">
        <f>IF(COUNTIF(EventsAll[Date], A245)&gt;0, "Y", "N")</f>
        <v>Y</v>
      </c>
      <c r="J245" s="11" t="str">
        <f>IFERROR(_xlfn.XLOOKUP(A245, EventsAll[Date], EventsAll[Event]),"")</f>
        <v xml:space="preserve"> Spring Day</v>
      </c>
      <c r="K245" s="4" t="str" cm="1">
        <f t="array" ref="K245">IF(SUMPRODUCT((A245&gt;=SchoolHols[Start])*(A245&lt;=SchoolHols[End]))&gt;0,"Y","N")</f>
        <v>N</v>
      </c>
    </row>
    <row r="246" spans="1:11">
      <c r="A246" s="6">
        <f t="shared" si="23"/>
        <v>43710</v>
      </c>
      <c r="B246" s="4" t="str">
        <f t="shared" si="18"/>
        <v>02</v>
      </c>
      <c r="C246" s="4" t="str">
        <f t="shared" si="19"/>
        <v>09</v>
      </c>
      <c r="D246" s="4" t="str">
        <f t="shared" si="20"/>
        <v>2019</v>
      </c>
      <c r="E246" s="3" t="str">
        <f t="shared" si="21"/>
        <v>Monday</v>
      </c>
      <c r="F246" s="4" t="str">
        <f t="shared" si="22"/>
        <v>N</v>
      </c>
      <c r="G246" s="4" t="str">
        <f>IF(COUNTIF(PublicHols[Date], A246)&gt;0, "Y", "N")</f>
        <v>N</v>
      </c>
      <c r="H246" s="3" t="str">
        <f>IFERROR(_xlfn.XLOOKUP(A246, PublicHols[Date], PublicHols[PH_Name]),"")</f>
        <v/>
      </c>
      <c r="I246" s="4" t="str">
        <f>IF(COUNTIF(EventsAll[Date], A246)&gt;0, "Y", "N")</f>
        <v>N</v>
      </c>
      <c r="J246" s="11" t="str">
        <f>IFERROR(_xlfn.XLOOKUP(A246, EventsAll[Date], EventsAll[Event]),"")</f>
        <v/>
      </c>
      <c r="K246" s="4" t="str" cm="1">
        <f t="array" ref="K246">IF(SUMPRODUCT((A246&gt;=SchoolHols[Start])*(A246&lt;=SchoolHols[End]))&gt;0,"Y","N")</f>
        <v>N</v>
      </c>
    </row>
    <row r="247" spans="1:11">
      <c r="A247" s="6">
        <f t="shared" si="23"/>
        <v>43711</v>
      </c>
      <c r="B247" s="4" t="str">
        <f t="shared" si="18"/>
        <v>03</v>
      </c>
      <c r="C247" s="4" t="str">
        <f t="shared" si="19"/>
        <v>09</v>
      </c>
      <c r="D247" s="4" t="str">
        <f t="shared" si="20"/>
        <v>2019</v>
      </c>
      <c r="E247" s="3" t="str">
        <f t="shared" si="21"/>
        <v>Tuesday</v>
      </c>
      <c r="F247" s="4" t="str">
        <f t="shared" si="22"/>
        <v>N</v>
      </c>
      <c r="G247" s="4" t="str">
        <f>IF(COUNTIF(PublicHols[Date], A247)&gt;0, "Y", "N")</f>
        <v>N</v>
      </c>
      <c r="H247" s="3" t="str">
        <f>IFERROR(_xlfn.XLOOKUP(A247, PublicHols[Date], PublicHols[PH_Name]),"")</f>
        <v/>
      </c>
      <c r="I247" s="4" t="str">
        <f>IF(COUNTIF(EventsAll[Date], A247)&gt;0, "Y", "N")</f>
        <v>N</v>
      </c>
      <c r="J247" s="11" t="str">
        <f>IFERROR(_xlfn.XLOOKUP(A247, EventsAll[Date], EventsAll[Event]),"")</f>
        <v/>
      </c>
      <c r="K247" s="4" t="str" cm="1">
        <f t="array" ref="K247">IF(SUMPRODUCT((A247&gt;=SchoolHols[Start])*(A247&lt;=SchoolHols[End]))&gt;0,"Y","N")</f>
        <v>N</v>
      </c>
    </row>
    <row r="248" spans="1:11">
      <c r="A248" s="6">
        <f t="shared" si="23"/>
        <v>43712</v>
      </c>
      <c r="B248" s="4" t="str">
        <f t="shared" si="18"/>
        <v>04</v>
      </c>
      <c r="C248" s="4" t="str">
        <f t="shared" si="19"/>
        <v>09</v>
      </c>
      <c r="D248" s="4" t="str">
        <f t="shared" si="20"/>
        <v>2019</v>
      </c>
      <c r="E248" s="3" t="str">
        <f t="shared" si="21"/>
        <v>Wednesday</v>
      </c>
      <c r="F248" s="4" t="str">
        <f t="shared" si="22"/>
        <v>N</v>
      </c>
      <c r="G248" s="4" t="str">
        <f>IF(COUNTIF(PublicHols[Date], A248)&gt;0, "Y", "N")</f>
        <v>N</v>
      </c>
      <c r="H248" s="3" t="str">
        <f>IFERROR(_xlfn.XLOOKUP(A248, PublicHols[Date], PublicHols[PH_Name]),"")</f>
        <v/>
      </c>
      <c r="I248" s="4" t="str">
        <f>IF(COUNTIF(EventsAll[Date], A248)&gt;0, "Y", "N")</f>
        <v>N</v>
      </c>
      <c r="J248" s="11" t="str">
        <f>IFERROR(_xlfn.XLOOKUP(A248, EventsAll[Date], EventsAll[Event]),"")</f>
        <v/>
      </c>
      <c r="K248" s="4" t="str" cm="1">
        <f t="array" ref="K248">IF(SUMPRODUCT((A248&gt;=SchoolHols[Start])*(A248&lt;=SchoolHols[End]))&gt;0,"Y","N")</f>
        <v>N</v>
      </c>
    </row>
    <row r="249" spans="1:11">
      <c r="A249" s="6">
        <f t="shared" si="23"/>
        <v>43713</v>
      </c>
      <c r="B249" s="4" t="str">
        <f t="shared" si="18"/>
        <v>05</v>
      </c>
      <c r="C249" s="4" t="str">
        <f t="shared" si="19"/>
        <v>09</v>
      </c>
      <c r="D249" s="4" t="str">
        <f t="shared" si="20"/>
        <v>2019</v>
      </c>
      <c r="E249" s="3" t="str">
        <f t="shared" si="21"/>
        <v>Thursday</v>
      </c>
      <c r="F249" s="4" t="str">
        <f t="shared" si="22"/>
        <v>N</v>
      </c>
      <c r="G249" s="4" t="str">
        <f>IF(COUNTIF(PublicHols[Date], A249)&gt;0, "Y", "N")</f>
        <v>N</v>
      </c>
      <c r="H249" s="3" t="str">
        <f>IFERROR(_xlfn.XLOOKUP(A249, PublicHols[Date], PublicHols[PH_Name]),"")</f>
        <v/>
      </c>
      <c r="I249" s="4" t="str">
        <f>IF(COUNTIF(EventsAll[Date], A249)&gt;0, "Y", "N")</f>
        <v>N</v>
      </c>
      <c r="J249" s="11" t="str">
        <f>IFERROR(_xlfn.XLOOKUP(A249, EventsAll[Date], EventsAll[Event]),"")</f>
        <v/>
      </c>
      <c r="K249" s="4" t="str" cm="1">
        <f t="array" ref="K249">IF(SUMPRODUCT((A249&gt;=SchoolHols[Start])*(A249&lt;=SchoolHols[End]))&gt;0,"Y","N")</f>
        <v>N</v>
      </c>
    </row>
    <row r="250" spans="1:11">
      <c r="A250" s="6">
        <f t="shared" si="23"/>
        <v>43714</v>
      </c>
      <c r="B250" s="4" t="str">
        <f t="shared" si="18"/>
        <v>06</v>
      </c>
      <c r="C250" s="4" t="str">
        <f t="shared" si="19"/>
        <v>09</v>
      </c>
      <c r="D250" s="4" t="str">
        <f t="shared" si="20"/>
        <v>2019</v>
      </c>
      <c r="E250" s="3" t="str">
        <f t="shared" si="21"/>
        <v>Friday</v>
      </c>
      <c r="F250" s="4" t="str">
        <f t="shared" si="22"/>
        <v>N</v>
      </c>
      <c r="G250" s="4" t="str">
        <f>IF(COUNTIF(PublicHols[Date], A250)&gt;0, "Y", "N")</f>
        <v>N</v>
      </c>
      <c r="H250" s="3" t="str">
        <f>IFERROR(_xlfn.XLOOKUP(A250, PublicHols[Date], PublicHols[PH_Name]),"")</f>
        <v/>
      </c>
      <c r="I250" s="4" t="str">
        <f>IF(COUNTIF(EventsAll[Date], A250)&gt;0, "Y", "N")</f>
        <v>N</v>
      </c>
      <c r="J250" s="11" t="str">
        <f>IFERROR(_xlfn.XLOOKUP(A250, EventsAll[Date], EventsAll[Event]),"")</f>
        <v/>
      </c>
      <c r="K250" s="4" t="str" cm="1">
        <f t="array" ref="K250">IF(SUMPRODUCT((A250&gt;=SchoolHols[Start])*(A250&lt;=SchoolHols[End]))&gt;0,"Y","N")</f>
        <v>N</v>
      </c>
    </row>
    <row r="251" spans="1:11">
      <c r="A251" s="6">
        <f t="shared" si="23"/>
        <v>43715</v>
      </c>
      <c r="B251" s="4" t="str">
        <f t="shared" si="18"/>
        <v>07</v>
      </c>
      <c r="C251" s="4" t="str">
        <f t="shared" si="19"/>
        <v>09</v>
      </c>
      <c r="D251" s="4" t="str">
        <f t="shared" si="20"/>
        <v>2019</v>
      </c>
      <c r="E251" s="3" t="str">
        <f t="shared" si="21"/>
        <v>Saturday</v>
      </c>
      <c r="F251" s="4" t="str">
        <f t="shared" si="22"/>
        <v>N</v>
      </c>
      <c r="G251" s="4" t="str">
        <f>IF(COUNTIF(PublicHols[Date], A251)&gt;0, "Y", "N")</f>
        <v>N</v>
      </c>
      <c r="H251" s="3" t="str">
        <f>IFERROR(_xlfn.XLOOKUP(A251, PublicHols[Date], PublicHols[PH_Name]),"")</f>
        <v/>
      </c>
      <c r="I251" s="4" t="str">
        <f>IF(COUNTIF(EventsAll[Date], A251)&gt;0, "Y", "N")</f>
        <v>N</v>
      </c>
      <c r="J251" s="11" t="str">
        <f>IFERROR(_xlfn.XLOOKUP(A251, EventsAll[Date], EventsAll[Event]),"")</f>
        <v/>
      </c>
      <c r="K251" s="4" t="str" cm="1">
        <f t="array" ref="K251">IF(SUMPRODUCT((A251&gt;=SchoolHols[Start])*(A251&lt;=SchoolHols[End]))&gt;0,"Y","N")</f>
        <v>N</v>
      </c>
    </row>
    <row r="252" spans="1:11">
      <c r="A252" s="6">
        <f t="shared" si="23"/>
        <v>43716</v>
      </c>
      <c r="B252" s="4" t="str">
        <f t="shared" si="18"/>
        <v>08</v>
      </c>
      <c r="C252" s="4" t="str">
        <f t="shared" si="19"/>
        <v>09</v>
      </c>
      <c r="D252" s="4" t="str">
        <f t="shared" si="20"/>
        <v>2019</v>
      </c>
      <c r="E252" s="3" t="str">
        <f t="shared" si="21"/>
        <v>Sunday</v>
      </c>
      <c r="F252" s="4" t="str">
        <f t="shared" si="22"/>
        <v>Y</v>
      </c>
      <c r="G252" s="4" t="str">
        <f>IF(COUNTIF(PublicHols[Date], A252)&gt;0, "Y", "N")</f>
        <v>N</v>
      </c>
      <c r="H252" s="3" t="str">
        <f>IFERROR(_xlfn.XLOOKUP(A252, PublicHols[Date], PublicHols[PH_Name]),"")</f>
        <v/>
      </c>
      <c r="I252" s="4" t="str">
        <f>IF(COUNTIF(EventsAll[Date], A252)&gt;0, "Y", "N")</f>
        <v>N</v>
      </c>
      <c r="J252" s="11" t="str">
        <f>IFERROR(_xlfn.XLOOKUP(A252, EventsAll[Date], EventsAll[Event]),"")</f>
        <v/>
      </c>
      <c r="K252" s="4" t="str" cm="1">
        <f t="array" ref="K252">IF(SUMPRODUCT((A252&gt;=SchoolHols[Start])*(A252&lt;=SchoolHols[End]))&gt;0,"Y","N")</f>
        <v>N</v>
      </c>
    </row>
    <row r="253" spans="1:11">
      <c r="A253" s="6">
        <f t="shared" si="23"/>
        <v>43717</v>
      </c>
      <c r="B253" s="4" t="str">
        <f t="shared" si="18"/>
        <v>09</v>
      </c>
      <c r="C253" s="4" t="str">
        <f t="shared" si="19"/>
        <v>09</v>
      </c>
      <c r="D253" s="4" t="str">
        <f t="shared" si="20"/>
        <v>2019</v>
      </c>
      <c r="E253" s="3" t="str">
        <f t="shared" si="21"/>
        <v>Monday</v>
      </c>
      <c r="F253" s="4" t="str">
        <f t="shared" si="22"/>
        <v>N</v>
      </c>
      <c r="G253" s="4" t="str">
        <f>IF(COUNTIF(PublicHols[Date], A253)&gt;0, "Y", "N")</f>
        <v>N</v>
      </c>
      <c r="H253" s="3" t="str">
        <f>IFERROR(_xlfn.XLOOKUP(A253, PublicHols[Date], PublicHols[PH_Name]),"")</f>
        <v/>
      </c>
      <c r="I253" s="4" t="str">
        <f>IF(COUNTIF(EventsAll[Date], A253)&gt;0, "Y", "N")</f>
        <v>N</v>
      </c>
      <c r="J253" s="11" t="str">
        <f>IFERROR(_xlfn.XLOOKUP(A253, EventsAll[Date], EventsAll[Event]),"")</f>
        <v/>
      </c>
      <c r="K253" s="4" t="str" cm="1">
        <f t="array" ref="K253">IF(SUMPRODUCT((A253&gt;=SchoolHols[Start])*(A253&lt;=SchoolHols[End]))&gt;0,"Y","N")</f>
        <v>N</v>
      </c>
    </row>
    <row r="254" spans="1:11">
      <c r="A254" s="6">
        <f t="shared" si="23"/>
        <v>43718</v>
      </c>
      <c r="B254" s="4" t="str">
        <f t="shared" si="18"/>
        <v>10</v>
      </c>
      <c r="C254" s="4" t="str">
        <f t="shared" si="19"/>
        <v>09</v>
      </c>
      <c r="D254" s="4" t="str">
        <f t="shared" si="20"/>
        <v>2019</v>
      </c>
      <c r="E254" s="3" t="str">
        <f t="shared" si="21"/>
        <v>Tuesday</v>
      </c>
      <c r="F254" s="4" t="str">
        <f t="shared" si="22"/>
        <v>N</v>
      </c>
      <c r="G254" s="4" t="str">
        <f>IF(COUNTIF(PublicHols[Date], A254)&gt;0, "Y", "N")</f>
        <v>N</v>
      </c>
      <c r="H254" s="3" t="str">
        <f>IFERROR(_xlfn.XLOOKUP(A254, PublicHols[Date], PublicHols[PH_Name]),"")</f>
        <v/>
      </c>
      <c r="I254" s="4" t="str">
        <f>IF(COUNTIF(EventsAll[Date], A254)&gt;0, "Y", "N")</f>
        <v>N</v>
      </c>
      <c r="J254" s="11" t="str">
        <f>IFERROR(_xlfn.XLOOKUP(A254, EventsAll[Date], EventsAll[Event]),"")</f>
        <v/>
      </c>
      <c r="K254" s="4" t="str" cm="1">
        <f t="array" ref="K254">IF(SUMPRODUCT((A254&gt;=SchoolHols[Start])*(A254&lt;=SchoolHols[End]))&gt;0,"Y","N")</f>
        <v>N</v>
      </c>
    </row>
    <row r="255" spans="1:11">
      <c r="A255" s="6">
        <f t="shared" si="23"/>
        <v>43719</v>
      </c>
      <c r="B255" s="4" t="str">
        <f t="shared" si="18"/>
        <v>11</v>
      </c>
      <c r="C255" s="4" t="str">
        <f t="shared" si="19"/>
        <v>09</v>
      </c>
      <c r="D255" s="4" t="str">
        <f t="shared" si="20"/>
        <v>2019</v>
      </c>
      <c r="E255" s="3" t="str">
        <f t="shared" si="21"/>
        <v>Wednesday</v>
      </c>
      <c r="F255" s="4" t="str">
        <f t="shared" si="22"/>
        <v>N</v>
      </c>
      <c r="G255" s="4" t="str">
        <f>IF(COUNTIF(PublicHols[Date], A255)&gt;0, "Y", "N")</f>
        <v>N</v>
      </c>
      <c r="H255" s="3" t="str">
        <f>IFERROR(_xlfn.XLOOKUP(A255, PublicHols[Date], PublicHols[PH_Name]),"")</f>
        <v/>
      </c>
      <c r="I255" s="4" t="str">
        <f>IF(COUNTIF(EventsAll[Date], A255)&gt;0, "Y", "N")</f>
        <v>N</v>
      </c>
      <c r="J255" s="11" t="str">
        <f>IFERROR(_xlfn.XLOOKUP(A255, EventsAll[Date], EventsAll[Event]),"")</f>
        <v/>
      </c>
      <c r="K255" s="4" t="str" cm="1">
        <f t="array" ref="K255">IF(SUMPRODUCT((A255&gt;=SchoolHols[Start])*(A255&lt;=SchoolHols[End]))&gt;0,"Y","N")</f>
        <v>N</v>
      </c>
    </row>
    <row r="256" spans="1:11">
      <c r="A256" s="6">
        <f t="shared" si="23"/>
        <v>43720</v>
      </c>
      <c r="B256" s="4" t="str">
        <f t="shared" si="18"/>
        <v>12</v>
      </c>
      <c r="C256" s="4" t="str">
        <f t="shared" si="19"/>
        <v>09</v>
      </c>
      <c r="D256" s="4" t="str">
        <f t="shared" si="20"/>
        <v>2019</v>
      </c>
      <c r="E256" s="3" t="str">
        <f t="shared" si="21"/>
        <v>Thursday</v>
      </c>
      <c r="F256" s="4" t="str">
        <f t="shared" si="22"/>
        <v>N</v>
      </c>
      <c r="G256" s="4" t="str">
        <f>IF(COUNTIF(PublicHols[Date], A256)&gt;0, "Y", "N")</f>
        <v>N</v>
      </c>
      <c r="H256" s="3" t="str">
        <f>IFERROR(_xlfn.XLOOKUP(A256, PublicHols[Date], PublicHols[PH_Name]),"")</f>
        <v/>
      </c>
      <c r="I256" s="4" t="str">
        <f>IF(COUNTIF(EventsAll[Date], A256)&gt;0, "Y", "N")</f>
        <v>N</v>
      </c>
      <c r="J256" s="11" t="str">
        <f>IFERROR(_xlfn.XLOOKUP(A256, EventsAll[Date], EventsAll[Event]),"")</f>
        <v/>
      </c>
      <c r="K256" s="4" t="str" cm="1">
        <f t="array" ref="K256">IF(SUMPRODUCT((A256&gt;=SchoolHols[Start])*(A256&lt;=SchoolHols[End]))&gt;0,"Y","N")</f>
        <v>N</v>
      </c>
    </row>
    <row r="257" spans="1:11">
      <c r="A257" s="6">
        <f t="shared" si="23"/>
        <v>43721</v>
      </c>
      <c r="B257" s="4" t="str">
        <f t="shared" si="18"/>
        <v>13</v>
      </c>
      <c r="C257" s="4" t="str">
        <f t="shared" si="19"/>
        <v>09</v>
      </c>
      <c r="D257" s="4" t="str">
        <f t="shared" si="20"/>
        <v>2019</v>
      </c>
      <c r="E257" s="3" t="str">
        <f t="shared" si="21"/>
        <v>Friday</v>
      </c>
      <c r="F257" s="4" t="str">
        <f t="shared" si="22"/>
        <v>N</v>
      </c>
      <c r="G257" s="4" t="str">
        <f>IF(COUNTIF(PublicHols[Date], A257)&gt;0, "Y", "N")</f>
        <v>N</v>
      </c>
      <c r="H257" s="3" t="str">
        <f>IFERROR(_xlfn.XLOOKUP(A257, PublicHols[Date], PublicHols[PH_Name]),"")</f>
        <v/>
      </c>
      <c r="I257" s="4" t="str">
        <f>IF(COUNTIF(EventsAll[Date], A257)&gt;0, "Y", "N")</f>
        <v>N</v>
      </c>
      <c r="J257" s="11" t="str">
        <f>IFERROR(_xlfn.XLOOKUP(A257, EventsAll[Date], EventsAll[Event]),"")</f>
        <v/>
      </c>
      <c r="K257" s="4" t="str" cm="1">
        <f t="array" ref="K257">IF(SUMPRODUCT((A257&gt;=SchoolHols[Start])*(A257&lt;=SchoolHols[End]))&gt;0,"Y","N")</f>
        <v>N</v>
      </c>
    </row>
    <row r="258" spans="1:11">
      <c r="A258" s="6">
        <f t="shared" si="23"/>
        <v>43722</v>
      </c>
      <c r="B258" s="4" t="str">
        <f t="shared" si="18"/>
        <v>14</v>
      </c>
      <c r="C258" s="4" t="str">
        <f t="shared" si="19"/>
        <v>09</v>
      </c>
      <c r="D258" s="4" t="str">
        <f t="shared" si="20"/>
        <v>2019</v>
      </c>
      <c r="E258" s="3" t="str">
        <f t="shared" si="21"/>
        <v>Saturday</v>
      </c>
      <c r="F258" s="4" t="str">
        <f t="shared" si="22"/>
        <v>N</v>
      </c>
      <c r="G258" s="4" t="str">
        <f>IF(COUNTIF(PublicHols[Date], A258)&gt;0, "Y", "N")</f>
        <v>N</v>
      </c>
      <c r="H258" s="3" t="str">
        <f>IFERROR(_xlfn.XLOOKUP(A258, PublicHols[Date], PublicHols[PH_Name]),"")</f>
        <v/>
      </c>
      <c r="I258" s="4" t="str">
        <f>IF(COUNTIF(EventsAll[Date], A258)&gt;0, "Y", "N")</f>
        <v>N</v>
      </c>
      <c r="J258" s="11" t="str">
        <f>IFERROR(_xlfn.XLOOKUP(A258, EventsAll[Date], EventsAll[Event]),"")</f>
        <v/>
      </c>
      <c r="K258" s="4" t="str" cm="1">
        <f t="array" ref="K258">IF(SUMPRODUCT((A258&gt;=SchoolHols[Start])*(A258&lt;=SchoolHols[End]))&gt;0,"Y","N")</f>
        <v>N</v>
      </c>
    </row>
    <row r="259" spans="1:11">
      <c r="A259" s="6">
        <f t="shared" si="23"/>
        <v>43723</v>
      </c>
      <c r="B259" s="4" t="str">
        <f t="shared" ref="B259:B322" si="24">TEXT($A259, "dd")</f>
        <v>15</v>
      </c>
      <c r="C259" s="4" t="str">
        <f t="shared" ref="C259:C322" si="25">TEXT($A259, "mm")</f>
        <v>09</v>
      </c>
      <c r="D259" s="4" t="str">
        <f t="shared" ref="D259:D322" si="26">TEXT($A259, "yyyy")</f>
        <v>2019</v>
      </c>
      <c r="E259" s="3" t="str">
        <f t="shared" ref="E259:E322" si="27">TEXT($A259, "dddd")</f>
        <v>Sunday</v>
      </c>
      <c r="F259" s="4" t="str">
        <f t="shared" ref="F259:F322" si="28">IF($E259="Sunday", "Y", "N")</f>
        <v>Y</v>
      </c>
      <c r="G259" s="4" t="str">
        <f>IF(COUNTIF(PublicHols[Date], A259)&gt;0, "Y", "N")</f>
        <v>N</v>
      </c>
      <c r="H259" s="3" t="str">
        <f>IFERROR(_xlfn.XLOOKUP(A259, PublicHols[Date], PublicHols[PH_Name]),"")</f>
        <v/>
      </c>
      <c r="I259" s="4" t="str">
        <f>IF(COUNTIF(EventsAll[Date], A259)&gt;0, "Y", "N")</f>
        <v>N</v>
      </c>
      <c r="J259" s="11" t="str">
        <f>IFERROR(_xlfn.XLOOKUP(A259, EventsAll[Date], EventsAll[Event]),"")</f>
        <v/>
      </c>
      <c r="K259" s="4" t="str" cm="1">
        <f t="array" ref="K259">IF(SUMPRODUCT((A259&gt;=SchoolHols[Start])*(A259&lt;=SchoolHols[End]))&gt;0,"Y","N")</f>
        <v>N</v>
      </c>
    </row>
    <row r="260" spans="1:11">
      <c r="A260" s="6">
        <f t="shared" ref="A260:A323" si="29">$A259+1</f>
        <v>43724</v>
      </c>
      <c r="B260" s="4" t="str">
        <f t="shared" si="24"/>
        <v>16</v>
      </c>
      <c r="C260" s="4" t="str">
        <f t="shared" si="25"/>
        <v>09</v>
      </c>
      <c r="D260" s="4" t="str">
        <f t="shared" si="26"/>
        <v>2019</v>
      </c>
      <c r="E260" s="3" t="str">
        <f t="shared" si="27"/>
        <v>Monday</v>
      </c>
      <c r="F260" s="4" t="str">
        <f t="shared" si="28"/>
        <v>N</v>
      </c>
      <c r="G260" s="4" t="str">
        <f>IF(COUNTIF(PublicHols[Date], A260)&gt;0, "Y", "N")</f>
        <v>N</v>
      </c>
      <c r="H260" s="3" t="str">
        <f>IFERROR(_xlfn.XLOOKUP(A260, PublicHols[Date], PublicHols[PH_Name]),"")</f>
        <v/>
      </c>
      <c r="I260" s="4" t="str">
        <f>IF(COUNTIF(EventsAll[Date], A260)&gt;0, "Y", "N")</f>
        <v>N</v>
      </c>
      <c r="J260" s="11" t="str">
        <f>IFERROR(_xlfn.XLOOKUP(A260, EventsAll[Date], EventsAll[Event]),"")</f>
        <v/>
      </c>
      <c r="K260" s="4" t="str" cm="1">
        <f t="array" ref="K260">IF(SUMPRODUCT((A260&gt;=SchoolHols[Start])*(A260&lt;=SchoolHols[End]))&gt;0,"Y","N")</f>
        <v>N</v>
      </c>
    </row>
    <row r="261" spans="1:11">
      <c r="A261" s="6">
        <f t="shared" si="29"/>
        <v>43725</v>
      </c>
      <c r="B261" s="4" t="str">
        <f t="shared" si="24"/>
        <v>17</v>
      </c>
      <c r="C261" s="4" t="str">
        <f t="shared" si="25"/>
        <v>09</v>
      </c>
      <c r="D261" s="4" t="str">
        <f t="shared" si="26"/>
        <v>2019</v>
      </c>
      <c r="E261" s="3" t="str">
        <f t="shared" si="27"/>
        <v>Tuesday</v>
      </c>
      <c r="F261" s="4" t="str">
        <f t="shared" si="28"/>
        <v>N</v>
      </c>
      <c r="G261" s="4" t="str">
        <f>IF(COUNTIF(PublicHols[Date], A261)&gt;0, "Y", "N")</f>
        <v>N</v>
      </c>
      <c r="H261" s="3" t="str">
        <f>IFERROR(_xlfn.XLOOKUP(A261, PublicHols[Date], PublicHols[PH_Name]),"")</f>
        <v/>
      </c>
      <c r="I261" s="4" t="str">
        <f>IF(COUNTIF(EventsAll[Date], A261)&gt;0, "Y", "N")</f>
        <v>N</v>
      </c>
      <c r="J261" s="11" t="str">
        <f>IFERROR(_xlfn.XLOOKUP(A261, EventsAll[Date], EventsAll[Event]),"")</f>
        <v/>
      </c>
      <c r="K261" s="4" t="str" cm="1">
        <f t="array" ref="K261">IF(SUMPRODUCT((A261&gt;=SchoolHols[Start])*(A261&lt;=SchoolHols[End]))&gt;0,"Y","N")</f>
        <v>N</v>
      </c>
    </row>
    <row r="262" spans="1:11">
      <c r="A262" s="6">
        <f t="shared" si="29"/>
        <v>43726</v>
      </c>
      <c r="B262" s="4" t="str">
        <f t="shared" si="24"/>
        <v>18</v>
      </c>
      <c r="C262" s="4" t="str">
        <f t="shared" si="25"/>
        <v>09</v>
      </c>
      <c r="D262" s="4" t="str">
        <f t="shared" si="26"/>
        <v>2019</v>
      </c>
      <c r="E262" s="3" t="str">
        <f t="shared" si="27"/>
        <v>Wednesday</v>
      </c>
      <c r="F262" s="4" t="str">
        <f t="shared" si="28"/>
        <v>N</v>
      </c>
      <c r="G262" s="4" t="str">
        <f>IF(COUNTIF(PublicHols[Date], A262)&gt;0, "Y", "N")</f>
        <v>N</v>
      </c>
      <c r="H262" s="3" t="str">
        <f>IFERROR(_xlfn.XLOOKUP(A262, PublicHols[Date], PublicHols[PH_Name]),"")</f>
        <v/>
      </c>
      <c r="I262" s="4" t="str">
        <f>IF(COUNTIF(EventsAll[Date], A262)&gt;0, "Y", "N")</f>
        <v>N</v>
      </c>
      <c r="J262" s="11" t="str">
        <f>IFERROR(_xlfn.XLOOKUP(A262, EventsAll[Date], EventsAll[Event]),"")</f>
        <v/>
      </c>
      <c r="K262" s="4" t="str" cm="1">
        <f t="array" ref="K262">IF(SUMPRODUCT((A262&gt;=SchoolHols[Start])*(A262&lt;=SchoolHols[End]))&gt;0,"Y","N")</f>
        <v>N</v>
      </c>
    </row>
    <row r="263" spans="1:11">
      <c r="A263" s="6">
        <f t="shared" si="29"/>
        <v>43727</v>
      </c>
      <c r="B263" s="4" t="str">
        <f t="shared" si="24"/>
        <v>19</v>
      </c>
      <c r="C263" s="4" t="str">
        <f t="shared" si="25"/>
        <v>09</v>
      </c>
      <c r="D263" s="4" t="str">
        <f t="shared" si="26"/>
        <v>2019</v>
      </c>
      <c r="E263" s="3" t="str">
        <f t="shared" si="27"/>
        <v>Thursday</v>
      </c>
      <c r="F263" s="4" t="str">
        <f t="shared" si="28"/>
        <v>N</v>
      </c>
      <c r="G263" s="4" t="str">
        <f>IF(COUNTIF(PublicHols[Date], A263)&gt;0, "Y", "N")</f>
        <v>N</v>
      </c>
      <c r="H263" s="3" t="str">
        <f>IFERROR(_xlfn.XLOOKUP(A263, PublicHols[Date], PublicHols[PH_Name]),"")</f>
        <v/>
      </c>
      <c r="I263" s="4" t="str">
        <f>IF(COUNTIF(EventsAll[Date], A263)&gt;0, "Y", "N")</f>
        <v>N</v>
      </c>
      <c r="J263" s="11" t="str">
        <f>IFERROR(_xlfn.XLOOKUP(A263, EventsAll[Date], EventsAll[Event]),"")</f>
        <v/>
      </c>
      <c r="K263" s="4" t="str" cm="1">
        <f t="array" ref="K263">IF(SUMPRODUCT((A263&gt;=SchoolHols[Start])*(A263&lt;=SchoolHols[End]))&gt;0,"Y","N")</f>
        <v>N</v>
      </c>
    </row>
    <row r="264" spans="1:11">
      <c r="A264" s="6">
        <f t="shared" si="29"/>
        <v>43728</v>
      </c>
      <c r="B264" s="4" t="str">
        <f t="shared" si="24"/>
        <v>20</v>
      </c>
      <c r="C264" s="4" t="str">
        <f t="shared" si="25"/>
        <v>09</v>
      </c>
      <c r="D264" s="4" t="str">
        <f t="shared" si="26"/>
        <v>2019</v>
      </c>
      <c r="E264" s="3" t="str">
        <f t="shared" si="27"/>
        <v>Friday</v>
      </c>
      <c r="F264" s="4" t="str">
        <f t="shared" si="28"/>
        <v>N</v>
      </c>
      <c r="G264" s="4" t="str">
        <f>IF(COUNTIF(PublicHols[Date], A264)&gt;0, "Y", "N")</f>
        <v>N</v>
      </c>
      <c r="H264" s="3" t="str">
        <f>IFERROR(_xlfn.XLOOKUP(A264, PublicHols[Date], PublicHols[PH_Name]),"")</f>
        <v/>
      </c>
      <c r="I264" s="4" t="str">
        <f>IF(COUNTIF(EventsAll[Date], A264)&gt;0, "Y", "N")</f>
        <v>N</v>
      </c>
      <c r="J264" s="11" t="str">
        <f>IFERROR(_xlfn.XLOOKUP(A264, EventsAll[Date], EventsAll[Event]),"")</f>
        <v/>
      </c>
      <c r="K264" s="4" t="str" cm="1">
        <f t="array" ref="K264">IF(SUMPRODUCT((A264&gt;=SchoolHols[Start])*(A264&lt;=SchoolHols[End]))&gt;0,"Y","N")</f>
        <v>Y</v>
      </c>
    </row>
    <row r="265" spans="1:11">
      <c r="A265" s="6">
        <f t="shared" si="29"/>
        <v>43729</v>
      </c>
      <c r="B265" s="4" t="str">
        <f t="shared" si="24"/>
        <v>21</v>
      </c>
      <c r="C265" s="4" t="str">
        <f t="shared" si="25"/>
        <v>09</v>
      </c>
      <c r="D265" s="4" t="str">
        <f t="shared" si="26"/>
        <v>2019</v>
      </c>
      <c r="E265" s="3" t="str">
        <f t="shared" si="27"/>
        <v>Saturday</v>
      </c>
      <c r="F265" s="4" t="str">
        <f t="shared" si="28"/>
        <v>N</v>
      </c>
      <c r="G265" s="4" t="str">
        <f>IF(COUNTIF(PublicHols[Date], A265)&gt;0, "Y", "N")</f>
        <v>N</v>
      </c>
      <c r="H265" s="3" t="str">
        <f>IFERROR(_xlfn.XLOOKUP(A265, PublicHols[Date], PublicHols[PH_Name]),"")</f>
        <v/>
      </c>
      <c r="I265" s="4" t="str">
        <f>IF(COUNTIF(EventsAll[Date], A265)&gt;0, "Y", "N")</f>
        <v>N</v>
      </c>
      <c r="J265" s="11" t="str">
        <f>IFERROR(_xlfn.XLOOKUP(A265, EventsAll[Date], EventsAll[Event]),"")</f>
        <v/>
      </c>
      <c r="K265" s="4" t="str" cm="1">
        <f t="array" ref="K265">IF(SUMPRODUCT((A265&gt;=SchoolHols[Start])*(A265&lt;=SchoolHols[End]))&gt;0,"Y","N")</f>
        <v>Y</v>
      </c>
    </row>
    <row r="266" spans="1:11">
      <c r="A266" s="6">
        <f t="shared" si="29"/>
        <v>43730</v>
      </c>
      <c r="B266" s="4" t="str">
        <f t="shared" si="24"/>
        <v>22</v>
      </c>
      <c r="C266" s="4" t="str">
        <f t="shared" si="25"/>
        <v>09</v>
      </c>
      <c r="D266" s="4" t="str">
        <f t="shared" si="26"/>
        <v>2019</v>
      </c>
      <c r="E266" s="3" t="str">
        <f t="shared" si="27"/>
        <v>Sunday</v>
      </c>
      <c r="F266" s="4" t="str">
        <f t="shared" si="28"/>
        <v>Y</v>
      </c>
      <c r="G266" s="4" t="str">
        <f>IF(COUNTIF(PublicHols[Date], A266)&gt;0, "Y", "N")</f>
        <v>N</v>
      </c>
      <c r="H266" s="3" t="str">
        <f>IFERROR(_xlfn.XLOOKUP(A266, PublicHols[Date], PublicHols[PH_Name]),"")</f>
        <v/>
      </c>
      <c r="I266" s="4" t="str">
        <f>IF(COUNTIF(EventsAll[Date], A266)&gt;0, "Y", "N")</f>
        <v>N</v>
      </c>
      <c r="J266" s="11" t="str">
        <f>IFERROR(_xlfn.XLOOKUP(A266, EventsAll[Date], EventsAll[Event]),"")</f>
        <v/>
      </c>
      <c r="K266" s="4" t="str" cm="1">
        <f t="array" ref="K266">IF(SUMPRODUCT((A266&gt;=SchoolHols[Start])*(A266&lt;=SchoolHols[End]))&gt;0,"Y","N")</f>
        <v>Y</v>
      </c>
    </row>
    <row r="267" spans="1:11">
      <c r="A267" s="6">
        <f t="shared" si="29"/>
        <v>43731</v>
      </c>
      <c r="B267" s="4" t="str">
        <f t="shared" si="24"/>
        <v>23</v>
      </c>
      <c r="C267" s="4" t="str">
        <f t="shared" si="25"/>
        <v>09</v>
      </c>
      <c r="D267" s="4" t="str">
        <f t="shared" si="26"/>
        <v>2019</v>
      </c>
      <c r="E267" s="3" t="str">
        <f t="shared" si="27"/>
        <v>Monday</v>
      </c>
      <c r="F267" s="4" t="str">
        <f t="shared" si="28"/>
        <v>N</v>
      </c>
      <c r="G267" s="4" t="str">
        <f>IF(COUNTIF(PublicHols[Date], A267)&gt;0, "Y", "N")</f>
        <v>N</v>
      </c>
      <c r="H267" s="3" t="str">
        <f>IFERROR(_xlfn.XLOOKUP(A267, PublicHols[Date], PublicHols[PH_Name]),"")</f>
        <v/>
      </c>
      <c r="I267" s="4" t="str">
        <f>IF(COUNTIF(EventsAll[Date], A267)&gt;0, "Y", "N")</f>
        <v>N</v>
      </c>
      <c r="J267" s="11" t="str">
        <f>IFERROR(_xlfn.XLOOKUP(A267, EventsAll[Date], EventsAll[Event]),"")</f>
        <v/>
      </c>
      <c r="K267" s="4" t="str" cm="1">
        <f t="array" ref="K267">IF(SUMPRODUCT((A267&gt;=SchoolHols[Start])*(A267&lt;=SchoolHols[End]))&gt;0,"Y","N")</f>
        <v>Y</v>
      </c>
    </row>
    <row r="268" spans="1:11">
      <c r="A268" s="6">
        <f t="shared" si="29"/>
        <v>43732</v>
      </c>
      <c r="B268" s="4" t="str">
        <f t="shared" si="24"/>
        <v>24</v>
      </c>
      <c r="C268" s="4" t="str">
        <f t="shared" si="25"/>
        <v>09</v>
      </c>
      <c r="D268" s="4" t="str">
        <f t="shared" si="26"/>
        <v>2019</v>
      </c>
      <c r="E268" s="3" t="str">
        <f t="shared" si="27"/>
        <v>Tuesday</v>
      </c>
      <c r="F268" s="4" t="str">
        <f t="shared" si="28"/>
        <v>N</v>
      </c>
      <c r="G268" s="4" t="str">
        <f>IF(COUNTIF(PublicHols[Date], A268)&gt;0, "Y", "N")</f>
        <v>Y</v>
      </c>
      <c r="H268" s="3" t="str">
        <f>IFERROR(_xlfn.XLOOKUP(A268, PublicHols[Date], PublicHols[PH_Name]),"")</f>
        <v>Heritage Day</v>
      </c>
      <c r="I268" s="4" t="str">
        <f>IF(COUNTIF(EventsAll[Date], A268)&gt;0, "Y", "N")</f>
        <v>N</v>
      </c>
      <c r="J268" s="11" t="str">
        <f>IFERROR(_xlfn.XLOOKUP(A268, EventsAll[Date], EventsAll[Event]),"")</f>
        <v/>
      </c>
      <c r="K268" s="4" t="str" cm="1">
        <f t="array" ref="K268">IF(SUMPRODUCT((A268&gt;=SchoolHols[Start])*(A268&lt;=SchoolHols[End]))&gt;0,"Y","N")</f>
        <v>Y</v>
      </c>
    </row>
    <row r="269" spans="1:11">
      <c r="A269" s="6">
        <f t="shared" si="29"/>
        <v>43733</v>
      </c>
      <c r="B269" s="4" t="str">
        <f t="shared" si="24"/>
        <v>25</v>
      </c>
      <c r="C269" s="4" t="str">
        <f t="shared" si="25"/>
        <v>09</v>
      </c>
      <c r="D269" s="4" t="str">
        <f t="shared" si="26"/>
        <v>2019</v>
      </c>
      <c r="E269" s="3" t="str">
        <f t="shared" si="27"/>
        <v>Wednesday</v>
      </c>
      <c r="F269" s="4" t="str">
        <f t="shared" si="28"/>
        <v>N</v>
      </c>
      <c r="G269" s="4" t="str">
        <f>IF(COUNTIF(PublicHols[Date], A269)&gt;0, "Y", "N")</f>
        <v>N</v>
      </c>
      <c r="H269" s="3" t="str">
        <f>IFERROR(_xlfn.XLOOKUP(A269, PublicHols[Date], PublicHols[PH_Name]),"")</f>
        <v/>
      </c>
      <c r="I269" s="4" t="str">
        <f>IF(COUNTIF(EventsAll[Date], A269)&gt;0, "Y", "N")</f>
        <v>N</v>
      </c>
      <c r="J269" s="11" t="str">
        <f>IFERROR(_xlfn.XLOOKUP(A269, EventsAll[Date], EventsAll[Event]),"")</f>
        <v/>
      </c>
      <c r="K269" s="4" t="str" cm="1">
        <f t="array" ref="K269">IF(SUMPRODUCT((A269&gt;=SchoolHols[Start])*(A269&lt;=SchoolHols[End]))&gt;0,"Y","N")</f>
        <v>Y</v>
      </c>
    </row>
    <row r="270" spans="1:11">
      <c r="A270" s="6">
        <f t="shared" si="29"/>
        <v>43734</v>
      </c>
      <c r="B270" s="4" t="str">
        <f t="shared" si="24"/>
        <v>26</v>
      </c>
      <c r="C270" s="4" t="str">
        <f t="shared" si="25"/>
        <v>09</v>
      </c>
      <c r="D270" s="4" t="str">
        <f t="shared" si="26"/>
        <v>2019</v>
      </c>
      <c r="E270" s="3" t="str">
        <f t="shared" si="27"/>
        <v>Thursday</v>
      </c>
      <c r="F270" s="4" t="str">
        <f t="shared" si="28"/>
        <v>N</v>
      </c>
      <c r="G270" s="4" t="str">
        <f>IF(COUNTIF(PublicHols[Date], A270)&gt;0, "Y", "N")</f>
        <v>N</v>
      </c>
      <c r="H270" s="3" t="str">
        <f>IFERROR(_xlfn.XLOOKUP(A270, PublicHols[Date], PublicHols[PH_Name]),"")</f>
        <v/>
      </c>
      <c r="I270" s="4" t="str">
        <f>IF(COUNTIF(EventsAll[Date], A270)&gt;0, "Y", "N")</f>
        <v>N</v>
      </c>
      <c r="J270" s="11" t="str">
        <f>IFERROR(_xlfn.XLOOKUP(A270, EventsAll[Date], EventsAll[Event]),"")</f>
        <v/>
      </c>
      <c r="K270" s="4" t="str" cm="1">
        <f t="array" ref="K270">IF(SUMPRODUCT((A270&gt;=SchoolHols[Start])*(A270&lt;=SchoolHols[End]))&gt;0,"Y","N")</f>
        <v>Y</v>
      </c>
    </row>
    <row r="271" spans="1:11">
      <c r="A271" s="6">
        <f t="shared" si="29"/>
        <v>43735</v>
      </c>
      <c r="B271" s="4" t="str">
        <f t="shared" si="24"/>
        <v>27</v>
      </c>
      <c r="C271" s="4" t="str">
        <f t="shared" si="25"/>
        <v>09</v>
      </c>
      <c r="D271" s="4" t="str">
        <f t="shared" si="26"/>
        <v>2019</v>
      </c>
      <c r="E271" s="3" t="str">
        <f t="shared" si="27"/>
        <v>Friday</v>
      </c>
      <c r="F271" s="4" t="str">
        <f t="shared" si="28"/>
        <v>N</v>
      </c>
      <c r="G271" s="4" t="str">
        <f>IF(COUNTIF(PublicHols[Date], A271)&gt;0, "Y", "N")</f>
        <v>N</v>
      </c>
      <c r="H271" s="3" t="str">
        <f>IFERROR(_xlfn.XLOOKUP(A271, PublicHols[Date], PublicHols[PH_Name]),"")</f>
        <v/>
      </c>
      <c r="I271" s="4" t="str">
        <f>IF(COUNTIF(EventsAll[Date], A271)&gt;0, "Y", "N")</f>
        <v>N</v>
      </c>
      <c r="J271" s="11" t="str">
        <f>IFERROR(_xlfn.XLOOKUP(A271, EventsAll[Date], EventsAll[Event]),"")</f>
        <v/>
      </c>
      <c r="K271" s="4" t="str" cm="1">
        <f t="array" ref="K271">IF(SUMPRODUCT((A271&gt;=SchoolHols[Start])*(A271&lt;=SchoolHols[End]))&gt;0,"Y","N")</f>
        <v>Y</v>
      </c>
    </row>
    <row r="272" spans="1:11">
      <c r="A272" s="6">
        <f t="shared" si="29"/>
        <v>43736</v>
      </c>
      <c r="B272" s="4" t="str">
        <f t="shared" si="24"/>
        <v>28</v>
      </c>
      <c r="C272" s="4" t="str">
        <f t="shared" si="25"/>
        <v>09</v>
      </c>
      <c r="D272" s="4" t="str">
        <f t="shared" si="26"/>
        <v>2019</v>
      </c>
      <c r="E272" s="3" t="str">
        <f t="shared" si="27"/>
        <v>Saturday</v>
      </c>
      <c r="F272" s="4" t="str">
        <f t="shared" si="28"/>
        <v>N</v>
      </c>
      <c r="G272" s="4" t="str">
        <f>IF(COUNTIF(PublicHols[Date], A272)&gt;0, "Y", "N")</f>
        <v>N</v>
      </c>
      <c r="H272" s="3" t="str">
        <f>IFERROR(_xlfn.XLOOKUP(A272, PublicHols[Date], PublicHols[PH_Name]),"")</f>
        <v/>
      </c>
      <c r="I272" s="4" t="str">
        <f>IF(COUNTIF(EventsAll[Date], A272)&gt;0, "Y", "N")</f>
        <v>N</v>
      </c>
      <c r="J272" s="11" t="str">
        <f>IFERROR(_xlfn.XLOOKUP(A272, EventsAll[Date], EventsAll[Event]),"")</f>
        <v/>
      </c>
      <c r="K272" s="4" t="str" cm="1">
        <f t="array" ref="K272">IF(SUMPRODUCT((A272&gt;=SchoolHols[Start])*(A272&lt;=SchoolHols[End]))&gt;0,"Y","N")</f>
        <v>Y</v>
      </c>
    </row>
    <row r="273" spans="1:11">
      <c r="A273" s="6">
        <f t="shared" si="29"/>
        <v>43737</v>
      </c>
      <c r="B273" s="4" t="str">
        <f t="shared" si="24"/>
        <v>29</v>
      </c>
      <c r="C273" s="4" t="str">
        <f t="shared" si="25"/>
        <v>09</v>
      </c>
      <c r="D273" s="4" t="str">
        <f t="shared" si="26"/>
        <v>2019</v>
      </c>
      <c r="E273" s="3" t="str">
        <f t="shared" si="27"/>
        <v>Sunday</v>
      </c>
      <c r="F273" s="4" t="str">
        <f t="shared" si="28"/>
        <v>Y</v>
      </c>
      <c r="G273" s="4" t="str">
        <f>IF(COUNTIF(PublicHols[Date], A273)&gt;0, "Y", "N")</f>
        <v>N</v>
      </c>
      <c r="H273" s="3" t="str">
        <f>IFERROR(_xlfn.XLOOKUP(A273, PublicHols[Date], PublicHols[PH_Name]),"")</f>
        <v/>
      </c>
      <c r="I273" s="4" t="str">
        <f>IF(COUNTIF(EventsAll[Date], A273)&gt;0, "Y", "N")</f>
        <v>N</v>
      </c>
      <c r="J273" s="11" t="str">
        <f>IFERROR(_xlfn.XLOOKUP(A273, EventsAll[Date], EventsAll[Event]),"")</f>
        <v/>
      </c>
      <c r="K273" s="4" t="str" cm="1">
        <f t="array" ref="K273">IF(SUMPRODUCT((A273&gt;=SchoolHols[Start])*(A273&lt;=SchoolHols[End]))&gt;0,"Y","N")</f>
        <v>Y</v>
      </c>
    </row>
    <row r="274" spans="1:11">
      <c r="A274" s="6">
        <f t="shared" si="29"/>
        <v>43738</v>
      </c>
      <c r="B274" s="4" t="str">
        <f t="shared" si="24"/>
        <v>30</v>
      </c>
      <c r="C274" s="4" t="str">
        <f t="shared" si="25"/>
        <v>09</v>
      </c>
      <c r="D274" s="4" t="str">
        <f t="shared" si="26"/>
        <v>2019</v>
      </c>
      <c r="E274" s="3" t="str">
        <f t="shared" si="27"/>
        <v>Monday</v>
      </c>
      <c r="F274" s="4" t="str">
        <f t="shared" si="28"/>
        <v>N</v>
      </c>
      <c r="G274" s="4" t="str">
        <f>IF(COUNTIF(PublicHols[Date], A274)&gt;0, "Y", "N")</f>
        <v>N</v>
      </c>
      <c r="H274" s="3" t="str">
        <f>IFERROR(_xlfn.XLOOKUP(A274, PublicHols[Date], PublicHols[PH_Name]),"")</f>
        <v/>
      </c>
      <c r="I274" s="4" t="str">
        <f>IF(COUNTIF(EventsAll[Date], A274)&gt;0, "Y", "N")</f>
        <v>N</v>
      </c>
      <c r="J274" s="11" t="str">
        <f>IFERROR(_xlfn.XLOOKUP(A274, EventsAll[Date], EventsAll[Event]),"")</f>
        <v/>
      </c>
      <c r="K274" s="4" t="str" cm="1">
        <f t="array" ref="K274">IF(SUMPRODUCT((A274&gt;=SchoolHols[Start])*(A274&lt;=SchoolHols[End]))&gt;0,"Y","N")</f>
        <v>Y</v>
      </c>
    </row>
    <row r="275" spans="1:11">
      <c r="A275" s="6">
        <f t="shared" si="29"/>
        <v>43739</v>
      </c>
      <c r="B275" s="4" t="str">
        <f t="shared" si="24"/>
        <v>01</v>
      </c>
      <c r="C275" s="4" t="str">
        <f t="shared" si="25"/>
        <v>10</v>
      </c>
      <c r="D275" s="4" t="str">
        <f t="shared" si="26"/>
        <v>2019</v>
      </c>
      <c r="E275" s="3" t="str">
        <f t="shared" si="27"/>
        <v>Tuesday</v>
      </c>
      <c r="F275" s="4" t="str">
        <f t="shared" si="28"/>
        <v>N</v>
      </c>
      <c r="G275" s="4" t="str">
        <f>IF(COUNTIF(PublicHols[Date], A275)&gt;0, "Y", "N")</f>
        <v>N</v>
      </c>
      <c r="H275" s="3" t="str">
        <f>IFERROR(_xlfn.XLOOKUP(A275, PublicHols[Date], PublicHols[PH_Name]),"")</f>
        <v/>
      </c>
      <c r="I275" s="4" t="str">
        <f>IF(COUNTIF(EventsAll[Date], A275)&gt;0, "Y", "N")</f>
        <v>Y</v>
      </c>
      <c r="J275" s="11" t="str">
        <f>IFERROR(_xlfn.XLOOKUP(A275, EventsAll[Date], EventsAll[Event]),"")</f>
        <v xml:space="preserve"> Back to School (Term 4)</v>
      </c>
      <c r="K275" s="4" t="str" cm="1">
        <f t="array" ref="K275">IF(SUMPRODUCT((A275&gt;=SchoolHols[Start])*(A275&lt;=SchoolHols[End]))&gt;0,"Y","N")</f>
        <v>N</v>
      </c>
    </row>
    <row r="276" spans="1:11">
      <c r="A276" s="6">
        <f t="shared" si="29"/>
        <v>43740</v>
      </c>
      <c r="B276" s="4" t="str">
        <f t="shared" si="24"/>
        <v>02</v>
      </c>
      <c r="C276" s="4" t="str">
        <f t="shared" si="25"/>
        <v>10</v>
      </c>
      <c r="D276" s="4" t="str">
        <f t="shared" si="26"/>
        <v>2019</v>
      </c>
      <c r="E276" s="3" t="str">
        <f t="shared" si="27"/>
        <v>Wednesday</v>
      </c>
      <c r="F276" s="4" t="str">
        <f t="shared" si="28"/>
        <v>N</v>
      </c>
      <c r="G276" s="4" t="str">
        <f>IF(COUNTIF(PublicHols[Date], A276)&gt;0, "Y", "N")</f>
        <v>N</v>
      </c>
      <c r="H276" s="3" t="str">
        <f>IFERROR(_xlfn.XLOOKUP(A276, PublicHols[Date], PublicHols[PH_Name]),"")</f>
        <v/>
      </c>
      <c r="I276" s="4" t="str">
        <f>IF(COUNTIF(EventsAll[Date], A276)&gt;0, "Y", "N")</f>
        <v>N</v>
      </c>
      <c r="J276" s="11" t="str">
        <f>IFERROR(_xlfn.XLOOKUP(A276, EventsAll[Date], EventsAll[Event]),"")</f>
        <v/>
      </c>
      <c r="K276" s="4" t="str" cm="1">
        <f t="array" ref="K276">IF(SUMPRODUCT((A276&gt;=SchoolHols[Start])*(A276&lt;=SchoolHols[End]))&gt;0,"Y","N")</f>
        <v>N</v>
      </c>
    </row>
    <row r="277" spans="1:11">
      <c r="A277" s="6">
        <f t="shared" si="29"/>
        <v>43741</v>
      </c>
      <c r="B277" s="4" t="str">
        <f t="shared" si="24"/>
        <v>03</v>
      </c>
      <c r="C277" s="4" t="str">
        <f t="shared" si="25"/>
        <v>10</v>
      </c>
      <c r="D277" s="4" t="str">
        <f t="shared" si="26"/>
        <v>2019</v>
      </c>
      <c r="E277" s="3" t="str">
        <f t="shared" si="27"/>
        <v>Thursday</v>
      </c>
      <c r="F277" s="4" t="str">
        <f t="shared" si="28"/>
        <v>N</v>
      </c>
      <c r="G277" s="4" t="str">
        <f>IF(COUNTIF(PublicHols[Date], A277)&gt;0, "Y", "N")</f>
        <v>N</v>
      </c>
      <c r="H277" s="3" t="str">
        <f>IFERROR(_xlfn.XLOOKUP(A277, PublicHols[Date], PublicHols[PH_Name]),"")</f>
        <v/>
      </c>
      <c r="I277" s="4" t="str">
        <f>IF(COUNTIF(EventsAll[Date], A277)&gt;0, "Y", "N")</f>
        <v>N</v>
      </c>
      <c r="J277" s="11" t="str">
        <f>IFERROR(_xlfn.XLOOKUP(A277, EventsAll[Date], EventsAll[Event]),"")</f>
        <v/>
      </c>
      <c r="K277" s="4" t="str" cm="1">
        <f t="array" ref="K277">IF(SUMPRODUCT((A277&gt;=SchoolHols[Start])*(A277&lt;=SchoolHols[End]))&gt;0,"Y","N")</f>
        <v>N</v>
      </c>
    </row>
    <row r="278" spans="1:11">
      <c r="A278" s="6">
        <f t="shared" si="29"/>
        <v>43742</v>
      </c>
      <c r="B278" s="4" t="str">
        <f t="shared" si="24"/>
        <v>04</v>
      </c>
      <c r="C278" s="4" t="str">
        <f t="shared" si="25"/>
        <v>10</v>
      </c>
      <c r="D278" s="4" t="str">
        <f t="shared" si="26"/>
        <v>2019</v>
      </c>
      <c r="E278" s="3" t="str">
        <f t="shared" si="27"/>
        <v>Friday</v>
      </c>
      <c r="F278" s="4" t="str">
        <f t="shared" si="28"/>
        <v>N</v>
      </c>
      <c r="G278" s="4" t="str">
        <f>IF(COUNTIF(PublicHols[Date], A278)&gt;0, "Y", "N")</f>
        <v>N</v>
      </c>
      <c r="H278" s="3" t="str">
        <f>IFERROR(_xlfn.XLOOKUP(A278, PublicHols[Date], PublicHols[PH_Name]),"")</f>
        <v/>
      </c>
      <c r="I278" s="4" t="str">
        <f>IF(COUNTIF(EventsAll[Date], A278)&gt;0, "Y", "N")</f>
        <v>N</v>
      </c>
      <c r="J278" s="11" t="str">
        <f>IFERROR(_xlfn.XLOOKUP(A278, EventsAll[Date], EventsAll[Event]),"")</f>
        <v/>
      </c>
      <c r="K278" s="4" t="str" cm="1">
        <f t="array" ref="K278">IF(SUMPRODUCT((A278&gt;=SchoolHols[Start])*(A278&lt;=SchoolHols[End]))&gt;0,"Y","N")</f>
        <v>N</v>
      </c>
    </row>
    <row r="279" spans="1:11">
      <c r="A279" s="6">
        <f t="shared" si="29"/>
        <v>43743</v>
      </c>
      <c r="B279" s="4" t="str">
        <f t="shared" si="24"/>
        <v>05</v>
      </c>
      <c r="C279" s="4" t="str">
        <f t="shared" si="25"/>
        <v>10</v>
      </c>
      <c r="D279" s="4" t="str">
        <f t="shared" si="26"/>
        <v>2019</v>
      </c>
      <c r="E279" s="3" t="str">
        <f t="shared" si="27"/>
        <v>Saturday</v>
      </c>
      <c r="F279" s="4" t="str">
        <f t="shared" si="28"/>
        <v>N</v>
      </c>
      <c r="G279" s="4" t="str">
        <f>IF(COUNTIF(PublicHols[Date], A279)&gt;0, "Y", "N")</f>
        <v>N</v>
      </c>
      <c r="H279" s="3" t="str">
        <f>IFERROR(_xlfn.XLOOKUP(A279, PublicHols[Date], PublicHols[PH_Name]),"")</f>
        <v/>
      </c>
      <c r="I279" s="4" t="str">
        <f>IF(COUNTIF(EventsAll[Date], A279)&gt;0, "Y", "N")</f>
        <v>N</v>
      </c>
      <c r="J279" s="11" t="str">
        <f>IFERROR(_xlfn.XLOOKUP(A279, EventsAll[Date], EventsAll[Event]),"")</f>
        <v/>
      </c>
      <c r="K279" s="4" t="str" cm="1">
        <f t="array" ref="K279">IF(SUMPRODUCT((A279&gt;=SchoolHols[Start])*(A279&lt;=SchoolHols[End]))&gt;0,"Y","N")</f>
        <v>N</v>
      </c>
    </row>
    <row r="280" spans="1:11">
      <c r="A280" s="6">
        <f t="shared" si="29"/>
        <v>43744</v>
      </c>
      <c r="B280" s="4" t="str">
        <f t="shared" si="24"/>
        <v>06</v>
      </c>
      <c r="C280" s="4" t="str">
        <f t="shared" si="25"/>
        <v>10</v>
      </c>
      <c r="D280" s="4" t="str">
        <f t="shared" si="26"/>
        <v>2019</v>
      </c>
      <c r="E280" s="3" t="str">
        <f t="shared" si="27"/>
        <v>Sunday</v>
      </c>
      <c r="F280" s="4" t="str">
        <f t="shared" si="28"/>
        <v>Y</v>
      </c>
      <c r="G280" s="4" t="str">
        <f>IF(COUNTIF(PublicHols[Date], A280)&gt;0, "Y", "N")</f>
        <v>N</v>
      </c>
      <c r="H280" s="3" t="str">
        <f>IFERROR(_xlfn.XLOOKUP(A280, PublicHols[Date], PublicHols[PH_Name]),"")</f>
        <v/>
      </c>
      <c r="I280" s="4" t="str">
        <f>IF(COUNTIF(EventsAll[Date], A280)&gt;0, "Y", "N")</f>
        <v>N</v>
      </c>
      <c r="J280" s="11" t="str">
        <f>IFERROR(_xlfn.XLOOKUP(A280, EventsAll[Date], EventsAll[Event]),"")</f>
        <v/>
      </c>
      <c r="K280" s="4" t="str" cm="1">
        <f t="array" ref="K280">IF(SUMPRODUCT((A280&gt;=SchoolHols[Start])*(A280&lt;=SchoolHols[End]))&gt;0,"Y","N")</f>
        <v>N</v>
      </c>
    </row>
    <row r="281" spans="1:11">
      <c r="A281" s="6">
        <f t="shared" si="29"/>
        <v>43745</v>
      </c>
      <c r="B281" s="4" t="str">
        <f t="shared" si="24"/>
        <v>07</v>
      </c>
      <c r="C281" s="4" t="str">
        <f t="shared" si="25"/>
        <v>10</v>
      </c>
      <c r="D281" s="4" t="str">
        <f t="shared" si="26"/>
        <v>2019</v>
      </c>
      <c r="E281" s="3" t="str">
        <f t="shared" si="27"/>
        <v>Monday</v>
      </c>
      <c r="F281" s="4" t="str">
        <f t="shared" si="28"/>
        <v>N</v>
      </c>
      <c r="G281" s="4" t="str">
        <f>IF(COUNTIF(PublicHols[Date], A281)&gt;0, "Y", "N")</f>
        <v>N</v>
      </c>
      <c r="H281" s="3" t="str">
        <f>IFERROR(_xlfn.XLOOKUP(A281, PublicHols[Date], PublicHols[PH_Name]),"")</f>
        <v/>
      </c>
      <c r="I281" s="4" t="str">
        <f>IF(COUNTIF(EventsAll[Date], A281)&gt;0, "Y", "N")</f>
        <v>N</v>
      </c>
      <c r="J281" s="11" t="str">
        <f>IFERROR(_xlfn.XLOOKUP(A281, EventsAll[Date], EventsAll[Event]),"")</f>
        <v/>
      </c>
      <c r="K281" s="4" t="str" cm="1">
        <f t="array" ref="K281">IF(SUMPRODUCT((A281&gt;=SchoolHols[Start])*(A281&lt;=SchoolHols[End]))&gt;0,"Y","N")</f>
        <v>N</v>
      </c>
    </row>
    <row r="282" spans="1:11">
      <c r="A282" s="6">
        <f t="shared" si="29"/>
        <v>43746</v>
      </c>
      <c r="B282" s="4" t="str">
        <f t="shared" si="24"/>
        <v>08</v>
      </c>
      <c r="C282" s="4" t="str">
        <f t="shared" si="25"/>
        <v>10</v>
      </c>
      <c r="D282" s="4" t="str">
        <f t="shared" si="26"/>
        <v>2019</v>
      </c>
      <c r="E282" s="3" t="str">
        <f t="shared" si="27"/>
        <v>Tuesday</v>
      </c>
      <c r="F282" s="4" t="str">
        <f t="shared" si="28"/>
        <v>N</v>
      </c>
      <c r="G282" s="4" t="str">
        <f>IF(COUNTIF(PublicHols[Date], A282)&gt;0, "Y", "N")</f>
        <v>N</v>
      </c>
      <c r="H282" s="3" t="str">
        <f>IFERROR(_xlfn.XLOOKUP(A282, PublicHols[Date], PublicHols[PH_Name]),"")</f>
        <v/>
      </c>
      <c r="I282" s="4" t="str">
        <f>IF(COUNTIF(EventsAll[Date], A282)&gt;0, "Y", "N")</f>
        <v>N</v>
      </c>
      <c r="J282" s="11" t="str">
        <f>IFERROR(_xlfn.XLOOKUP(A282, EventsAll[Date], EventsAll[Event]),"")</f>
        <v/>
      </c>
      <c r="K282" s="4" t="str" cm="1">
        <f t="array" ref="K282">IF(SUMPRODUCT((A282&gt;=SchoolHols[Start])*(A282&lt;=SchoolHols[End]))&gt;0,"Y","N")</f>
        <v>N</v>
      </c>
    </row>
    <row r="283" spans="1:11">
      <c r="A283" s="6">
        <f t="shared" si="29"/>
        <v>43747</v>
      </c>
      <c r="B283" s="4" t="str">
        <f t="shared" si="24"/>
        <v>09</v>
      </c>
      <c r="C283" s="4" t="str">
        <f t="shared" si="25"/>
        <v>10</v>
      </c>
      <c r="D283" s="4" t="str">
        <f t="shared" si="26"/>
        <v>2019</v>
      </c>
      <c r="E283" s="3" t="str">
        <f t="shared" si="27"/>
        <v>Wednesday</v>
      </c>
      <c r="F283" s="4" t="str">
        <f t="shared" si="28"/>
        <v>N</v>
      </c>
      <c r="G283" s="4" t="str">
        <f>IF(COUNTIF(PublicHols[Date], A283)&gt;0, "Y", "N")</f>
        <v>N</v>
      </c>
      <c r="H283" s="3" t="str">
        <f>IFERROR(_xlfn.XLOOKUP(A283, PublicHols[Date], PublicHols[PH_Name]),"")</f>
        <v/>
      </c>
      <c r="I283" s="4" t="str">
        <f>IF(COUNTIF(EventsAll[Date], A283)&gt;0, "Y", "N")</f>
        <v>N</v>
      </c>
      <c r="J283" s="11" t="str">
        <f>IFERROR(_xlfn.XLOOKUP(A283, EventsAll[Date], EventsAll[Event]),"")</f>
        <v/>
      </c>
      <c r="K283" s="4" t="str" cm="1">
        <f t="array" ref="K283">IF(SUMPRODUCT((A283&gt;=SchoolHols[Start])*(A283&lt;=SchoolHols[End]))&gt;0,"Y","N")</f>
        <v>N</v>
      </c>
    </row>
    <row r="284" spans="1:11">
      <c r="A284" s="6">
        <f t="shared" si="29"/>
        <v>43748</v>
      </c>
      <c r="B284" s="4" t="str">
        <f t="shared" si="24"/>
        <v>10</v>
      </c>
      <c r="C284" s="4" t="str">
        <f t="shared" si="25"/>
        <v>10</v>
      </c>
      <c r="D284" s="4" t="str">
        <f t="shared" si="26"/>
        <v>2019</v>
      </c>
      <c r="E284" s="3" t="str">
        <f t="shared" si="27"/>
        <v>Thursday</v>
      </c>
      <c r="F284" s="4" t="str">
        <f t="shared" si="28"/>
        <v>N</v>
      </c>
      <c r="G284" s="4" t="str">
        <f>IF(COUNTIF(PublicHols[Date], A284)&gt;0, "Y", "N")</f>
        <v>N</v>
      </c>
      <c r="H284" s="3" t="str">
        <f>IFERROR(_xlfn.XLOOKUP(A284, PublicHols[Date], PublicHols[PH_Name]),"")</f>
        <v/>
      </c>
      <c r="I284" s="4" t="str">
        <f>IF(COUNTIF(EventsAll[Date], A284)&gt;0, "Y", "N")</f>
        <v>N</v>
      </c>
      <c r="J284" s="11" t="str">
        <f>IFERROR(_xlfn.XLOOKUP(A284, EventsAll[Date], EventsAll[Event]),"")</f>
        <v/>
      </c>
      <c r="K284" s="4" t="str" cm="1">
        <f t="array" ref="K284">IF(SUMPRODUCT((A284&gt;=SchoolHols[Start])*(A284&lt;=SchoolHols[End]))&gt;0,"Y","N")</f>
        <v>N</v>
      </c>
    </row>
    <row r="285" spans="1:11">
      <c r="A285" s="6">
        <f t="shared" si="29"/>
        <v>43749</v>
      </c>
      <c r="B285" s="4" t="str">
        <f t="shared" si="24"/>
        <v>11</v>
      </c>
      <c r="C285" s="4" t="str">
        <f t="shared" si="25"/>
        <v>10</v>
      </c>
      <c r="D285" s="4" t="str">
        <f t="shared" si="26"/>
        <v>2019</v>
      </c>
      <c r="E285" s="3" t="str">
        <f t="shared" si="27"/>
        <v>Friday</v>
      </c>
      <c r="F285" s="4" t="str">
        <f t="shared" si="28"/>
        <v>N</v>
      </c>
      <c r="G285" s="4" t="str">
        <f>IF(COUNTIF(PublicHols[Date], A285)&gt;0, "Y", "N")</f>
        <v>N</v>
      </c>
      <c r="H285" s="3" t="str">
        <f>IFERROR(_xlfn.XLOOKUP(A285, PublicHols[Date], PublicHols[PH_Name]),"")</f>
        <v/>
      </c>
      <c r="I285" s="4" t="str">
        <f>IF(COUNTIF(EventsAll[Date], A285)&gt;0, "Y", "N")</f>
        <v>N</v>
      </c>
      <c r="J285" s="11" t="str">
        <f>IFERROR(_xlfn.XLOOKUP(A285, EventsAll[Date], EventsAll[Event]),"")</f>
        <v/>
      </c>
      <c r="K285" s="4" t="str" cm="1">
        <f t="array" ref="K285">IF(SUMPRODUCT((A285&gt;=SchoolHols[Start])*(A285&lt;=SchoolHols[End]))&gt;0,"Y","N")</f>
        <v>N</v>
      </c>
    </row>
    <row r="286" spans="1:11">
      <c r="A286" s="6">
        <f t="shared" si="29"/>
        <v>43750</v>
      </c>
      <c r="B286" s="4" t="str">
        <f t="shared" si="24"/>
        <v>12</v>
      </c>
      <c r="C286" s="4" t="str">
        <f t="shared" si="25"/>
        <v>10</v>
      </c>
      <c r="D286" s="4" t="str">
        <f t="shared" si="26"/>
        <v>2019</v>
      </c>
      <c r="E286" s="3" t="str">
        <f t="shared" si="27"/>
        <v>Saturday</v>
      </c>
      <c r="F286" s="4" t="str">
        <f t="shared" si="28"/>
        <v>N</v>
      </c>
      <c r="G286" s="4" t="str">
        <f>IF(COUNTIF(PublicHols[Date], A286)&gt;0, "Y", "N")</f>
        <v>N</v>
      </c>
      <c r="H286" s="3" t="str">
        <f>IFERROR(_xlfn.XLOOKUP(A286, PublicHols[Date], PublicHols[PH_Name]),"")</f>
        <v/>
      </c>
      <c r="I286" s="4" t="str">
        <f>IF(COUNTIF(EventsAll[Date], A286)&gt;0, "Y", "N")</f>
        <v>N</v>
      </c>
      <c r="J286" s="11" t="str">
        <f>IFERROR(_xlfn.XLOOKUP(A286, EventsAll[Date], EventsAll[Event]),"")</f>
        <v/>
      </c>
      <c r="K286" s="4" t="str" cm="1">
        <f t="array" ref="K286">IF(SUMPRODUCT((A286&gt;=SchoolHols[Start])*(A286&lt;=SchoolHols[End]))&gt;0,"Y","N")</f>
        <v>N</v>
      </c>
    </row>
    <row r="287" spans="1:11">
      <c r="A287" s="6">
        <f t="shared" si="29"/>
        <v>43751</v>
      </c>
      <c r="B287" s="4" t="str">
        <f t="shared" si="24"/>
        <v>13</v>
      </c>
      <c r="C287" s="4" t="str">
        <f t="shared" si="25"/>
        <v>10</v>
      </c>
      <c r="D287" s="4" t="str">
        <f t="shared" si="26"/>
        <v>2019</v>
      </c>
      <c r="E287" s="3" t="str">
        <f t="shared" si="27"/>
        <v>Sunday</v>
      </c>
      <c r="F287" s="4" t="str">
        <f t="shared" si="28"/>
        <v>Y</v>
      </c>
      <c r="G287" s="4" t="str">
        <f>IF(COUNTIF(PublicHols[Date], A287)&gt;0, "Y", "N")</f>
        <v>N</v>
      </c>
      <c r="H287" s="3" t="str">
        <f>IFERROR(_xlfn.XLOOKUP(A287, PublicHols[Date], PublicHols[PH_Name]),"")</f>
        <v/>
      </c>
      <c r="I287" s="4" t="str">
        <f>IF(COUNTIF(EventsAll[Date], A287)&gt;0, "Y", "N")</f>
        <v>N</v>
      </c>
      <c r="J287" s="11" t="str">
        <f>IFERROR(_xlfn.XLOOKUP(A287, EventsAll[Date], EventsAll[Event]),"")</f>
        <v/>
      </c>
      <c r="K287" s="4" t="str" cm="1">
        <f t="array" ref="K287">IF(SUMPRODUCT((A287&gt;=SchoolHols[Start])*(A287&lt;=SchoolHols[End]))&gt;0,"Y","N")</f>
        <v>N</v>
      </c>
    </row>
    <row r="288" spans="1:11">
      <c r="A288" s="6">
        <f t="shared" si="29"/>
        <v>43752</v>
      </c>
      <c r="B288" s="4" t="str">
        <f t="shared" si="24"/>
        <v>14</v>
      </c>
      <c r="C288" s="4" t="str">
        <f t="shared" si="25"/>
        <v>10</v>
      </c>
      <c r="D288" s="4" t="str">
        <f t="shared" si="26"/>
        <v>2019</v>
      </c>
      <c r="E288" s="3" t="str">
        <f t="shared" si="27"/>
        <v>Monday</v>
      </c>
      <c r="F288" s="4" t="str">
        <f t="shared" si="28"/>
        <v>N</v>
      </c>
      <c r="G288" s="4" t="str">
        <f>IF(COUNTIF(PublicHols[Date], A288)&gt;0, "Y", "N")</f>
        <v>N</v>
      </c>
      <c r="H288" s="3" t="str">
        <f>IFERROR(_xlfn.XLOOKUP(A288, PublicHols[Date], PublicHols[PH_Name]),"")</f>
        <v/>
      </c>
      <c r="I288" s="4" t="str">
        <f>IF(COUNTIF(EventsAll[Date], A288)&gt;0, "Y", "N")</f>
        <v>N</v>
      </c>
      <c r="J288" s="11" t="str">
        <f>IFERROR(_xlfn.XLOOKUP(A288, EventsAll[Date], EventsAll[Event]),"")</f>
        <v/>
      </c>
      <c r="K288" s="4" t="str" cm="1">
        <f t="array" ref="K288">IF(SUMPRODUCT((A288&gt;=SchoolHols[Start])*(A288&lt;=SchoolHols[End]))&gt;0,"Y","N")</f>
        <v>N</v>
      </c>
    </row>
    <row r="289" spans="1:11">
      <c r="A289" s="6">
        <f t="shared" si="29"/>
        <v>43753</v>
      </c>
      <c r="B289" s="4" t="str">
        <f t="shared" si="24"/>
        <v>15</v>
      </c>
      <c r="C289" s="4" t="str">
        <f t="shared" si="25"/>
        <v>10</v>
      </c>
      <c r="D289" s="4" t="str">
        <f t="shared" si="26"/>
        <v>2019</v>
      </c>
      <c r="E289" s="3" t="str">
        <f t="shared" si="27"/>
        <v>Tuesday</v>
      </c>
      <c r="F289" s="4" t="str">
        <f t="shared" si="28"/>
        <v>N</v>
      </c>
      <c r="G289" s="4" t="str">
        <f>IF(COUNTIF(PublicHols[Date], A289)&gt;0, "Y", "N")</f>
        <v>N</v>
      </c>
      <c r="H289" s="3" t="str">
        <f>IFERROR(_xlfn.XLOOKUP(A289, PublicHols[Date], PublicHols[PH_Name]),"")</f>
        <v/>
      </c>
      <c r="I289" s="4" t="str">
        <f>IF(COUNTIF(EventsAll[Date], A289)&gt;0, "Y", "N")</f>
        <v>N</v>
      </c>
      <c r="J289" s="11" t="str">
        <f>IFERROR(_xlfn.XLOOKUP(A289, EventsAll[Date], EventsAll[Event]),"")</f>
        <v/>
      </c>
      <c r="K289" s="4" t="str" cm="1">
        <f t="array" ref="K289">IF(SUMPRODUCT((A289&gt;=SchoolHols[Start])*(A289&lt;=SchoolHols[End]))&gt;0,"Y","N")</f>
        <v>N</v>
      </c>
    </row>
    <row r="290" spans="1:11">
      <c r="A290" s="6">
        <f t="shared" si="29"/>
        <v>43754</v>
      </c>
      <c r="B290" s="4" t="str">
        <f t="shared" si="24"/>
        <v>16</v>
      </c>
      <c r="C290" s="4" t="str">
        <f t="shared" si="25"/>
        <v>10</v>
      </c>
      <c r="D290" s="4" t="str">
        <f t="shared" si="26"/>
        <v>2019</v>
      </c>
      <c r="E290" s="3" t="str">
        <f t="shared" si="27"/>
        <v>Wednesday</v>
      </c>
      <c r="F290" s="4" t="str">
        <f t="shared" si="28"/>
        <v>N</v>
      </c>
      <c r="G290" s="4" t="str">
        <f>IF(COUNTIF(PublicHols[Date], A290)&gt;0, "Y", "N")</f>
        <v>N</v>
      </c>
      <c r="H290" s="3" t="str">
        <f>IFERROR(_xlfn.XLOOKUP(A290, PublicHols[Date], PublicHols[PH_Name]),"")</f>
        <v/>
      </c>
      <c r="I290" s="4" t="str">
        <f>IF(COUNTIF(EventsAll[Date], A290)&gt;0, "Y", "N")</f>
        <v>N</v>
      </c>
      <c r="J290" s="11" t="str">
        <f>IFERROR(_xlfn.XLOOKUP(A290, EventsAll[Date], EventsAll[Event]),"")</f>
        <v/>
      </c>
      <c r="K290" s="4" t="str" cm="1">
        <f t="array" ref="K290">IF(SUMPRODUCT((A290&gt;=SchoolHols[Start])*(A290&lt;=SchoolHols[End]))&gt;0,"Y","N")</f>
        <v>N</v>
      </c>
    </row>
    <row r="291" spans="1:11">
      <c r="A291" s="6">
        <f t="shared" si="29"/>
        <v>43755</v>
      </c>
      <c r="B291" s="4" t="str">
        <f t="shared" si="24"/>
        <v>17</v>
      </c>
      <c r="C291" s="4" t="str">
        <f t="shared" si="25"/>
        <v>10</v>
      </c>
      <c r="D291" s="4" t="str">
        <f t="shared" si="26"/>
        <v>2019</v>
      </c>
      <c r="E291" s="3" t="str">
        <f t="shared" si="27"/>
        <v>Thursday</v>
      </c>
      <c r="F291" s="4" t="str">
        <f t="shared" si="28"/>
        <v>N</v>
      </c>
      <c r="G291" s="4" t="str">
        <f>IF(COUNTIF(PublicHols[Date], A291)&gt;0, "Y", "N")</f>
        <v>N</v>
      </c>
      <c r="H291" s="3" t="str">
        <f>IFERROR(_xlfn.XLOOKUP(A291, PublicHols[Date], PublicHols[PH_Name]),"")</f>
        <v/>
      </c>
      <c r="I291" s="4" t="str">
        <f>IF(COUNTIF(EventsAll[Date], A291)&gt;0, "Y", "N")</f>
        <v>N</v>
      </c>
      <c r="J291" s="11" t="str">
        <f>IFERROR(_xlfn.XLOOKUP(A291, EventsAll[Date], EventsAll[Event]),"")</f>
        <v/>
      </c>
      <c r="K291" s="4" t="str" cm="1">
        <f t="array" ref="K291">IF(SUMPRODUCT((A291&gt;=SchoolHols[Start])*(A291&lt;=SchoolHols[End]))&gt;0,"Y","N")</f>
        <v>N</v>
      </c>
    </row>
    <row r="292" spans="1:11">
      <c r="A292" s="6">
        <f t="shared" si="29"/>
        <v>43756</v>
      </c>
      <c r="B292" s="4" t="str">
        <f t="shared" si="24"/>
        <v>18</v>
      </c>
      <c r="C292" s="4" t="str">
        <f t="shared" si="25"/>
        <v>10</v>
      </c>
      <c r="D292" s="4" t="str">
        <f t="shared" si="26"/>
        <v>2019</v>
      </c>
      <c r="E292" s="3" t="str">
        <f t="shared" si="27"/>
        <v>Friday</v>
      </c>
      <c r="F292" s="4" t="str">
        <f t="shared" si="28"/>
        <v>N</v>
      </c>
      <c r="G292" s="4" t="str">
        <f>IF(COUNTIF(PublicHols[Date], A292)&gt;0, "Y", "N")</f>
        <v>N</v>
      </c>
      <c r="H292" s="3" t="str">
        <f>IFERROR(_xlfn.XLOOKUP(A292, PublicHols[Date], PublicHols[PH_Name]),"")</f>
        <v/>
      </c>
      <c r="I292" s="4" t="str">
        <f>IF(COUNTIF(EventsAll[Date], A292)&gt;0, "Y", "N")</f>
        <v>N</v>
      </c>
      <c r="J292" s="11" t="str">
        <f>IFERROR(_xlfn.XLOOKUP(A292, EventsAll[Date], EventsAll[Event]),"")</f>
        <v/>
      </c>
      <c r="K292" s="4" t="str" cm="1">
        <f t="array" ref="K292">IF(SUMPRODUCT((A292&gt;=SchoolHols[Start])*(A292&lt;=SchoolHols[End]))&gt;0,"Y","N")</f>
        <v>N</v>
      </c>
    </row>
    <row r="293" spans="1:11">
      <c r="A293" s="6">
        <f t="shared" si="29"/>
        <v>43757</v>
      </c>
      <c r="B293" s="4" t="str">
        <f t="shared" si="24"/>
        <v>19</v>
      </c>
      <c r="C293" s="4" t="str">
        <f t="shared" si="25"/>
        <v>10</v>
      </c>
      <c r="D293" s="4" t="str">
        <f t="shared" si="26"/>
        <v>2019</v>
      </c>
      <c r="E293" s="3" t="str">
        <f t="shared" si="27"/>
        <v>Saturday</v>
      </c>
      <c r="F293" s="4" t="str">
        <f t="shared" si="28"/>
        <v>N</v>
      </c>
      <c r="G293" s="4" t="str">
        <f>IF(COUNTIF(PublicHols[Date], A293)&gt;0, "Y", "N")</f>
        <v>N</v>
      </c>
      <c r="H293" s="3" t="str">
        <f>IFERROR(_xlfn.XLOOKUP(A293, PublicHols[Date], PublicHols[PH_Name]),"")</f>
        <v/>
      </c>
      <c r="I293" s="4" t="str">
        <f>IF(COUNTIF(EventsAll[Date], A293)&gt;0, "Y", "N")</f>
        <v>N</v>
      </c>
      <c r="J293" s="11" t="str">
        <f>IFERROR(_xlfn.XLOOKUP(A293, EventsAll[Date], EventsAll[Event]),"")</f>
        <v/>
      </c>
      <c r="K293" s="4" t="str" cm="1">
        <f t="array" ref="K293">IF(SUMPRODUCT((A293&gt;=SchoolHols[Start])*(A293&lt;=SchoolHols[End]))&gt;0,"Y","N")</f>
        <v>N</v>
      </c>
    </row>
    <row r="294" spans="1:11">
      <c r="A294" s="6">
        <f t="shared" si="29"/>
        <v>43758</v>
      </c>
      <c r="B294" s="4" t="str">
        <f t="shared" si="24"/>
        <v>20</v>
      </c>
      <c r="C294" s="4" t="str">
        <f t="shared" si="25"/>
        <v>10</v>
      </c>
      <c r="D294" s="4" t="str">
        <f t="shared" si="26"/>
        <v>2019</v>
      </c>
      <c r="E294" s="3" t="str">
        <f t="shared" si="27"/>
        <v>Sunday</v>
      </c>
      <c r="F294" s="4" t="str">
        <f t="shared" si="28"/>
        <v>Y</v>
      </c>
      <c r="G294" s="4" t="str">
        <f>IF(COUNTIF(PublicHols[Date], A294)&gt;0, "Y", "N")</f>
        <v>N</v>
      </c>
      <c r="H294" s="3" t="str">
        <f>IFERROR(_xlfn.XLOOKUP(A294, PublicHols[Date], PublicHols[PH_Name]),"")</f>
        <v/>
      </c>
      <c r="I294" s="4" t="str">
        <f>IF(COUNTIF(EventsAll[Date], A294)&gt;0, "Y", "N")</f>
        <v>N</v>
      </c>
      <c r="J294" s="11" t="str">
        <f>IFERROR(_xlfn.XLOOKUP(A294, EventsAll[Date], EventsAll[Event]),"")</f>
        <v/>
      </c>
      <c r="K294" s="4" t="str" cm="1">
        <f t="array" ref="K294">IF(SUMPRODUCT((A294&gt;=SchoolHols[Start])*(A294&lt;=SchoolHols[End]))&gt;0,"Y","N")</f>
        <v>N</v>
      </c>
    </row>
    <row r="295" spans="1:11">
      <c r="A295" s="6">
        <f t="shared" si="29"/>
        <v>43759</v>
      </c>
      <c r="B295" s="4" t="str">
        <f t="shared" si="24"/>
        <v>21</v>
      </c>
      <c r="C295" s="4" t="str">
        <f t="shared" si="25"/>
        <v>10</v>
      </c>
      <c r="D295" s="4" t="str">
        <f t="shared" si="26"/>
        <v>2019</v>
      </c>
      <c r="E295" s="3" t="str">
        <f t="shared" si="27"/>
        <v>Monday</v>
      </c>
      <c r="F295" s="4" t="str">
        <f t="shared" si="28"/>
        <v>N</v>
      </c>
      <c r="G295" s="4" t="str">
        <f>IF(COUNTIF(PublicHols[Date], A295)&gt;0, "Y", "N")</f>
        <v>N</v>
      </c>
      <c r="H295" s="3" t="str">
        <f>IFERROR(_xlfn.XLOOKUP(A295, PublicHols[Date], PublicHols[PH_Name]),"")</f>
        <v/>
      </c>
      <c r="I295" s="4" t="str">
        <f>IF(COUNTIF(EventsAll[Date], A295)&gt;0, "Y", "N")</f>
        <v>N</v>
      </c>
      <c r="J295" s="11" t="str">
        <f>IFERROR(_xlfn.XLOOKUP(A295, EventsAll[Date], EventsAll[Event]),"")</f>
        <v/>
      </c>
      <c r="K295" s="4" t="str" cm="1">
        <f t="array" ref="K295">IF(SUMPRODUCT((A295&gt;=SchoolHols[Start])*(A295&lt;=SchoolHols[End]))&gt;0,"Y","N")</f>
        <v>N</v>
      </c>
    </row>
    <row r="296" spans="1:11">
      <c r="A296" s="6">
        <f t="shared" si="29"/>
        <v>43760</v>
      </c>
      <c r="B296" s="4" t="str">
        <f t="shared" si="24"/>
        <v>22</v>
      </c>
      <c r="C296" s="4" t="str">
        <f t="shared" si="25"/>
        <v>10</v>
      </c>
      <c r="D296" s="4" t="str">
        <f t="shared" si="26"/>
        <v>2019</v>
      </c>
      <c r="E296" s="3" t="str">
        <f t="shared" si="27"/>
        <v>Tuesday</v>
      </c>
      <c r="F296" s="4" t="str">
        <f t="shared" si="28"/>
        <v>N</v>
      </c>
      <c r="G296" s="4" t="str">
        <f>IF(COUNTIF(PublicHols[Date], A296)&gt;0, "Y", "N")</f>
        <v>N</v>
      </c>
      <c r="H296" s="3" t="str">
        <f>IFERROR(_xlfn.XLOOKUP(A296, PublicHols[Date], PublicHols[PH_Name]),"")</f>
        <v/>
      </c>
      <c r="I296" s="4" t="str">
        <f>IF(COUNTIF(EventsAll[Date], A296)&gt;0, "Y", "N")</f>
        <v>N</v>
      </c>
      <c r="J296" s="11" t="str">
        <f>IFERROR(_xlfn.XLOOKUP(A296, EventsAll[Date], EventsAll[Event]),"")</f>
        <v/>
      </c>
      <c r="K296" s="4" t="str" cm="1">
        <f t="array" ref="K296">IF(SUMPRODUCT((A296&gt;=SchoolHols[Start])*(A296&lt;=SchoolHols[End]))&gt;0,"Y","N")</f>
        <v>N</v>
      </c>
    </row>
    <row r="297" spans="1:11">
      <c r="A297" s="6">
        <f t="shared" si="29"/>
        <v>43761</v>
      </c>
      <c r="B297" s="4" t="str">
        <f t="shared" si="24"/>
        <v>23</v>
      </c>
      <c r="C297" s="4" t="str">
        <f t="shared" si="25"/>
        <v>10</v>
      </c>
      <c r="D297" s="4" t="str">
        <f t="shared" si="26"/>
        <v>2019</v>
      </c>
      <c r="E297" s="3" t="str">
        <f t="shared" si="27"/>
        <v>Wednesday</v>
      </c>
      <c r="F297" s="4" t="str">
        <f t="shared" si="28"/>
        <v>N</v>
      </c>
      <c r="G297" s="4" t="str">
        <f>IF(COUNTIF(PublicHols[Date], A297)&gt;0, "Y", "N")</f>
        <v>N</v>
      </c>
      <c r="H297" s="3" t="str">
        <f>IFERROR(_xlfn.XLOOKUP(A297, PublicHols[Date], PublicHols[PH_Name]),"")</f>
        <v/>
      </c>
      <c r="I297" s="4" t="str">
        <f>IF(COUNTIF(EventsAll[Date], A297)&gt;0, "Y", "N")</f>
        <v>N</v>
      </c>
      <c r="J297" s="11" t="str">
        <f>IFERROR(_xlfn.XLOOKUP(A297, EventsAll[Date], EventsAll[Event]),"")</f>
        <v/>
      </c>
      <c r="K297" s="4" t="str" cm="1">
        <f t="array" ref="K297">IF(SUMPRODUCT((A297&gt;=SchoolHols[Start])*(A297&lt;=SchoolHols[End]))&gt;0,"Y","N")</f>
        <v>N</v>
      </c>
    </row>
    <row r="298" spans="1:11">
      <c r="A298" s="6">
        <f t="shared" si="29"/>
        <v>43762</v>
      </c>
      <c r="B298" s="4" t="str">
        <f t="shared" si="24"/>
        <v>24</v>
      </c>
      <c r="C298" s="4" t="str">
        <f t="shared" si="25"/>
        <v>10</v>
      </c>
      <c r="D298" s="4" t="str">
        <f t="shared" si="26"/>
        <v>2019</v>
      </c>
      <c r="E298" s="3" t="str">
        <f t="shared" si="27"/>
        <v>Thursday</v>
      </c>
      <c r="F298" s="4" t="str">
        <f t="shared" si="28"/>
        <v>N</v>
      </c>
      <c r="G298" s="4" t="str">
        <f>IF(COUNTIF(PublicHols[Date], A298)&gt;0, "Y", "N")</f>
        <v>N</v>
      </c>
      <c r="H298" s="3" t="str">
        <f>IFERROR(_xlfn.XLOOKUP(A298, PublicHols[Date], PublicHols[PH_Name]),"")</f>
        <v/>
      </c>
      <c r="I298" s="4" t="str">
        <f>IF(COUNTIF(EventsAll[Date], A298)&gt;0, "Y", "N")</f>
        <v>N</v>
      </c>
      <c r="J298" s="11" t="str">
        <f>IFERROR(_xlfn.XLOOKUP(A298, EventsAll[Date], EventsAll[Event]),"")</f>
        <v/>
      </c>
      <c r="K298" s="4" t="str" cm="1">
        <f t="array" ref="K298">IF(SUMPRODUCT((A298&gt;=SchoolHols[Start])*(A298&lt;=SchoolHols[End]))&gt;0,"Y","N")</f>
        <v>N</v>
      </c>
    </row>
    <row r="299" spans="1:11">
      <c r="A299" s="6">
        <f t="shared" si="29"/>
        <v>43763</v>
      </c>
      <c r="B299" s="4" t="str">
        <f t="shared" si="24"/>
        <v>25</v>
      </c>
      <c r="C299" s="4" t="str">
        <f t="shared" si="25"/>
        <v>10</v>
      </c>
      <c r="D299" s="4" t="str">
        <f t="shared" si="26"/>
        <v>2019</v>
      </c>
      <c r="E299" s="3" t="str">
        <f t="shared" si="27"/>
        <v>Friday</v>
      </c>
      <c r="F299" s="4" t="str">
        <f t="shared" si="28"/>
        <v>N</v>
      </c>
      <c r="G299" s="4" t="str">
        <f>IF(COUNTIF(PublicHols[Date], A299)&gt;0, "Y", "N")</f>
        <v>N</v>
      </c>
      <c r="H299" s="3" t="str">
        <f>IFERROR(_xlfn.XLOOKUP(A299, PublicHols[Date], PublicHols[PH_Name]),"")</f>
        <v/>
      </c>
      <c r="I299" s="4" t="str">
        <f>IF(COUNTIF(EventsAll[Date], A299)&gt;0, "Y", "N")</f>
        <v>N</v>
      </c>
      <c r="J299" s="11" t="str">
        <f>IFERROR(_xlfn.XLOOKUP(A299, EventsAll[Date], EventsAll[Event]),"")</f>
        <v/>
      </c>
      <c r="K299" s="4" t="str" cm="1">
        <f t="array" ref="K299">IF(SUMPRODUCT((A299&gt;=SchoolHols[Start])*(A299&lt;=SchoolHols[End]))&gt;0,"Y","N")</f>
        <v>N</v>
      </c>
    </row>
    <row r="300" spans="1:11">
      <c r="A300" s="6">
        <f t="shared" si="29"/>
        <v>43764</v>
      </c>
      <c r="B300" s="4" t="str">
        <f t="shared" si="24"/>
        <v>26</v>
      </c>
      <c r="C300" s="4" t="str">
        <f t="shared" si="25"/>
        <v>10</v>
      </c>
      <c r="D300" s="4" t="str">
        <f t="shared" si="26"/>
        <v>2019</v>
      </c>
      <c r="E300" s="3" t="str">
        <f t="shared" si="27"/>
        <v>Saturday</v>
      </c>
      <c r="F300" s="4" t="str">
        <f t="shared" si="28"/>
        <v>N</v>
      </c>
      <c r="G300" s="4" t="str">
        <f>IF(COUNTIF(PublicHols[Date], A300)&gt;0, "Y", "N")</f>
        <v>N</v>
      </c>
      <c r="H300" s="3" t="str">
        <f>IFERROR(_xlfn.XLOOKUP(A300, PublicHols[Date], PublicHols[PH_Name]),"")</f>
        <v/>
      </c>
      <c r="I300" s="4" t="str">
        <f>IF(COUNTIF(EventsAll[Date], A300)&gt;0, "Y", "N")</f>
        <v>N</v>
      </c>
      <c r="J300" s="11" t="str">
        <f>IFERROR(_xlfn.XLOOKUP(A300, EventsAll[Date], EventsAll[Event]),"")</f>
        <v/>
      </c>
      <c r="K300" s="4" t="str" cm="1">
        <f t="array" ref="K300">IF(SUMPRODUCT((A300&gt;=SchoolHols[Start])*(A300&lt;=SchoolHols[End]))&gt;0,"Y","N")</f>
        <v>N</v>
      </c>
    </row>
    <row r="301" spans="1:11">
      <c r="A301" s="6">
        <f t="shared" si="29"/>
        <v>43765</v>
      </c>
      <c r="B301" s="4" t="str">
        <f t="shared" si="24"/>
        <v>27</v>
      </c>
      <c r="C301" s="4" t="str">
        <f t="shared" si="25"/>
        <v>10</v>
      </c>
      <c r="D301" s="4" t="str">
        <f t="shared" si="26"/>
        <v>2019</v>
      </c>
      <c r="E301" s="3" t="str">
        <f t="shared" si="27"/>
        <v>Sunday</v>
      </c>
      <c r="F301" s="4" t="str">
        <f t="shared" si="28"/>
        <v>Y</v>
      </c>
      <c r="G301" s="4" t="str">
        <f>IF(COUNTIF(PublicHols[Date], A301)&gt;0, "Y", "N")</f>
        <v>N</v>
      </c>
      <c r="H301" s="3" t="str">
        <f>IFERROR(_xlfn.XLOOKUP(A301, PublicHols[Date], PublicHols[PH_Name]),"")</f>
        <v/>
      </c>
      <c r="I301" s="4" t="str">
        <f>IF(COUNTIF(EventsAll[Date], A301)&gt;0, "Y", "N")</f>
        <v>N</v>
      </c>
      <c r="J301" s="11" t="str">
        <f>IFERROR(_xlfn.XLOOKUP(A301, EventsAll[Date], EventsAll[Event]),"")</f>
        <v/>
      </c>
      <c r="K301" s="4" t="str" cm="1">
        <f t="array" ref="K301">IF(SUMPRODUCT((A301&gt;=SchoolHols[Start])*(A301&lt;=SchoolHols[End]))&gt;0,"Y","N")</f>
        <v>N</v>
      </c>
    </row>
    <row r="302" spans="1:11">
      <c r="A302" s="6">
        <f t="shared" si="29"/>
        <v>43766</v>
      </c>
      <c r="B302" s="4" t="str">
        <f t="shared" si="24"/>
        <v>28</v>
      </c>
      <c r="C302" s="4" t="str">
        <f t="shared" si="25"/>
        <v>10</v>
      </c>
      <c r="D302" s="4" t="str">
        <f t="shared" si="26"/>
        <v>2019</v>
      </c>
      <c r="E302" s="3" t="str">
        <f t="shared" si="27"/>
        <v>Monday</v>
      </c>
      <c r="F302" s="4" t="str">
        <f t="shared" si="28"/>
        <v>N</v>
      </c>
      <c r="G302" s="4" t="str">
        <f>IF(COUNTIF(PublicHols[Date], A302)&gt;0, "Y", "N")</f>
        <v>N</v>
      </c>
      <c r="H302" s="3" t="str">
        <f>IFERROR(_xlfn.XLOOKUP(A302, PublicHols[Date], PublicHols[PH_Name]),"")</f>
        <v/>
      </c>
      <c r="I302" s="4" t="str">
        <f>IF(COUNTIF(EventsAll[Date], A302)&gt;0, "Y", "N")</f>
        <v>N</v>
      </c>
      <c r="J302" s="11" t="str">
        <f>IFERROR(_xlfn.XLOOKUP(A302, EventsAll[Date], EventsAll[Event]),"")</f>
        <v/>
      </c>
      <c r="K302" s="4" t="str" cm="1">
        <f t="array" ref="K302">IF(SUMPRODUCT((A302&gt;=SchoolHols[Start])*(A302&lt;=SchoolHols[End]))&gt;0,"Y","N")</f>
        <v>N</v>
      </c>
    </row>
    <row r="303" spans="1:11">
      <c r="A303" s="6">
        <f t="shared" si="29"/>
        <v>43767</v>
      </c>
      <c r="B303" s="4" t="str">
        <f t="shared" si="24"/>
        <v>29</v>
      </c>
      <c r="C303" s="4" t="str">
        <f t="shared" si="25"/>
        <v>10</v>
      </c>
      <c r="D303" s="4" t="str">
        <f t="shared" si="26"/>
        <v>2019</v>
      </c>
      <c r="E303" s="3" t="str">
        <f t="shared" si="27"/>
        <v>Tuesday</v>
      </c>
      <c r="F303" s="4" t="str">
        <f t="shared" si="28"/>
        <v>N</v>
      </c>
      <c r="G303" s="4" t="str">
        <f>IF(COUNTIF(PublicHols[Date], A303)&gt;0, "Y", "N")</f>
        <v>N</v>
      </c>
      <c r="H303" s="3" t="str">
        <f>IFERROR(_xlfn.XLOOKUP(A303, PublicHols[Date], PublicHols[PH_Name]),"")</f>
        <v/>
      </c>
      <c r="I303" s="4" t="str">
        <f>IF(COUNTIF(EventsAll[Date], A303)&gt;0, "Y", "N")</f>
        <v>N</v>
      </c>
      <c r="J303" s="11" t="str">
        <f>IFERROR(_xlfn.XLOOKUP(A303, EventsAll[Date], EventsAll[Event]),"")</f>
        <v/>
      </c>
      <c r="K303" s="4" t="str" cm="1">
        <f t="array" ref="K303">IF(SUMPRODUCT((A303&gt;=SchoolHols[Start])*(A303&lt;=SchoolHols[End]))&gt;0,"Y","N")</f>
        <v>N</v>
      </c>
    </row>
    <row r="304" spans="1:11">
      <c r="A304" s="6">
        <f t="shared" si="29"/>
        <v>43768</v>
      </c>
      <c r="B304" s="4" t="str">
        <f t="shared" si="24"/>
        <v>30</v>
      </c>
      <c r="C304" s="4" t="str">
        <f t="shared" si="25"/>
        <v>10</v>
      </c>
      <c r="D304" s="4" t="str">
        <f t="shared" si="26"/>
        <v>2019</v>
      </c>
      <c r="E304" s="3" t="str">
        <f t="shared" si="27"/>
        <v>Wednesday</v>
      </c>
      <c r="F304" s="4" t="str">
        <f t="shared" si="28"/>
        <v>N</v>
      </c>
      <c r="G304" s="4" t="str">
        <f>IF(COUNTIF(PublicHols[Date], A304)&gt;0, "Y", "N")</f>
        <v>N</v>
      </c>
      <c r="H304" s="3" t="str">
        <f>IFERROR(_xlfn.XLOOKUP(A304, PublicHols[Date], PublicHols[PH_Name]),"")</f>
        <v/>
      </c>
      <c r="I304" s="4" t="str">
        <f>IF(COUNTIF(EventsAll[Date], A304)&gt;0, "Y", "N")</f>
        <v>N</v>
      </c>
      <c r="J304" s="11" t="str">
        <f>IFERROR(_xlfn.XLOOKUP(A304, EventsAll[Date], EventsAll[Event]),"")</f>
        <v/>
      </c>
      <c r="K304" s="4" t="str" cm="1">
        <f t="array" ref="K304">IF(SUMPRODUCT((A304&gt;=SchoolHols[Start])*(A304&lt;=SchoolHols[End]))&gt;0,"Y","N")</f>
        <v>N</v>
      </c>
    </row>
    <row r="305" spans="1:11">
      <c r="A305" s="6">
        <f t="shared" si="29"/>
        <v>43769</v>
      </c>
      <c r="B305" s="4" t="str">
        <f t="shared" si="24"/>
        <v>31</v>
      </c>
      <c r="C305" s="4" t="str">
        <f t="shared" si="25"/>
        <v>10</v>
      </c>
      <c r="D305" s="4" t="str">
        <f t="shared" si="26"/>
        <v>2019</v>
      </c>
      <c r="E305" s="3" t="str">
        <f t="shared" si="27"/>
        <v>Thursday</v>
      </c>
      <c r="F305" s="4" t="str">
        <f t="shared" si="28"/>
        <v>N</v>
      </c>
      <c r="G305" s="4" t="str">
        <f>IF(COUNTIF(PublicHols[Date], A305)&gt;0, "Y", "N")</f>
        <v>N</v>
      </c>
      <c r="H305" s="3" t="str">
        <f>IFERROR(_xlfn.XLOOKUP(A305, PublicHols[Date], PublicHols[PH_Name]),"")</f>
        <v/>
      </c>
      <c r="I305" s="4" t="str">
        <f>IF(COUNTIF(EventsAll[Date], A305)&gt;0, "Y", "N")</f>
        <v>Y</v>
      </c>
      <c r="J305" s="11" t="str">
        <f>IFERROR(_xlfn.XLOOKUP(A305, EventsAll[Date], EventsAll[Event]),"")</f>
        <v xml:space="preserve"> Halloween</v>
      </c>
      <c r="K305" s="4" t="str" cm="1">
        <f t="array" ref="K305">IF(SUMPRODUCT((A305&gt;=SchoolHols[Start])*(A305&lt;=SchoolHols[End]))&gt;0,"Y","N")</f>
        <v>N</v>
      </c>
    </row>
    <row r="306" spans="1:11">
      <c r="A306" s="6">
        <f t="shared" si="29"/>
        <v>43770</v>
      </c>
      <c r="B306" s="4" t="str">
        <f t="shared" si="24"/>
        <v>01</v>
      </c>
      <c r="C306" s="4" t="str">
        <f t="shared" si="25"/>
        <v>11</v>
      </c>
      <c r="D306" s="4" t="str">
        <f t="shared" si="26"/>
        <v>2019</v>
      </c>
      <c r="E306" s="3" t="str">
        <f t="shared" si="27"/>
        <v>Friday</v>
      </c>
      <c r="F306" s="4" t="str">
        <f t="shared" si="28"/>
        <v>N</v>
      </c>
      <c r="G306" s="4" t="str">
        <f>IF(COUNTIF(PublicHols[Date], A306)&gt;0, "Y", "N")</f>
        <v>N</v>
      </c>
      <c r="H306" s="3" t="str">
        <f>IFERROR(_xlfn.XLOOKUP(A306, PublicHols[Date], PublicHols[PH_Name]),"")</f>
        <v/>
      </c>
      <c r="I306" s="4" t="str">
        <f>IF(COUNTIF(EventsAll[Date], A306)&gt;0, "Y", "N")</f>
        <v>N</v>
      </c>
      <c r="J306" s="11" t="str">
        <f>IFERROR(_xlfn.XLOOKUP(A306, EventsAll[Date], EventsAll[Event]),"")</f>
        <v/>
      </c>
      <c r="K306" s="4" t="str" cm="1">
        <f t="array" ref="K306">IF(SUMPRODUCT((A306&gt;=SchoolHols[Start])*(A306&lt;=SchoolHols[End]))&gt;0,"Y","N")</f>
        <v>N</v>
      </c>
    </row>
    <row r="307" spans="1:11">
      <c r="A307" s="6">
        <f t="shared" si="29"/>
        <v>43771</v>
      </c>
      <c r="B307" s="4" t="str">
        <f t="shared" si="24"/>
        <v>02</v>
      </c>
      <c r="C307" s="4" t="str">
        <f t="shared" si="25"/>
        <v>11</v>
      </c>
      <c r="D307" s="4" t="str">
        <f t="shared" si="26"/>
        <v>2019</v>
      </c>
      <c r="E307" s="3" t="str">
        <f t="shared" si="27"/>
        <v>Saturday</v>
      </c>
      <c r="F307" s="4" t="str">
        <f t="shared" si="28"/>
        <v>N</v>
      </c>
      <c r="G307" s="4" t="str">
        <f>IF(COUNTIF(PublicHols[Date], A307)&gt;0, "Y", "N")</f>
        <v>N</v>
      </c>
      <c r="H307" s="3" t="str">
        <f>IFERROR(_xlfn.XLOOKUP(A307, PublicHols[Date], PublicHols[PH_Name]),"")</f>
        <v/>
      </c>
      <c r="I307" s="4" t="str">
        <f>IF(COUNTIF(EventsAll[Date], A307)&gt;0, "Y", "N")</f>
        <v>N</v>
      </c>
      <c r="J307" s="11" t="str">
        <f>IFERROR(_xlfn.XLOOKUP(A307, EventsAll[Date], EventsAll[Event]),"")</f>
        <v/>
      </c>
      <c r="K307" s="4" t="str" cm="1">
        <f t="array" ref="K307">IF(SUMPRODUCT((A307&gt;=SchoolHols[Start])*(A307&lt;=SchoolHols[End]))&gt;0,"Y","N")</f>
        <v>N</v>
      </c>
    </row>
    <row r="308" spans="1:11">
      <c r="A308" s="6">
        <f t="shared" si="29"/>
        <v>43772</v>
      </c>
      <c r="B308" s="4" t="str">
        <f t="shared" si="24"/>
        <v>03</v>
      </c>
      <c r="C308" s="4" t="str">
        <f t="shared" si="25"/>
        <v>11</v>
      </c>
      <c r="D308" s="4" t="str">
        <f t="shared" si="26"/>
        <v>2019</v>
      </c>
      <c r="E308" s="3" t="str">
        <f t="shared" si="27"/>
        <v>Sunday</v>
      </c>
      <c r="F308" s="4" t="str">
        <f t="shared" si="28"/>
        <v>Y</v>
      </c>
      <c r="G308" s="4" t="str">
        <f>IF(COUNTIF(PublicHols[Date], A308)&gt;0, "Y", "N")</f>
        <v>N</v>
      </c>
      <c r="H308" s="3" t="str">
        <f>IFERROR(_xlfn.XLOOKUP(A308, PublicHols[Date], PublicHols[PH_Name]),"")</f>
        <v/>
      </c>
      <c r="I308" s="4" t="str">
        <f>IF(COUNTIF(EventsAll[Date], A308)&gt;0, "Y", "N")</f>
        <v>N</v>
      </c>
      <c r="J308" s="11" t="str">
        <f>IFERROR(_xlfn.XLOOKUP(A308, EventsAll[Date], EventsAll[Event]),"")</f>
        <v/>
      </c>
      <c r="K308" s="4" t="str" cm="1">
        <f t="array" ref="K308">IF(SUMPRODUCT((A308&gt;=SchoolHols[Start])*(A308&lt;=SchoolHols[End]))&gt;0,"Y","N")</f>
        <v>N</v>
      </c>
    </row>
    <row r="309" spans="1:11">
      <c r="A309" s="6">
        <f t="shared" si="29"/>
        <v>43773</v>
      </c>
      <c r="B309" s="4" t="str">
        <f t="shared" si="24"/>
        <v>04</v>
      </c>
      <c r="C309" s="4" t="str">
        <f t="shared" si="25"/>
        <v>11</v>
      </c>
      <c r="D309" s="4" t="str">
        <f t="shared" si="26"/>
        <v>2019</v>
      </c>
      <c r="E309" s="3" t="str">
        <f t="shared" si="27"/>
        <v>Monday</v>
      </c>
      <c r="F309" s="4" t="str">
        <f t="shared" si="28"/>
        <v>N</v>
      </c>
      <c r="G309" s="4" t="str">
        <f>IF(COUNTIF(PublicHols[Date], A309)&gt;0, "Y", "N")</f>
        <v>N</v>
      </c>
      <c r="H309" s="3" t="str">
        <f>IFERROR(_xlfn.XLOOKUP(A309, PublicHols[Date], PublicHols[PH_Name]),"")</f>
        <v/>
      </c>
      <c r="I309" s="4" t="str">
        <f>IF(COUNTIF(EventsAll[Date], A309)&gt;0, "Y", "N")</f>
        <v>N</v>
      </c>
      <c r="J309" s="11" t="str">
        <f>IFERROR(_xlfn.XLOOKUP(A309, EventsAll[Date], EventsAll[Event]),"")</f>
        <v/>
      </c>
      <c r="K309" s="4" t="str" cm="1">
        <f t="array" ref="K309">IF(SUMPRODUCT((A309&gt;=SchoolHols[Start])*(A309&lt;=SchoolHols[End]))&gt;0,"Y","N")</f>
        <v>N</v>
      </c>
    </row>
    <row r="310" spans="1:11">
      <c r="A310" s="6">
        <f t="shared" si="29"/>
        <v>43774</v>
      </c>
      <c r="B310" s="4" t="str">
        <f t="shared" si="24"/>
        <v>05</v>
      </c>
      <c r="C310" s="4" t="str">
        <f t="shared" si="25"/>
        <v>11</v>
      </c>
      <c r="D310" s="4" t="str">
        <f t="shared" si="26"/>
        <v>2019</v>
      </c>
      <c r="E310" s="3" t="str">
        <f t="shared" si="27"/>
        <v>Tuesday</v>
      </c>
      <c r="F310" s="4" t="str">
        <f t="shared" si="28"/>
        <v>N</v>
      </c>
      <c r="G310" s="4" t="str">
        <f>IF(COUNTIF(PublicHols[Date], A310)&gt;0, "Y", "N")</f>
        <v>N</v>
      </c>
      <c r="H310" s="3" t="str">
        <f>IFERROR(_xlfn.XLOOKUP(A310, PublicHols[Date], PublicHols[PH_Name]),"")</f>
        <v/>
      </c>
      <c r="I310" s="4" t="str">
        <f>IF(COUNTIF(EventsAll[Date], A310)&gt;0, "Y", "N")</f>
        <v>N</v>
      </c>
      <c r="J310" s="11" t="str">
        <f>IFERROR(_xlfn.XLOOKUP(A310, EventsAll[Date], EventsAll[Event]),"")</f>
        <v/>
      </c>
      <c r="K310" s="4" t="str" cm="1">
        <f t="array" ref="K310">IF(SUMPRODUCT((A310&gt;=SchoolHols[Start])*(A310&lt;=SchoolHols[End]))&gt;0,"Y","N")</f>
        <v>N</v>
      </c>
    </row>
    <row r="311" spans="1:11">
      <c r="A311" s="6">
        <f t="shared" si="29"/>
        <v>43775</v>
      </c>
      <c r="B311" s="4" t="str">
        <f t="shared" si="24"/>
        <v>06</v>
      </c>
      <c r="C311" s="4" t="str">
        <f t="shared" si="25"/>
        <v>11</v>
      </c>
      <c r="D311" s="4" t="str">
        <f t="shared" si="26"/>
        <v>2019</v>
      </c>
      <c r="E311" s="3" t="str">
        <f t="shared" si="27"/>
        <v>Wednesday</v>
      </c>
      <c r="F311" s="4" t="str">
        <f t="shared" si="28"/>
        <v>N</v>
      </c>
      <c r="G311" s="4" t="str">
        <f>IF(COUNTIF(PublicHols[Date], A311)&gt;0, "Y", "N")</f>
        <v>N</v>
      </c>
      <c r="H311" s="3" t="str">
        <f>IFERROR(_xlfn.XLOOKUP(A311, PublicHols[Date], PublicHols[PH_Name]),"")</f>
        <v/>
      </c>
      <c r="I311" s="4" t="str">
        <f>IF(COUNTIF(EventsAll[Date], A311)&gt;0, "Y", "N")</f>
        <v>N</v>
      </c>
      <c r="J311" s="11" t="str">
        <f>IFERROR(_xlfn.XLOOKUP(A311, EventsAll[Date], EventsAll[Event]),"")</f>
        <v/>
      </c>
      <c r="K311" s="4" t="str" cm="1">
        <f t="array" ref="K311">IF(SUMPRODUCT((A311&gt;=SchoolHols[Start])*(A311&lt;=SchoolHols[End]))&gt;0,"Y","N")</f>
        <v>N</v>
      </c>
    </row>
    <row r="312" spans="1:11">
      <c r="A312" s="6">
        <f t="shared" si="29"/>
        <v>43776</v>
      </c>
      <c r="B312" s="4" t="str">
        <f t="shared" si="24"/>
        <v>07</v>
      </c>
      <c r="C312" s="4" t="str">
        <f t="shared" si="25"/>
        <v>11</v>
      </c>
      <c r="D312" s="4" t="str">
        <f t="shared" si="26"/>
        <v>2019</v>
      </c>
      <c r="E312" s="3" t="str">
        <f t="shared" si="27"/>
        <v>Thursday</v>
      </c>
      <c r="F312" s="4" t="str">
        <f t="shared" si="28"/>
        <v>N</v>
      </c>
      <c r="G312" s="4" t="str">
        <f>IF(COUNTIF(PublicHols[Date], A312)&gt;0, "Y", "N")</f>
        <v>N</v>
      </c>
      <c r="H312" s="3" t="str">
        <f>IFERROR(_xlfn.XLOOKUP(A312, PublicHols[Date], PublicHols[PH_Name]),"")</f>
        <v/>
      </c>
      <c r="I312" s="4" t="str">
        <f>IF(COUNTIF(EventsAll[Date], A312)&gt;0, "Y", "N")</f>
        <v>N</v>
      </c>
      <c r="J312" s="11" t="str">
        <f>IFERROR(_xlfn.XLOOKUP(A312, EventsAll[Date], EventsAll[Event]),"")</f>
        <v/>
      </c>
      <c r="K312" s="4" t="str" cm="1">
        <f t="array" ref="K312">IF(SUMPRODUCT((A312&gt;=SchoolHols[Start])*(A312&lt;=SchoolHols[End]))&gt;0,"Y","N")</f>
        <v>N</v>
      </c>
    </row>
    <row r="313" spans="1:11">
      <c r="A313" s="6">
        <f t="shared" si="29"/>
        <v>43777</v>
      </c>
      <c r="B313" s="4" t="str">
        <f t="shared" si="24"/>
        <v>08</v>
      </c>
      <c r="C313" s="4" t="str">
        <f t="shared" si="25"/>
        <v>11</v>
      </c>
      <c r="D313" s="4" t="str">
        <f t="shared" si="26"/>
        <v>2019</v>
      </c>
      <c r="E313" s="3" t="str">
        <f t="shared" si="27"/>
        <v>Friday</v>
      </c>
      <c r="F313" s="4" t="str">
        <f t="shared" si="28"/>
        <v>N</v>
      </c>
      <c r="G313" s="4" t="str">
        <f>IF(COUNTIF(PublicHols[Date], A313)&gt;0, "Y", "N")</f>
        <v>N</v>
      </c>
      <c r="H313" s="3" t="str">
        <f>IFERROR(_xlfn.XLOOKUP(A313, PublicHols[Date], PublicHols[PH_Name]),"")</f>
        <v/>
      </c>
      <c r="I313" s="4" t="str">
        <f>IF(COUNTIF(EventsAll[Date], A313)&gt;0, "Y", "N")</f>
        <v>N</v>
      </c>
      <c r="J313" s="11" t="str">
        <f>IFERROR(_xlfn.XLOOKUP(A313, EventsAll[Date], EventsAll[Event]),"")</f>
        <v/>
      </c>
      <c r="K313" s="4" t="str" cm="1">
        <f t="array" ref="K313">IF(SUMPRODUCT((A313&gt;=SchoolHols[Start])*(A313&lt;=SchoolHols[End]))&gt;0,"Y","N")</f>
        <v>N</v>
      </c>
    </row>
    <row r="314" spans="1:11">
      <c r="A314" s="6">
        <f t="shared" si="29"/>
        <v>43778</v>
      </c>
      <c r="B314" s="4" t="str">
        <f t="shared" si="24"/>
        <v>09</v>
      </c>
      <c r="C314" s="4" t="str">
        <f t="shared" si="25"/>
        <v>11</v>
      </c>
      <c r="D314" s="4" t="str">
        <f t="shared" si="26"/>
        <v>2019</v>
      </c>
      <c r="E314" s="3" t="str">
        <f t="shared" si="27"/>
        <v>Saturday</v>
      </c>
      <c r="F314" s="4" t="str">
        <f t="shared" si="28"/>
        <v>N</v>
      </c>
      <c r="G314" s="4" t="str">
        <f>IF(COUNTIF(PublicHols[Date], A314)&gt;0, "Y", "N")</f>
        <v>N</v>
      </c>
      <c r="H314" s="3" t="str">
        <f>IFERROR(_xlfn.XLOOKUP(A314, PublicHols[Date], PublicHols[PH_Name]),"")</f>
        <v/>
      </c>
      <c r="I314" s="4" t="str">
        <f>IF(COUNTIF(EventsAll[Date], A314)&gt;0, "Y", "N")</f>
        <v>N</v>
      </c>
      <c r="J314" s="11" t="str">
        <f>IFERROR(_xlfn.XLOOKUP(A314, EventsAll[Date], EventsAll[Event]),"")</f>
        <v/>
      </c>
      <c r="K314" s="4" t="str" cm="1">
        <f t="array" ref="K314">IF(SUMPRODUCT((A314&gt;=SchoolHols[Start])*(A314&lt;=SchoolHols[End]))&gt;0,"Y","N")</f>
        <v>N</v>
      </c>
    </row>
    <row r="315" spans="1:11">
      <c r="A315" s="6">
        <f t="shared" si="29"/>
        <v>43779</v>
      </c>
      <c r="B315" s="4" t="str">
        <f t="shared" si="24"/>
        <v>10</v>
      </c>
      <c r="C315" s="4" t="str">
        <f t="shared" si="25"/>
        <v>11</v>
      </c>
      <c r="D315" s="4" t="str">
        <f t="shared" si="26"/>
        <v>2019</v>
      </c>
      <c r="E315" s="3" t="str">
        <f t="shared" si="27"/>
        <v>Sunday</v>
      </c>
      <c r="F315" s="4" t="str">
        <f t="shared" si="28"/>
        <v>Y</v>
      </c>
      <c r="G315" s="4" t="str">
        <f>IF(COUNTIF(PublicHols[Date], A315)&gt;0, "Y", "N")</f>
        <v>N</v>
      </c>
      <c r="H315" s="3" t="str">
        <f>IFERROR(_xlfn.XLOOKUP(A315, PublicHols[Date], PublicHols[PH_Name]),"")</f>
        <v/>
      </c>
      <c r="I315" s="4" t="str">
        <f>IF(COUNTIF(EventsAll[Date], A315)&gt;0, "Y", "N")</f>
        <v>N</v>
      </c>
      <c r="J315" s="11" t="str">
        <f>IFERROR(_xlfn.XLOOKUP(A315, EventsAll[Date], EventsAll[Event]),"")</f>
        <v/>
      </c>
      <c r="K315" s="4" t="str" cm="1">
        <f t="array" ref="K315">IF(SUMPRODUCT((A315&gt;=SchoolHols[Start])*(A315&lt;=SchoolHols[End]))&gt;0,"Y","N")</f>
        <v>N</v>
      </c>
    </row>
    <row r="316" spans="1:11">
      <c r="A316" s="6">
        <f t="shared" si="29"/>
        <v>43780</v>
      </c>
      <c r="B316" s="4" t="str">
        <f t="shared" si="24"/>
        <v>11</v>
      </c>
      <c r="C316" s="4" t="str">
        <f t="shared" si="25"/>
        <v>11</v>
      </c>
      <c r="D316" s="4" t="str">
        <f t="shared" si="26"/>
        <v>2019</v>
      </c>
      <c r="E316" s="3" t="str">
        <f t="shared" si="27"/>
        <v>Monday</v>
      </c>
      <c r="F316" s="4" t="str">
        <f t="shared" si="28"/>
        <v>N</v>
      </c>
      <c r="G316" s="4" t="str">
        <f>IF(COUNTIF(PublicHols[Date], A316)&gt;0, "Y", "N")</f>
        <v>N</v>
      </c>
      <c r="H316" s="3" t="str">
        <f>IFERROR(_xlfn.XLOOKUP(A316, PublicHols[Date], PublicHols[PH_Name]),"")</f>
        <v/>
      </c>
      <c r="I316" s="4" t="str">
        <f>IF(COUNTIF(EventsAll[Date], A316)&gt;0, "Y", "N")</f>
        <v>N</v>
      </c>
      <c r="J316" s="11" t="str">
        <f>IFERROR(_xlfn.XLOOKUP(A316, EventsAll[Date], EventsAll[Event]),"")</f>
        <v/>
      </c>
      <c r="K316" s="4" t="str" cm="1">
        <f t="array" ref="K316">IF(SUMPRODUCT((A316&gt;=SchoolHols[Start])*(A316&lt;=SchoolHols[End]))&gt;0,"Y","N")</f>
        <v>N</v>
      </c>
    </row>
    <row r="317" spans="1:11">
      <c r="A317" s="6">
        <f t="shared" si="29"/>
        <v>43781</v>
      </c>
      <c r="B317" s="4" t="str">
        <f t="shared" si="24"/>
        <v>12</v>
      </c>
      <c r="C317" s="4" t="str">
        <f t="shared" si="25"/>
        <v>11</v>
      </c>
      <c r="D317" s="4" t="str">
        <f t="shared" si="26"/>
        <v>2019</v>
      </c>
      <c r="E317" s="3" t="str">
        <f t="shared" si="27"/>
        <v>Tuesday</v>
      </c>
      <c r="F317" s="4" t="str">
        <f t="shared" si="28"/>
        <v>N</v>
      </c>
      <c r="G317" s="4" t="str">
        <f>IF(COUNTIF(PublicHols[Date], A317)&gt;0, "Y", "N")</f>
        <v>N</v>
      </c>
      <c r="H317" s="3" t="str">
        <f>IFERROR(_xlfn.XLOOKUP(A317, PublicHols[Date], PublicHols[PH_Name]),"")</f>
        <v/>
      </c>
      <c r="I317" s="4" t="str">
        <f>IF(COUNTIF(EventsAll[Date], A317)&gt;0, "Y", "N")</f>
        <v>N</v>
      </c>
      <c r="J317" s="11" t="str">
        <f>IFERROR(_xlfn.XLOOKUP(A317, EventsAll[Date], EventsAll[Event]),"")</f>
        <v/>
      </c>
      <c r="K317" s="4" t="str" cm="1">
        <f t="array" ref="K317">IF(SUMPRODUCT((A317&gt;=SchoolHols[Start])*(A317&lt;=SchoolHols[End]))&gt;0,"Y","N")</f>
        <v>N</v>
      </c>
    </row>
    <row r="318" spans="1:11">
      <c r="A318" s="6">
        <f t="shared" si="29"/>
        <v>43782</v>
      </c>
      <c r="B318" s="4" t="str">
        <f t="shared" si="24"/>
        <v>13</v>
      </c>
      <c r="C318" s="4" t="str">
        <f t="shared" si="25"/>
        <v>11</v>
      </c>
      <c r="D318" s="4" t="str">
        <f t="shared" si="26"/>
        <v>2019</v>
      </c>
      <c r="E318" s="3" t="str">
        <f t="shared" si="27"/>
        <v>Wednesday</v>
      </c>
      <c r="F318" s="4" t="str">
        <f t="shared" si="28"/>
        <v>N</v>
      </c>
      <c r="G318" s="4" t="str">
        <f>IF(COUNTIF(PublicHols[Date], A318)&gt;0, "Y", "N")</f>
        <v>N</v>
      </c>
      <c r="H318" s="3" t="str">
        <f>IFERROR(_xlfn.XLOOKUP(A318, PublicHols[Date], PublicHols[PH_Name]),"")</f>
        <v/>
      </c>
      <c r="I318" s="4" t="str">
        <f>IF(COUNTIF(EventsAll[Date], A318)&gt;0, "Y", "N")</f>
        <v>N</v>
      </c>
      <c r="J318" s="11" t="str">
        <f>IFERROR(_xlfn.XLOOKUP(A318, EventsAll[Date], EventsAll[Event]),"")</f>
        <v/>
      </c>
      <c r="K318" s="4" t="str" cm="1">
        <f t="array" ref="K318">IF(SUMPRODUCT((A318&gt;=SchoolHols[Start])*(A318&lt;=SchoolHols[End]))&gt;0,"Y","N")</f>
        <v>N</v>
      </c>
    </row>
    <row r="319" spans="1:11">
      <c r="A319" s="6">
        <f t="shared" si="29"/>
        <v>43783</v>
      </c>
      <c r="B319" s="4" t="str">
        <f t="shared" si="24"/>
        <v>14</v>
      </c>
      <c r="C319" s="4" t="str">
        <f t="shared" si="25"/>
        <v>11</v>
      </c>
      <c r="D319" s="4" t="str">
        <f t="shared" si="26"/>
        <v>2019</v>
      </c>
      <c r="E319" s="3" t="str">
        <f t="shared" si="27"/>
        <v>Thursday</v>
      </c>
      <c r="F319" s="4" t="str">
        <f t="shared" si="28"/>
        <v>N</v>
      </c>
      <c r="G319" s="4" t="str">
        <f>IF(COUNTIF(PublicHols[Date], A319)&gt;0, "Y", "N")</f>
        <v>N</v>
      </c>
      <c r="H319" s="3" t="str">
        <f>IFERROR(_xlfn.XLOOKUP(A319, PublicHols[Date], PublicHols[PH_Name]),"")</f>
        <v/>
      </c>
      <c r="I319" s="4" t="str">
        <f>IF(COUNTIF(EventsAll[Date], A319)&gt;0, "Y", "N")</f>
        <v>N</v>
      </c>
      <c r="J319" s="11" t="str">
        <f>IFERROR(_xlfn.XLOOKUP(A319, EventsAll[Date], EventsAll[Event]),"")</f>
        <v/>
      </c>
      <c r="K319" s="4" t="str" cm="1">
        <f t="array" ref="K319">IF(SUMPRODUCT((A319&gt;=SchoolHols[Start])*(A319&lt;=SchoolHols[End]))&gt;0,"Y","N")</f>
        <v>N</v>
      </c>
    </row>
    <row r="320" spans="1:11">
      <c r="A320" s="6">
        <f t="shared" si="29"/>
        <v>43784</v>
      </c>
      <c r="B320" s="4" t="str">
        <f t="shared" si="24"/>
        <v>15</v>
      </c>
      <c r="C320" s="4" t="str">
        <f t="shared" si="25"/>
        <v>11</v>
      </c>
      <c r="D320" s="4" t="str">
        <f t="shared" si="26"/>
        <v>2019</v>
      </c>
      <c r="E320" s="3" t="str">
        <f t="shared" si="27"/>
        <v>Friday</v>
      </c>
      <c r="F320" s="4" t="str">
        <f t="shared" si="28"/>
        <v>N</v>
      </c>
      <c r="G320" s="4" t="str">
        <f>IF(COUNTIF(PublicHols[Date], A320)&gt;0, "Y", "N")</f>
        <v>N</v>
      </c>
      <c r="H320" s="3" t="str">
        <f>IFERROR(_xlfn.XLOOKUP(A320, PublicHols[Date], PublicHols[PH_Name]),"")</f>
        <v/>
      </c>
      <c r="I320" s="4" t="str">
        <f>IF(COUNTIF(EventsAll[Date], A320)&gt;0, "Y", "N")</f>
        <v>N</v>
      </c>
      <c r="J320" s="11" t="str">
        <f>IFERROR(_xlfn.XLOOKUP(A320, EventsAll[Date], EventsAll[Event]),"")</f>
        <v/>
      </c>
      <c r="K320" s="4" t="str" cm="1">
        <f t="array" ref="K320">IF(SUMPRODUCT((A320&gt;=SchoolHols[Start])*(A320&lt;=SchoolHols[End]))&gt;0,"Y","N")</f>
        <v>N</v>
      </c>
    </row>
    <row r="321" spans="1:11">
      <c r="A321" s="6">
        <f t="shared" si="29"/>
        <v>43785</v>
      </c>
      <c r="B321" s="4" t="str">
        <f t="shared" si="24"/>
        <v>16</v>
      </c>
      <c r="C321" s="4" t="str">
        <f t="shared" si="25"/>
        <v>11</v>
      </c>
      <c r="D321" s="4" t="str">
        <f t="shared" si="26"/>
        <v>2019</v>
      </c>
      <c r="E321" s="3" t="str">
        <f t="shared" si="27"/>
        <v>Saturday</v>
      </c>
      <c r="F321" s="4" t="str">
        <f t="shared" si="28"/>
        <v>N</v>
      </c>
      <c r="G321" s="4" t="str">
        <f>IF(COUNTIF(PublicHols[Date], A321)&gt;0, "Y", "N")</f>
        <v>N</v>
      </c>
      <c r="H321" s="3" t="str">
        <f>IFERROR(_xlfn.XLOOKUP(A321, PublicHols[Date], PublicHols[PH_Name]),"")</f>
        <v/>
      </c>
      <c r="I321" s="4" t="str">
        <f>IF(COUNTIF(EventsAll[Date], A321)&gt;0, "Y", "N")</f>
        <v>N</v>
      </c>
      <c r="J321" s="11" t="str">
        <f>IFERROR(_xlfn.XLOOKUP(A321, EventsAll[Date], EventsAll[Event]),"")</f>
        <v/>
      </c>
      <c r="K321" s="4" t="str" cm="1">
        <f t="array" ref="K321">IF(SUMPRODUCT((A321&gt;=SchoolHols[Start])*(A321&lt;=SchoolHols[End]))&gt;0,"Y","N")</f>
        <v>N</v>
      </c>
    </row>
    <row r="322" spans="1:11">
      <c r="A322" s="6">
        <f t="shared" si="29"/>
        <v>43786</v>
      </c>
      <c r="B322" s="4" t="str">
        <f t="shared" si="24"/>
        <v>17</v>
      </c>
      <c r="C322" s="4" t="str">
        <f t="shared" si="25"/>
        <v>11</v>
      </c>
      <c r="D322" s="4" t="str">
        <f t="shared" si="26"/>
        <v>2019</v>
      </c>
      <c r="E322" s="3" t="str">
        <f t="shared" si="27"/>
        <v>Sunday</v>
      </c>
      <c r="F322" s="4" t="str">
        <f t="shared" si="28"/>
        <v>Y</v>
      </c>
      <c r="G322" s="4" t="str">
        <f>IF(COUNTIF(PublicHols[Date], A322)&gt;0, "Y", "N")</f>
        <v>N</v>
      </c>
      <c r="H322" s="3" t="str">
        <f>IFERROR(_xlfn.XLOOKUP(A322, PublicHols[Date], PublicHols[PH_Name]),"")</f>
        <v/>
      </c>
      <c r="I322" s="4" t="str">
        <f>IF(COUNTIF(EventsAll[Date], A322)&gt;0, "Y", "N")</f>
        <v>N</v>
      </c>
      <c r="J322" s="11" t="str">
        <f>IFERROR(_xlfn.XLOOKUP(A322, EventsAll[Date], EventsAll[Event]),"")</f>
        <v/>
      </c>
      <c r="K322" s="4" t="str" cm="1">
        <f t="array" ref="K322">IF(SUMPRODUCT((A322&gt;=SchoolHols[Start])*(A322&lt;=SchoolHols[End]))&gt;0,"Y","N")</f>
        <v>N</v>
      </c>
    </row>
    <row r="323" spans="1:11">
      <c r="A323" s="6">
        <f t="shared" si="29"/>
        <v>43787</v>
      </c>
      <c r="B323" s="4" t="str">
        <f t="shared" ref="B323:B366" si="30">TEXT($A323, "dd")</f>
        <v>18</v>
      </c>
      <c r="C323" s="4" t="str">
        <f t="shared" ref="C323:C366" si="31">TEXT($A323, "mm")</f>
        <v>11</v>
      </c>
      <c r="D323" s="4" t="str">
        <f t="shared" ref="D323:D366" si="32">TEXT($A323, "yyyy")</f>
        <v>2019</v>
      </c>
      <c r="E323" s="3" t="str">
        <f t="shared" ref="E323:E366" si="33">TEXT($A323, "dddd")</f>
        <v>Monday</v>
      </c>
      <c r="F323" s="4" t="str">
        <f t="shared" ref="F323:F366" si="34">IF($E323="Sunday", "Y", "N")</f>
        <v>N</v>
      </c>
      <c r="G323" s="4" t="str">
        <f>IF(COUNTIF(PublicHols[Date], A323)&gt;0, "Y", "N")</f>
        <v>N</v>
      </c>
      <c r="H323" s="3" t="str">
        <f>IFERROR(_xlfn.XLOOKUP(A323, PublicHols[Date], PublicHols[PH_Name]),"")</f>
        <v/>
      </c>
      <c r="I323" s="4" t="str">
        <f>IF(COUNTIF(EventsAll[Date], A323)&gt;0, "Y", "N")</f>
        <v>N</v>
      </c>
      <c r="J323" s="11" t="str">
        <f>IFERROR(_xlfn.XLOOKUP(A323, EventsAll[Date], EventsAll[Event]),"")</f>
        <v/>
      </c>
      <c r="K323" s="4" t="str" cm="1">
        <f t="array" ref="K323">IF(SUMPRODUCT((A323&gt;=SchoolHols[Start])*(A323&lt;=SchoolHols[End]))&gt;0,"Y","N")</f>
        <v>N</v>
      </c>
    </row>
    <row r="324" spans="1:11">
      <c r="A324" s="6">
        <f t="shared" ref="A324:A366" si="35">$A323+1</f>
        <v>43788</v>
      </c>
      <c r="B324" s="4" t="str">
        <f t="shared" si="30"/>
        <v>19</v>
      </c>
      <c r="C324" s="4" t="str">
        <f t="shared" si="31"/>
        <v>11</v>
      </c>
      <c r="D324" s="4" t="str">
        <f t="shared" si="32"/>
        <v>2019</v>
      </c>
      <c r="E324" s="3" t="str">
        <f t="shared" si="33"/>
        <v>Tuesday</v>
      </c>
      <c r="F324" s="4" t="str">
        <f t="shared" si="34"/>
        <v>N</v>
      </c>
      <c r="G324" s="4" t="str">
        <f>IF(COUNTIF(PublicHols[Date], A324)&gt;0, "Y", "N")</f>
        <v>N</v>
      </c>
      <c r="H324" s="3" t="str">
        <f>IFERROR(_xlfn.XLOOKUP(A324, PublicHols[Date], PublicHols[PH_Name]),"")</f>
        <v/>
      </c>
      <c r="I324" s="4" t="str">
        <f>IF(COUNTIF(EventsAll[Date], A324)&gt;0, "Y", "N")</f>
        <v>N</v>
      </c>
      <c r="J324" s="11" t="str">
        <f>IFERROR(_xlfn.XLOOKUP(A324, EventsAll[Date], EventsAll[Event]),"")</f>
        <v/>
      </c>
      <c r="K324" s="4" t="str" cm="1">
        <f t="array" ref="K324">IF(SUMPRODUCT((A324&gt;=SchoolHols[Start])*(A324&lt;=SchoolHols[End]))&gt;0,"Y","N")</f>
        <v>N</v>
      </c>
    </row>
    <row r="325" spans="1:11">
      <c r="A325" s="6">
        <f t="shared" si="35"/>
        <v>43789</v>
      </c>
      <c r="B325" s="4" t="str">
        <f t="shared" si="30"/>
        <v>20</v>
      </c>
      <c r="C325" s="4" t="str">
        <f t="shared" si="31"/>
        <v>11</v>
      </c>
      <c r="D325" s="4" t="str">
        <f t="shared" si="32"/>
        <v>2019</v>
      </c>
      <c r="E325" s="3" t="str">
        <f t="shared" si="33"/>
        <v>Wednesday</v>
      </c>
      <c r="F325" s="4" t="str">
        <f t="shared" si="34"/>
        <v>N</v>
      </c>
      <c r="G325" s="4" t="str">
        <f>IF(COUNTIF(PublicHols[Date], A325)&gt;0, "Y", "N")</f>
        <v>N</v>
      </c>
      <c r="H325" s="3" t="str">
        <f>IFERROR(_xlfn.XLOOKUP(A325, PublicHols[Date], PublicHols[PH_Name]),"")</f>
        <v/>
      </c>
      <c r="I325" s="4" t="str">
        <f>IF(COUNTIF(EventsAll[Date], A325)&gt;0, "Y", "N")</f>
        <v>N</v>
      </c>
      <c r="J325" s="11" t="str">
        <f>IFERROR(_xlfn.XLOOKUP(A325, EventsAll[Date], EventsAll[Event]),"")</f>
        <v/>
      </c>
      <c r="K325" s="4" t="str" cm="1">
        <f t="array" ref="K325">IF(SUMPRODUCT((A325&gt;=SchoolHols[Start])*(A325&lt;=SchoolHols[End]))&gt;0,"Y","N")</f>
        <v>N</v>
      </c>
    </row>
    <row r="326" spans="1:11">
      <c r="A326" s="6">
        <f t="shared" si="35"/>
        <v>43790</v>
      </c>
      <c r="B326" s="4" t="str">
        <f t="shared" si="30"/>
        <v>21</v>
      </c>
      <c r="C326" s="4" t="str">
        <f t="shared" si="31"/>
        <v>11</v>
      </c>
      <c r="D326" s="4" t="str">
        <f t="shared" si="32"/>
        <v>2019</v>
      </c>
      <c r="E326" s="3" t="str">
        <f t="shared" si="33"/>
        <v>Thursday</v>
      </c>
      <c r="F326" s="4" t="str">
        <f t="shared" si="34"/>
        <v>N</v>
      </c>
      <c r="G326" s="4" t="str">
        <f>IF(COUNTIF(PublicHols[Date], A326)&gt;0, "Y", "N")</f>
        <v>N</v>
      </c>
      <c r="H326" s="3" t="str">
        <f>IFERROR(_xlfn.XLOOKUP(A326, PublicHols[Date], PublicHols[PH_Name]),"")</f>
        <v/>
      </c>
      <c r="I326" s="4" t="str">
        <f>IF(COUNTIF(EventsAll[Date], A326)&gt;0, "Y", "N")</f>
        <v>N</v>
      </c>
      <c r="J326" s="11" t="str">
        <f>IFERROR(_xlfn.XLOOKUP(A326, EventsAll[Date], EventsAll[Event]),"")</f>
        <v/>
      </c>
      <c r="K326" s="4" t="str" cm="1">
        <f t="array" ref="K326">IF(SUMPRODUCT((A326&gt;=SchoolHols[Start])*(A326&lt;=SchoolHols[End]))&gt;0,"Y","N")</f>
        <v>N</v>
      </c>
    </row>
    <row r="327" spans="1:11">
      <c r="A327" s="6">
        <f t="shared" si="35"/>
        <v>43791</v>
      </c>
      <c r="B327" s="4" t="str">
        <f t="shared" si="30"/>
        <v>22</v>
      </c>
      <c r="C327" s="4" t="str">
        <f t="shared" si="31"/>
        <v>11</v>
      </c>
      <c r="D327" s="4" t="str">
        <f t="shared" si="32"/>
        <v>2019</v>
      </c>
      <c r="E327" s="3" t="str">
        <f t="shared" si="33"/>
        <v>Friday</v>
      </c>
      <c r="F327" s="4" t="str">
        <f t="shared" si="34"/>
        <v>N</v>
      </c>
      <c r="G327" s="4" t="str">
        <f>IF(COUNTIF(PublicHols[Date], A327)&gt;0, "Y", "N")</f>
        <v>N</v>
      </c>
      <c r="H327" s="3" t="str">
        <f>IFERROR(_xlfn.XLOOKUP(A327, PublicHols[Date], PublicHols[PH_Name]),"")</f>
        <v/>
      </c>
      <c r="I327" s="4" t="str">
        <f>IF(COUNTIF(EventsAll[Date], A327)&gt;0, "Y", "N")</f>
        <v>N</v>
      </c>
      <c r="J327" s="11" t="str">
        <f>IFERROR(_xlfn.XLOOKUP(A327, EventsAll[Date], EventsAll[Event]),"")</f>
        <v/>
      </c>
      <c r="K327" s="4" t="str" cm="1">
        <f t="array" ref="K327">IF(SUMPRODUCT((A327&gt;=SchoolHols[Start])*(A327&lt;=SchoolHols[End]))&gt;0,"Y","N")</f>
        <v>N</v>
      </c>
    </row>
    <row r="328" spans="1:11">
      <c r="A328" s="6">
        <f t="shared" si="35"/>
        <v>43792</v>
      </c>
      <c r="B328" s="4" t="str">
        <f t="shared" si="30"/>
        <v>23</v>
      </c>
      <c r="C328" s="4" t="str">
        <f t="shared" si="31"/>
        <v>11</v>
      </c>
      <c r="D328" s="4" t="str">
        <f t="shared" si="32"/>
        <v>2019</v>
      </c>
      <c r="E328" s="3" t="str">
        <f t="shared" si="33"/>
        <v>Saturday</v>
      </c>
      <c r="F328" s="4" t="str">
        <f t="shared" si="34"/>
        <v>N</v>
      </c>
      <c r="G328" s="4" t="str">
        <f>IF(COUNTIF(PublicHols[Date], A328)&gt;0, "Y", "N")</f>
        <v>N</v>
      </c>
      <c r="H328" s="3" t="str">
        <f>IFERROR(_xlfn.XLOOKUP(A328, PublicHols[Date], PublicHols[PH_Name]),"")</f>
        <v/>
      </c>
      <c r="I328" s="4" t="str">
        <f>IF(COUNTIF(EventsAll[Date], A328)&gt;0, "Y", "N")</f>
        <v>N</v>
      </c>
      <c r="J328" s="11" t="str">
        <f>IFERROR(_xlfn.XLOOKUP(A328, EventsAll[Date], EventsAll[Event]),"")</f>
        <v/>
      </c>
      <c r="K328" s="4" t="str" cm="1">
        <f t="array" ref="K328">IF(SUMPRODUCT((A328&gt;=SchoolHols[Start])*(A328&lt;=SchoolHols[End]))&gt;0,"Y","N")</f>
        <v>N</v>
      </c>
    </row>
    <row r="329" spans="1:11">
      <c r="A329" s="6">
        <f t="shared" si="35"/>
        <v>43793</v>
      </c>
      <c r="B329" s="4" t="str">
        <f t="shared" si="30"/>
        <v>24</v>
      </c>
      <c r="C329" s="4" t="str">
        <f t="shared" si="31"/>
        <v>11</v>
      </c>
      <c r="D329" s="4" t="str">
        <f t="shared" si="32"/>
        <v>2019</v>
      </c>
      <c r="E329" s="3" t="str">
        <f t="shared" si="33"/>
        <v>Sunday</v>
      </c>
      <c r="F329" s="4" t="str">
        <f t="shared" si="34"/>
        <v>Y</v>
      </c>
      <c r="G329" s="4" t="str">
        <f>IF(COUNTIF(PublicHols[Date], A329)&gt;0, "Y", "N")</f>
        <v>N</v>
      </c>
      <c r="H329" s="3" t="str">
        <f>IFERROR(_xlfn.XLOOKUP(A329, PublicHols[Date], PublicHols[PH_Name]),"")</f>
        <v/>
      </c>
      <c r="I329" s="4" t="str">
        <f>IF(COUNTIF(EventsAll[Date], A329)&gt;0, "Y", "N")</f>
        <v>N</v>
      </c>
      <c r="J329" s="11" t="str">
        <f>IFERROR(_xlfn.XLOOKUP(A329, EventsAll[Date], EventsAll[Event]),"")</f>
        <v/>
      </c>
      <c r="K329" s="4" t="str" cm="1">
        <f t="array" ref="K329">IF(SUMPRODUCT((A329&gt;=SchoolHols[Start])*(A329&lt;=SchoolHols[End]))&gt;0,"Y","N")</f>
        <v>N</v>
      </c>
    </row>
    <row r="330" spans="1:11">
      <c r="A330" s="6">
        <f t="shared" si="35"/>
        <v>43794</v>
      </c>
      <c r="B330" s="4" t="str">
        <f t="shared" si="30"/>
        <v>25</v>
      </c>
      <c r="C330" s="4" t="str">
        <f t="shared" si="31"/>
        <v>11</v>
      </c>
      <c r="D330" s="4" t="str">
        <f t="shared" si="32"/>
        <v>2019</v>
      </c>
      <c r="E330" s="3" t="str">
        <f t="shared" si="33"/>
        <v>Monday</v>
      </c>
      <c r="F330" s="4" t="str">
        <f t="shared" si="34"/>
        <v>N</v>
      </c>
      <c r="G330" s="4" t="str">
        <f>IF(COUNTIF(PublicHols[Date], A330)&gt;0, "Y", "N")</f>
        <v>N</v>
      </c>
      <c r="H330" s="3" t="str">
        <f>IFERROR(_xlfn.XLOOKUP(A330, PublicHols[Date], PublicHols[PH_Name]),"")</f>
        <v/>
      </c>
      <c r="I330" s="4" t="str">
        <f>IF(COUNTIF(EventsAll[Date], A330)&gt;0, "Y", "N")</f>
        <v>N</v>
      </c>
      <c r="J330" s="11" t="str">
        <f>IFERROR(_xlfn.XLOOKUP(A330, EventsAll[Date], EventsAll[Event]),"")</f>
        <v/>
      </c>
      <c r="K330" s="4" t="str" cm="1">
        <f t="array" ref="K330">IF(SUMPRODUCT((A330&gt;=SchoolHols[Start])*(A330&lt;=SchoolHols[End]))&gt;0,"Y","N")</f>
        <v>N</v>
      </c>
    </row>
    <row r="331" spans="1:11">
      <c r="A331" s="6">
        <f t="shared" si="35"/>
        <v>43795</v>
      </c>
      <c r="B331" s="4" t="str">
        <f t="shared" si="30"/>
        <v>26</v>
      </c>
      <c r="C331" s="4" t="str">
        <f t="shared" si="31"/>
        <v>11</v>
      </c>
      <c r="D331" s="4" t="str">
        <f t="shared" si="32"/>
        <v>2019</v>
      </c>
      <c r="E331" s="3" t="str">
        <f t="shared" si="33"/>
        <v>Tuesday</v>
      </c>
      <c r="F331" s="4" t="str">
        <f t="shared" si="34"/>
        <v>N</v>
      </c>
      <c r="G331" s="4" t="str">
        <f>IF(COUNTIF(PublicHols[Date], A331)&gt;0, "Y", "N")</f>
        <v>N</v>
      </c>
      <c r="H331" s="3" t="str">
        <f>IFERROR(_xlfn.XLOOKUP(A331, PublicHols[Date], PublicHols[PH_Name]),"")</f>
        <v/>
      </c>
      <c r="I331" s="4" t="str">
        <f>IF(COUNTIF(EventsAll[Date], A331)&gt;0, "Y", "N")</f>
        <v>N</v>
      </c>
      <c r="J331" s="11" t="str">
        <f>IFERROR(_xlfn.XLOOKUP(A331, EventsAll[Date], EventsAll[Event]),"")</f>
        <v/>
      </c>
      <c r="K331" s="4" t="str" cm="1">
        <f t="array" ref="K331">IF(SUMPRODUCT((A331&gt;=SchoolHols[Start])*(A331&lt;=SchoolHols[End]))&gt;0,"Y","N")</f>
        <v>N</v>
      </c>
    </row>
    <row r="332" spans="1:11">
      <c r="A332" s="6">
        <f t="shared" si="35"/>
        <v>43796</v>
      </c>
      <c r="B332" s="4" t="str">
        <f t="shared" si="30"/>
        <v>27</v>
      </c>
      <c r="C332" s="4" t="str">
        <f t="shared" si="31"/>
        <v>11</v>
      </c>
      <c r="D332" s="4" t="str">
        <f t="shared" si="32"/>
        <v>2019</v>
      </c>
      <c r="E332" s="3" t="str">
        <f t="shared" si="33"/>
        <v>Wednesday</v>
      </c>
      <c r="F332" s="4" t="str">
        <f t="shared" si="34"/>
        <v>N</v>
      </c>
      <c r="G332" s="4" t="str">
        <f>IF(COUNTIF(PublicHols[Date], A332)&gt;0, "Y", "N")</f>
        <v>N</v>
      </c>
      <c r="H332" s="3" t="str">
        <f>IFERROR(_xlfn.XLOOKUP(A332, PublicHols[Date], PublicHols[PH_Name]),"")</f>
        <v/>
      </c>
      <c r="I332" s="4" t="str">
        <f>IF(COUNTIF(EventsAll[Date], A332)&gt;0, "Y", "N")</f>
        <v>N</v>
      </c>
      <c r="J332" s="11" t="str">
        <f>IFERROR(_xlfn.XLOOKUP(A332, EventsAll[Date], EventsAll[Event]),"")</f>
        <v/>
      </c>
      <c r="K332" s="4" t="str" cm="1">
        <f t="array" ref="K332">IF(SUMPRODUCT((A332&gt;=SchoolHols[Start])*(A332&lt;=SchoolHols[End]))&gt;0,"Y","N")</f>
        <v>N</v>
      </c>
    </row>
    <row r="333" spans="1:11">
      <c r="A333" s="6">
        <f t="shared" si="35"/>
        <v>43797</v>
      </c>
      <c r="B333" s="4" t="str">
        <f t="shared" si="30"/>
        <v>28</v>
      </c>
      <c r="C333" s="4" t="str">
        <f t="shared" si="31"/>
        <v>11</v>
      </c>
      <c r="D333" s="4" t="str">
        <f t="shared" si="32"/>
        <v>2019</v>
      </c>
      <c r="E333" s="3" t="str">
        <f t="shared" si="33"/>
        <v>Thursday</v>
      </c>
      <c r="F333" s="4" t="str">
        <f t="shared" si="34"/>
        <v>N</v>
      </c>
      <c r="G333" s="4" t="str">
        <f>IF(COUNTIF(PublicHols[Date], A333)&gt;0, "Y", "N")</f>
        <v>N</v>
      </c>
      <c r="H333" s="3" t="str">
        <f>IFERROR(_xlfn.XLOOKUP(A333, PublicHols[Date], PublicHols[PH_Name]),"")</f>
        <v/>
      </c>
      <c r="I333" s="4" t="str">
        <f>IF(COUNTIF(EventsAll[Date], A333)&gt;0, "Y", "N")</f>
        <v>N</v>
      </c>
      <c r="J333" s="11" t="str">
        <f>IFERROR(_xlfn.XLOOKUP(A333, EventsAll[Date], EventsAll[Event]),"")</f>
        <v/>
      </c>
      <c r="K333" s="4" t="str" cm="1">
        <f t="array" ref="K333">IF(SUMPRODUCT((A333&gt;=SchoolHols[Start])*(A333&lt;=SchoolHols[End]))&gt;0,"Y","N")</f>
        <v>N</v>
      </c>
    </row>
    <row r="334" spans="1:11">
      <c r="A334" s="6">
        <f t="shared" si="35"/>
        <v>43798</v>
      </c>
      <c r="B334" s="4" t="str">
        <f t="shared" si="30"/>
        <v>29</v>
      </c>
      <c r="C334" s="4" t="str">
        <f t="shared" si="31"/>
        <v>11</v>
      </c>
      <c r="D334" s="4" t="str">
        <f t="shared" si="32"/>
        <v>2019</v>
      </c>
      <c r="E334" s="3" t="str">
        <f t="shared" si="33"/>
        <v>Friday</v>
      </c>
      <c r="F334" s="4" t="str">
        <f t="shared" si="34"/>
        <v>N</v>
      </c>
      <c r="G334" s="4" t="str">
        <f>IF(COUNTIF(PublicHols[Date], A334)&gt;0, "Y", "N")</f>
        <v>N</v>
      </c>
      <c r="H334" s="3" t="str">
        <f>IFERROR(_xlfn.XLOOKUP(A334, PublicHols[Date], PublicHols[PH_Name]),"")</f>
        <v/>
      </c>
      <c r="I334" s="4" t="str">
        <f>IF(COUNTIF(EventsAll[Date], A334)&gt;0, "Y", "N")</f>
        <v>Y</v>
      </c>
      <c r="J334" s="11" t="str">
        <f>IFERROR(_xlfn.XLOOKUP(A334, EventsAll[Date], EventsAll[Event]),"")</f>
        <v xml:space="preserve"> Black Friday</v>
      </c>
      <c r="K334" s="4" t="str" cm="1">
        <f t="array" ref="K334">IF(SUMPRODUCT((A334&gt;=SchoolHols[Start])*(A334&lt;=SchoolHols[End]))&gt;0,"Y","N")</f>
        <v>N</v>
      </c>
    </row>
    <row r="335" spans="1:11">
      <c r="A335" s="6">
        <f t="shared" si="35"/>
        <v>43799</v>
      </c>
      <c r="B335" s="4" t="str">
        <f t="shared" si="30"/>
        <v>30</v>
      </c>
      <c r="C335" s="4" t="str">
        <f t="shared" si="31"/>
        <v>11</v>
      </c>
      <c r="D335" s="4" t="str">
        <f t="shared" si="32"/>
        <v>2019</v>
      </c>
      <c r="E335" s="3" t="str">
        <f t="shared" si="33"/>
        <v>Saturday</v>
      </c>
      <c r="F335" s="4" t="str">
        <f t="shared" si="34"/>
        <v>N</v>
      </c>
      <c r="G335" s="4" t="str">
        <f>IF(COUNTIF(PublicHols[Date], A335)&gt;0, "Y", "N")</f>
        <v>N</v>
      </c>
      <c r="H335" s="3" t="str">
        <f>IFERROR(_xlfn.XLOOKUP(A335, PublicHols[Date], PublicHols[PH_Name]),"")</f>
        <v/>
      </c>
      <c r="I335" s="4" t="str">
        <f>IF(COUNTIF(EventsAll[Date], A335)&gt;0, "Y", "N")</f>
        <v>N</v>
      </c>
      <c r="J335" s="11" t="str">
        <f>IFERROR(_xlfn.XLOOKUP(A335, EventsAll[Date], EventsAll[Event]),"")</f>
        <v/>
      </c>
      <c r="K335" s="4" t="str" cm="1">
        <f t="array" ref="K335">IF(SUMPRODUCT((A335&gt;=SchoolHols[Start])*(A335&lt;=SchoolHols[End]))&gt;0,"Y","N")</f>
        <v>N</v>
      </c>
    </row>
    <row r="336" spans="1:11">
      <c r="A336" s="6">
        <f t="shared" si="35"/>
        <v>43800</v>
      </c>
      <c r="B336" s="4" t="str">
        <f t="shared" si="30"/>
        <v>01</v>
      </c>
      <c r="C336" s="4" t="str">
        <f t="shared" si="31"/>
        <v>12</v>
      </c>
      <c r="D336" s="4" t="str">
        <f t="shared" si="32"/>
        <v>2019</v>
      </c>
      <c r="E336" s="3" t="str">
        <f t="shared" si="33"/>
        <v>Sunday</v>
      </c>
      <c r="F336" s="4" t="str">
        <f t="shared" si="34"/>
        <v>Y</v>
      </c>
      <c r="G336" s="4" t="str">
        <f>IF(COUNTIF(PublicHols[Date], A336)&gt;0, "Y", "N")</f>
        <v>N</v>
      </c>
      <c r="H336" s="3" t="str">
        <f>IFERROR(_xlfn.XLOOKUP(A336, PublicHols[Date], PublicHols[PH_Name]),"")</f>
        <v/>
      </c>
      <c r="I336" s="4" t="str">
        <f>IF(COUNTIF(EventsAll[Date], A336)&gt;0, "Y", "N")</f>
        <v>Y</v>
      </c>
      <c r="J336" s="11" t="str">
        <f>IFERROR(_xlfn.XLOOKUP(A336, EventsAll[Date], EventsAll[Event]),"")</f>
        <v xml:space="preserve"> Start of Festive Trading</v>
      </c>
      <c r="K336" s="4" t="str" cm="1">
        <f t="array" ref="K336">IF(SUMPRODUCT((A336&gt;=SchoolHols[Start])*(A336&lt;=SchoolHols[End]))&gt;0,"Y","N")</f>
        <v>N</v>
      </c>
    </row>
    <row r="337" spans="1:11">
      <c r="A337" s="6">
        <f t="shared" si="35"/>
        <v>43801</v>
      </c>
      <c r="B337" s="4" t="str">
        <f t="shared" si="30"/>
        <v>02</v>
      </c>
      <c r="C337" s="4" t="str">
        <f t="shared" si="31"/>
        <v>12</v>
      </c>
      <c r="D337" s="4" t="str">
        <f t="shared" si="32"/>
        <v>2019</v>
      </c>
      <c r="E337" s="3" t="str">
        <f t="shared" si="33"/>
        <v>Monday</v>
      </c>
      <c r="F337" s="4" t="str">
        <f t="shared" si="34"/>
        <v>N</v>
      </c>
      <c r="G337" s="4" t="str">
        <f>IF(COUNTIF(PublicHols[Date], A337)&gt;0, "Y", "N")</f>
        <v>N</v>
      </c>
      <c r="H337" s="3" t="str">
        <f>IFERROR(_xlfn.XLOOKUP(A337, PublicHols[Date], PublicHols[PH_Name]),"")</f>
        <v/>
      </c>
      <c r="I337" s="4" t="str">
        <f>IF(COUNTIF(EventsAll[Date], A337)&gt;0, "Y", "N")</f>
        <v>Y</v>
      </c>
      <c r="J337" s="11" t="str">
        <f>IFERROR(_xlfn.XLOOKUP(A337, EventsAll[Date], EventsAll[Event]),"")</f>
        <v xml:space="preserve"> Cyber Monday</v>
      </c>
      <c r="K337" s="4" t="str" cm="1">
        <f t="array" ref="K337">IF(SUMPRODUCT((A337&gt;=SchoolHols[Start])*(A337&lt;=SchoolHols[End]))&gt;0,"Y","N")</f>
        <v>N</v>
      </c>
    </row>
    <row r="338" spans="1:11">
      <c r="A338" s="6">
        <f t="shared" si="35"/>
        <v>43802</v>
      </c>
      <c r="B338" s="4" t="str">
        <f t="shared" si="30"/>
        <v>03</v>
      </c>
      <c r="C338" s="4" t="str">
        <f t="shared" si="31"/>
        <v>12</v>
      </c>
      <c r="D338" s="4" t="str">
        <f t="shared" si="32"/>
        <v>2019</v>
      </c>
      <c r="E338" s="3" t="str">
        <f t="shared" si="33"/>
        <v>Tuesday</v>
      </c>
      <c r="F338" s="4" t="str">
        <f t="shared" si="34"/>
        <v>N</v>
      </c>
      <c r="G338" s="4" t="str">
        <f>IF(COUNTIF(PublicHols[Date], A338)&gt;0, "Y", "N")</f>
        <v>N</v>
      </c>
      <c r="H338" s="3" t="str">
        <f>IFERROR(_xlfn.XLOOKUP(A338, PublicHols[Date], PublicHols[PH_Name]),"")</f>
        <v/>
      </c>
      <c r="I338" s="4" t="str">
        <f>IF(COUNTIF(EventsAll[Date], A338)&gt;0, "Y", "N")</f>
        <v>N</v>
      </c>
      <c r="J338" s="11" t="str">
        <f>IFERROR(_xlfn.XLOOKUP(A338, EventsAll[Date], EventsAll[Event]),"")</f>
        <v/>
      </c>
      <c r="K338" s="4" t="str" cm="1">
        <f t="array" ref="K338">IF(SUMPRODUCT((A338&gt;=SchoolHols[Start])*(A338&lt;=SchoolHols[End]))&gt;0,"Y","N")</f>
        <v>N</v>
      </c>
    </row>
    <row r="339" spans="1:11">
      <c r="A339" s="6">
        <f t="shared" si="35"/>
        <v>43803</v>
      </c>
      <c r="B339" s="4" t="str">
        <f t="shared" si="30"/>
        <v>04</v>
      </c>
      <c r="C339" s="4" t="str">
        <f t="shared" si="31"/>
        <v>12</v>
      </c>
      <c r="D339" s="4" t="str">
        <f t="shared" si="32"/>
        <v>2019</v>
      </c>
      <c r="E339" s="3" t="str">
        <f t="shared" si="33"/>
        <v>Wednesday</v>
      </c>
      <c r="F339" s="4" t="str">
        <f t="shared" si="34"/>
        <v>N</v>
      </c>
      <c r="G339" s="4" t="str">
        <f>IF(COUNTIF(PublicHols[Date], A339)&gt;0, "Y", "N")</f>
        <v>N</v>
      </c>
      <c r="H339" s="3" t="str">
        <f>IFERROR(_xlfn.XLOOKUP(A339, PublicHols[Date], PublicHols[PH_Name]),"")</f>
        <v/>
      </c>
      <c r="I339" s="4" t="str">
        <f>IF(COUNTIF(EventsAll[Date], A339)&gt;0, "Y", "N")</f>
        <v>N</v>
      </c>
      <c r="J339" s="11" t="str">
        <f>IFERROR(_xlfn.XLOOKUP(A339, EventsAll[Date], EventsAll[Event]),"")</f>
        <v/>
      </c>
      <c r="K339" s="4" t="str" cm="1">
        <f t="array" ref="K339">IF(SUMPRODUCT((A339&gt;=SchoolHols[Start])*(A339&lt;=SchoolHols[End]))&gt;0,"Y","N")</f>
        <v>Y</v>
      </c>
    </row>
    <row r="340" spans="1:11">
      <c r="A340" s="6">
        <f t="shared" si="35"/>
        <v>43804</v>
      </c>
      <c r="B340" s="4" t="str">
        <f t="shared" si="30"/>
        <v>05</v>
      </c>
      <c r="C340" s="4" t="str">
        <f t="shared" si="31"/>
        <v>12</v>
      </c>
      <c r="D340" s="4" t="str">
        <f t="shared" si="32"/>
        <v>2019</v>
      </c>
      <c r="E340" s="3" t="str">
        <f t="shared" si="33"/>
        <v>Thursday</v>
      </c>
      <c r="F340" s="4" t="str">
        <f t="shared" si="34"/>
        <v>N</v>
      </c>
      <c r="G340" s="4" t="str">
        <f>IF(COUNTIF(PublicHols[Date], A340)&gt;0, "Y", "N")</f>
        <v>N</v>
      </c>
      <c r="H340" s="3" t="str">
        <f>IFERROR(_xlfn.XLOOKUP(A340, PublicHols[Date], PublicHols[PH_Name]),"")</f>
        <v/>
      </c>
      <c r="I340" s="4" t="str">
        <f>IF(COUNTIF(EventsAll[Date], A340)&gt;0, "Y", "N")</f>
        <v>N</v>
      </c>
      <c r="J340" s="11" t="str">
        <f>IFERROR(_xlfn.XLOOKUP(A340, EventsAll[Date], EventsAll[Event]),"")</f>
        <v/>
      </c>
      <c r="K340" s="4" t="str" cm="1">
        <f t="array" ref="K340">IF(SUMPRODUCT((A340&gt;=SchoolHols[Start])*(A340&lt;=SchoolHols[End]))&gt;0,"Y","N")</f>
        <v>Y</v>
      </c>
    </row>
    <row r="341" spans="1:11">
      <c r="A341" s="6">
        <f t="shared" si="35"/>
        <v>43805</v>
      </c>
      <c r="B341" s="4" t="str">
        <f t="shared" si="30"/>
        <v>06</v>
      </c>
      <c r="C341" s="4" t="str">
        <f t="shared" si="31"/>
        <v>12</v>
      </c>
      <c r="D341" s="4" t="str">
        <f t="shared" si="32"/>
        <v>2019</v>
      </c>
      <c r="E341" s="3" t="str">
        <f t="shared" si="33"/>
        <v>Friday</v>
      </c>
      <c r="F341" s="4" t="str">
        <f t="shared" si="34"/>
        <v>N</v>
      </c>
      <c r="G341" s="4" t="str">
        <f>IF(COUNTIF(PublicHols[Date], A341)&gt;0, "Y", "N")</f>
        <v>N</v>
      </c>
      <c r="H341" s="3" t="str">
        <f>IFERROR(_xlfn.XLOOKUP(A341, PublicHols[Date], PublicHols[PH_Name]),"")</f>
        <v/>
      </c>
      <c r="I341" s="4" t="str">
        <f>IF(COUNTIF(EventsAll[Date], A341)&gt;0, "Y", "N")</f>
        <v>N</v>
      </c>
      <c r="J341" s="11" t="str">
        <f>IFERROR(_xlfn.XLOOKUP(A341, EventsAll[Date], EventsAll[Event]),"")</f>
        <v/>
      </c>
      <c r="K341" s="4" t="str" cm="1">
        <f t="array" ref="K341">IF(SUMPRODUCT((A341&gt;=SchoolHols[Start])*(A341&lt;=SchoolHols[End]))&gt;0,"Y","N")</f>
        <v>Y</v>
      </c>
    </row>
    <row r="342" spans="1:11">
      <c r="A342" s="6">
        <f t="shared" si="35"/>
        <v>43806</v>
      </c>
      <c r="B342" s="4" t="str">
        <f t="shared" si="30"/>
        <v>07</v>
      </c>
      <c r="C342" s="4" t="str">
        <f t="shared" si="31"/>
        <v>12</v>
      </c>
      <c r="D342" s="4" t="str">
        <f t="shared" si="32"/>
        <v>2019</v>
      </c>
      <c r="E342" s="3" t="str">
        <f t="shared" si="33"/>
        <v>Saturday</v>
      </c>
      <c r="F342" s="4" t="str">
        <f t="shared" si="34"/>
        <v>N</v>
      </c>
      <c r="G342" s="4" t="str">
        <f>IF(COUNTIF(PublicHols[Date], A342)&gt;0, "Y", "N")</f>
        <v>N</v>
      </c>
      <c r="H342" s="3" t="str">
        <f>IFERROR(_xlfn.XLOOKUP(A342, PublicHols[Date], PublicHols[PH_Name]),"")</f>
        <v/>
      </c>
      <c r="I342" s="4" t="str">
        <f>IF(COUNTIF(EventsAll[Date], A342)&gt;0, "Y", "N")</f>
        <v>N</v>
      </c>
      <c r="J342" s="11" t="str">
        <f>IFERROR(_xlfn.XLOOKUP(A342, EventsAll[Date], EventsAll[Event]),"")</f>
        <v/>
      </c>
      <c r="K342" s="4" t="str" cm="1">
        <f t="array" ref="K342">IF(SUMPRODUCT((A342&gt;=SchoolHols[Start])*(A342&lt;=SchoolHols[End]))&gt;0,"Y","N")</f>
        <v>Y</v>
      </c>
    </row>
    <row r="343" spans="1:11">
      <c r="A343" s="6">
        <f t="shared" si="35"/>
        <v>43807</v>
      </c>
      <c r="B343" s="4" t="str">
        <f t="shared" si="30"/>
        <v>08</v>
      </c>
      <c r="C343" s="4" t="str">
        <f t="shared" si="31"/>
        <v>12</v>
      </c>
      <c r="D343" s="4" t="str">
        <f t="shared" si="32"/>
        <v>2019</v>
      </c>
      <c r="E343" s="3" t="str">
        <f t="shared" si="33"/>
        <v>Sunday</v>
      </c>
      <c r="F343" s="4" t="str">
        <f t="shared" si="34"/>
        <v>Y</v>
      </c>
      <c r="G343" s="4" t="str">
        <f>IF(COUNTIF(PublicHols[Date], A343)&gt;0, "Y", "N")</f>
        <v>N</v>
      </c>
      <c r="H343" s="3" t="str">
        <f>IFERROR(_xlfn.XLOOKUP(A343, PublicHols[Date], PublicHols[PH_Name]),"")</f>
        <v/>
      </c>
      <c r="I343" s="4" t="str">
        <f>IF(COUNTIF(EventsAll[Date], A343)&gt;0, "Y", "N")</f>
        <v>N</v>
      </c>
      <c r="J343" s="11" t="str">
        <f>IFERROR(_xlfn.XLOOKUP(A343, EventsAll[Date], EventsAll[Event]),"")</f>
        <v/>
      </c>
      <c r="K343" s="4" t="str" cm="1">
        <f t="array" ref="K343">IF(SUMPRODUCT((A343&gt;=SchoolHols[Start])*(A343&lt;=SchoolHols[End]))&gt;0,"Y","N")</f>
        <v>Y</v>
      </c>
    </row>
    <row r="344" spans="1:11">
      <c r="A344" s="6">
        <f t="shared" si="35"/>
        <v>43808</v>
      </c>
      <c r="B344" s="4" t="str">
        <f t="shared" si="30"/>
        <v>09</v>
      </c>
      <c r="C344" s="4" t="str">
        <f t="shared" si="31"/>
        <v>12</v>
      </c>
      <c r="D344" s="4" t="str">
        <f t="shared" si="32"/>
        <v>2019</v>
      </c>
      <c r="E344" s="3" t="str">
        <f t="shared" si="33"/>
        <v>Monday</v>
      </c>
      <c r="F344" s="4" t="str">
        <f t="shared" si="34"/>
        <v>N</v>
      </c>
      <c r="G344" s="4" t="str">
        <f>IF(COUNTIF(PublicHols[Date], A344)&gt;0, "Y", "N")</f>
        <v>N</v>
      </c>
      <c r="H344" s="3" t="str">
        <f>IFERROR(_xlfn.XLOOKUP(A344, PublicHols[Date], PublicHols[PH_Name]),"")</f>
        <v/>
      </c>
      <c r="I344" s="4" t="str">
        <f>IF(COUNTIF(EventsAll[Date], A344)&gt;0, "Y", "N")</f>
        <v>N</v>
      </c>
      <c r="J344" s="11" t="str">
        <f>IFERROR(_xlfn.XLOOKUP(A344, EventsAll[Date], EventsAll[Event]),"")</f>
        <v/>
      </c>
      <c r="K344" s="4" t="str" cm="1">
        <f t="array" ref="K344">IF(SUMPRODUCT((A344&gt;=SchoolHols[Start])*(A344&lt;=SchoolHols[End]))&gt;0,"Y","N")</f>
        <v>Y</v>
      </c>
    </row>
    <row r="345" spans="1:11">
      <c r="A345" s="6">
        <f t="shared" si="35"/>
        <v>43809</v>
      </c>
      <c r="B345" s="4" t="str">
        <f t="shared" si="30"/>
        <v>10</v>
      </c>
      <c r="C345" s="4" t="str">
        <f t="shared" si="31"/>
        <v>12</v>
      </c>
      <c r="D345" s="4" t="str">
        <f t="shared" si="32"/>
        <v>2019</v>
      </c>
      <c r="E345" s="3" t="str">
        <f t="shared" si="33"/>
        <v>Tuesday</v>
      </c>
      <c r="F345" s="4" t="str">
        <f t="shared" si="34"/>
        <v>N</v>
      </c>
      <c r="G345" s="4" t="str">
        <f>IF(COUNTIF(PublicHols[Date], A345)&gt;0, "Y", "N")</f>
        <v>N</v>
      </c>
      <c r="H345" s="3" t="str">
        <f>IFERROR(_xlfn.XLOOKUP(A345, PublicHols[Date], PublicHols[PH_Name]),"")</f>
        <v/>
      </c>
      <c r="I345" s="4" t="str">
        <f>IF(COUNTIF(EventsAll[Date], A345)&gt;0, "Y", "N")</f>
        <v>N</v>
      </c>
      <c r="J345" s="11" t="str">
        <f>IFERROR(_xlfn.XLOOKUP(A345, EventsAll[Date], EventsAll[Event]),"")</f>
        <v/>
      </c>
      <c r="K345" s="4" t="str" cm="1">
        <f t="array" ref="K345">IF(SUMPRODUCT((A345&gt;=SchoolHols[Start])*(A345&lt;=SchoolHols[End]))&gt;0,"Y","N")</f>
        <v>Y</v>
      </c>
    </row>
    <row r="346" spans="1:11">
      <c r="A346" s="6">
        <f t="shared" si="35"/>
        <v>43810</v>
      </c>
      <c r="B346" s="4" t="str">
        <f t="shared" si="30"/>
        <v>11</v>
      </c>
      <c r="C346" s="4" t="str">
        <f t="shared" si="31"/>
        <v>12</v>
      </c>
      <c r="D346" s="4" t="str">
        <f t="shared" si="32"/>
        <v>2019</v>
      </c>
      <c r="E346" s="3" t="str">
        <f t="shared" si="33"/>
        <v>Wednesday</v>
      </c>
      <c r="F346" s="4" t="str">
        <f t="shared" si="34"/>
        <v>N</v>
      </c>
      <c r="G346" s="4" t="str">
        <f>IF(COUNTIF(PublicHols[Date], A346)&gt;0, "Y", "N")</f>
        <v>N</v>
      </c>
      <c r="H346" s="3" t="str">
        <f>IFERROR(_xlfn.XLOOKUP(A346, PublicHols[Date], PublicHols[PH_Name]),"")</f>
        <v/>
      </c>
      <c r="I346" s="4" t="str">
        <f>IF(COUNTIF(EventsAll[Date], A346)&gt;0, "Y", "N")</f>
        <v>N</v>
      </c>
      <c r="J346" s="11" t="str">
        <f>IFERROR(_xlfn.XLOOKUP(A346, EventsAll[Date], EventsAll[Event]),"")</f>
        <v/>
      </c>
      <c r="K346" s="4" t="str" cm="1">
        <f t="array" ref="K346">IF(SUMPRODUCT((A346&gt;=SchoolHols[Start])*(A346&lt;=SchoolHols[End]))&gt;0,"Y","N")</f>
        <v>Y</v>
      </c>
    </row>
    <row r="347" spans="1:11">
      <c r="A347" s="6">
        <f t="shared" si="35"/>
        <v>43811</v>
      </c>
      <c r="B347" s="4" t="str">
        <f t="shared" si="30"/>
        <v>12</v>
      </c>
      <c r="C347" s="4" t="str">
        <f t="shared" si="31"/>
        <v>12</v>
      </c>
      <c r="D347" s="4" t="str">
        <f t="shared" si="32"/>
        <v>2019</v>
      </c>
      <c r="E347" s="3" t="str">
        <f t="shared" si="33"/>
        <v>Thursday</v>
      </c>
      <c r="F347" s="4" t="str">
        <f t="shared" si="34"/>
        <v>N</v>
      </c>
      <c r="G347" s="4" t="str">
        <f>IF(COUNTIF(PublicHols[Date], A347)&gt;0, "Y", "N")</f>
        <v>N</v>
      </c>
      <c r="H347" s="3" t="str">
        <f>IFERROR(_xlfn.XLOOKUP(A347, PublicHols[Date], PublicHols[PH_Name]),"")</f>
        <v/>
      </c>
      <c r="I347" s="4" t="str">
        <f>IF(COUNTIF(EventsAll[Date], A347)&gt;0, "Y", "N")</f>
        <v>N</v>
      </c>
      <c r="J347" s="11" t="str">
        <f>IFERROR(_xlfn.XLOOKUP(A347, EventsAll[Date], EventsAll[Event]),"")</f>
        <v/>
      </c>
      <c r="K347" s="4" t="str" cm="1">
        <f t="array" ref="K347">IF(SUMPRODUCT((A347&gt;=SchoolHols[Start])*(A347&lt;=SchoolHols[End]))&gt;0,"Y","N")</f>
        <v>Y</v>
      </c>
    </row>
    <row r="348" spans="1:11">
      <c r="A348" s="6">
        <f t="shared" si="35"/>
        <v>43812</v>
      </c>
      <c r="B348" s="4" t="str">
        <f t="shared" si="30"/>
        <v>13</v>
      </c>
      <c r="C348" s="4" t="str">
        <f t="shared" si="31"/>
        <v>12</v>
      </c>
      <c r="D348" s="4" t="str">
        <f t="shared" si="32"/>
        <v>2019</v>
      </c>
      <c r="E348" s="3" t="str">
        <f t="shared" si="33"/>
        <v>Friday</v>
      </c>
      <c r="F348" s="4" t="str">
        <f t="shared" si="34"/>
        <v>N</v>
      </c>
      <c r="G348" s="4" t="str">
        <f>IF(COUNTIF(PublicHols[Date], A348)&gt;0, "Y", "N")</f>
        <v>N</v>
      </c>
      <c r="H348" s="3" t="str">
        <f>IFERROR(_xlfn.XLOOKUP(A348, PublicHols[Date], PublicHols[PH_Name]),"")</f>
        <v/>
      </c>
      <c r="I348" s="4" t="str">
        <f>IF(COUNTIF(EventsAll[Date], A348)&gt;0, "Y", "N")</f>
        <v>N</v>
      </c>
      <c r="J348" s="11" t="str">
        <f>IFERROR(_xlfn.XLOOKUP(A348, EventsAll[Date], EventsAll[Event]),"")</f>
        <v/>
      </c>
      <c r="K348" s="4" t="str" cm="1">
        <f t="array" ref="K348">IF(SUMPRODUCT((A348&gt;=SchoolHols[Start])*(A348&lt;=SchoolHols[End]))&gt;0,"Y","N")</f>
        <v>Y</v>
      </c>
    </row>
    <row r="349" spans="1:11">
      <c r="A349" s="6">
        <f t="shared" si="35"/>
        <v>43813</v>
      </c>
      <c r="B349" s="4" t="str">
        <f t="shared" si="30"/>
        <v>14</v>
      </c>
      <c r="C349" s="4" t="str">
        <f t="shared" si="31"/>
        <v>12</v>
      </c>
      <c r="D349" s="4" t="str">
        <f t="shared" si="32"/>
        <v>2019</v>
      </c>
      <c r="E349" s="3" t="str">
        <f t="shared" si="33"/>
        <v>Saturday</v>
      </c>
      <c r="F349" s="4" t="str">
        <f t="shared" si="34"/>
        <v>N</v>
      </c>
      <c r="G349" s="4" t="str">
        <f>IF(COUNTIF(PublicHols[Date], A349)&gt;0, "Y", "N")</f>
        <v>N</v>
      </c>
      <c r="H349" s="3" t="str">
        <f>IFERROR(_xlfn.XLOOKUP(A349, PublicHols[Date], PublicHols[PH_Name]),"")</f>
        <v/>
      </c>
      <c r="I349" s="4" t="str">
        <f>IF(COUNTIF(EventsAll[Date], A349)&gt;0, "Y", "N")</f>
        <v>N</v>
      </c>
      <c r="J349" s="11" t="str">
        <f>IFERROR(_xlfn.XLOOKUP(A349, EventsAll[Date], EventsAll[Event]),"")</f>
        <v/>
      </c>
      <c r="K349" s="4" t="str" cm="1">
        <f t="array" ref="K349">IF(SUMPRODUCT((A349&gt;=SchoolHols[Start])*(A349&lt;=SchoolHols[End]))&gt;0,"Y","N")</f>
        <v>Y</v>
      </c>
    </row>
    <row r="350" spans="1:11">
      <c r="A350" s="6">
        <f t="shared" si="35"/>
        <v>43814</v>
      </c>
      <c r="B350" s="4" t="str">
        <f t="shared" si="30"/>
        <v>15</v>
      </c>
      <c r="C350" s="4" t="str">
        <f t="shared" si="31"/>
        <v>12</v>
      </c>
      <c r="D350" s="4" t="str">
        <f t="shared" si="32"/>
        <v>2019</v>
      </c>
      <c r="E350" s="3" t="str">
        <f t="shared" si="33"/>
        <v>Sunday</v>
      </c>
      <c r="F350" s="4" t="str">
        <f t="shared" si="34"/>
        <v>Y</v>
      </c>
      <c r="G350" s="4" t="str">
        <f>IF(COUNTIF(PublicHols[Date], A350)&gt;0, "Y", "N")</f>
        <v>N</v>
      </c>
      <c r="H350" s="3" t="str">
        <f>IFERROR(_xlfn.XLOOKUP(A350, PublicHols[Date], PublicHols[PH_Name]),"")</f>
        <v/>
      </c>
      <c r="I350" s="4" t="str">
        <f>IF(COUNTIF(EventsAll[Date], A350)&gt;0, "Y", "N")</f>
        <v>Y</v>
      </c>
      <c r="J350" s="11" t="str">
        <f>IFERROR(_xlfn.XLOOKUP(A350, EventsAll[Date], EventsAll[Event]),"")</f>
        <v xml:space="preserve"> Peak Festive Trading</v>
      </c>
      <c r="K350" s="4" t="str" cm="1">
        <f t="array" ref="K350">IF(SUMPRODUCT((A350&gt;=SchoolHols[Start])*(A350&lt;=SchoolHols[End]))&gt;0,"Y","N")</f>
        <v>Y</v>
      </c>
    </row>
    <row r="351" spans="1:11">
      <c r="A351" s="6">
        <f t="shared" si="35"/>
        <v>43815</v>
      </c>
      <c r="B351" s="4" t="str">
        <f t="shared" si="30"/>
        <v>16</v>
      </c>
      <c r="C351" s="4" t="str">
        <f t="shared" si="31"/>
        <v>12</v>
      </c>
      <c r="D351" s="4" t="str">
        <f t="shared" si="32"/>
        <v>2019</v>
      </c>
      <c r="E351" s="3" t="str">
        <f t="shared" si="33"/>
        <v>Monday</v>
      </c>
      <c r="F351" s="4" t="str">
        <f t="shared" si="34"/>
        <v>N</v>
      </c>
      <c r="G351" s="4" t="str">
        <f>IF(COUNTIF(PublicHols[Date], A351)&gt;0, "Y", "N")</f>
        <v>Y</v>
      </c>
      <c r="H351" s="3" t="str">
        <f>IFERROR(_xlfn.XLOOKUP(A351, PublicHols[Date], PublicHols[PH_Name]),"")</f>
        <v>Day of Reconciliation</v>
      </c>
      <c r="I351" s="4" t="str">
        <f>IF(COUNTIF(EventsAll[Date], A351)&gt;0, "Y", "N")</f>
        <v>N</v>
      </c>
      <c r="J351" s="11" t="str">
        <f>IFERROR(_xlfn.XLOOKUP(A351, EventsAll[Date], EventsAll[Event]),"")</f>
        <v/>
      </c>
      <c r="K351" s="4" t="str" cm="1">
        <f t="array" ref="K351">IF(SUMPRODUCT((A351&gt;=SchoolHols[Start])*(A351&lt;=SchoolHols[End]))&gt;0,"Y","N")</f>
        <v>Y</v>
      </c>
    </row>
    <row r="352" spans="1:11">
      <c r="A352" s="6">
        <f t="shared" si="35"/>
        <v>43816</v>
      </c>
      <c r="B352" s="4" t="str">
        <f t="shared" si="30"/>
        <v>17</v>
      </c>
      <c r="C352" s="4" t="str">
        <f t="shared" si="31"/>
        <v>12</v>
      </c>
      <c r="D352" s="4" t="str">
        <f t="shared" si="32"/>
        <v>2019</v>
      </c>
      <c r="E352" s="3" t="str">
        <f t="shared" si="33"/>
        <v>Tuesday</v>
      </c>
      <c r="F352" s="4" t="str">
        <f t="shared" si="34"/>
        <v>N</v>
      </c>
      <c r="G352" s="4" t="str">
        <f>IF(COUNTIF(PublicHols[Date], A352)&gt;0, "Y", "N")</f>
        <v>N</v>
      </c>
      <c r="H352" s="3" t="str">
        <f>IFERROR(_xlfn.XLOOKUP(A352, PublicHols[Date], PublicHols[PH_Name]),"")</f>
        <v/>
      </c>
      <c r="I352" s="4" t="str">
        <f>IF(COUNTIF(EventsAll[Date], A352)&gt;0, "Y", "N")</f>
        <v>N</v>
      </c>
      <c r="J352" s="11" t="str">
        <f>IFERROR(_xlfn.XLOOKUP(A352, EventsAll[Date], EventsAll[Event]),"")</f>
        <v/>
      </c>
      <c r="K352" s="4" t="str" cm="1">
        <f t="array" ref="K352">IF(SUMPRODUCT((A352&gt;=SchoolHols[Start])*(A352&lt;=SchoolHols[End]))&gt;0,"Y","N")</f>
        <v>Y</v>
      </c>
    </row>
    <row r="353" spans="1:11">
      <c r="A353" s="6">
        <f t="shared" si="35"/>
        <v>43817</v>
      </c>
      <c r="B353" s="4" t="str">
        <f t="shared" si="30"/>
        <v>18</v>
      </c>
      <c r="C353" s="4" t="str">
        <f t="shared" si="31"/>
        <v>12</v>
      </c>
      <c r="D353" s="4" t="str">
        <f t="shared" si="32"/>
        <v>2019</v>
      </c>
      <c r="E353" s="3" t="str">
        <f t="shared" si="33"/>
        <v>Wednesday</v>
      </c>
      <c r="F353" s="4" t="str">
        <f t="shared" si="34"/>
        <v>N</v>
      </c>
      <c r="G353" s="4" t="str">
        <f>IF(COUNTIF(PublicHols[Date], A353)&gt;0, "Y", "N")</f>
        <v>N</v>
      </c>
      <c r="H353" s="3" t="str">
        <f>IFERROR(_xlfn.XLOOKUP(A353, PublicHols[Date], PublicHols[PH_Name]),"")</f>
        <v/>
      </c>
      <c r="I353" s="4" t="str">
        <f>IF(COUNTIF(EventsAll[Date], A353)&gt;0, "Y", "N")</f>
        <v>N</v>
      </c>
      <c r="J353" s="11" t="str">
        <f>IFERROR(_xlfn.XLOOKUP(A353, EventsAll[Date], EventsAll[Event]),"")</f>
        <v/>
      </c>
      <c r="K353" s="4" t="str" cm="1">
        <f t="array" ref="K353">IF(SUMPRODUCT((A353&gt;=SchoolHols[Start])*(A353&lt;=SchoolHols[End]))&gt;0,"Y","N")</f>
        <v>Y</v>
      </c>
    </row>
    <row r="354" spans="1:11">
      <c r="A354" s="6">
        <f t="shared" si="35"/>
        <v>43818</v>
      </c>
      <c r="B354" s="4" t="str">
        <f t="shared" si="30"/>
        <v>19</v>
      </c>
      <c r="C354" s="4" t="str">
        <f t="shared" si="31"/>
        <v>12</v>
      </c>
      <c r="D354" s="4" t="str">
        <f t="shared" si="32"/>
        <v>2019</v>
      </c>
      <c r="E354" s="3" t="str">
        <f t="shared" si="33"/>
        <v>Thursday</v>
      </c>
      <c r="F354" s="4" t="str">
        <f t="shared" si="34"/>
        <v>N</v>
      </c>
      <c r="G354" s="4" t="str">
        <f>IF(COUNTIF(PublicHols[Date], A354)&gt;0, "Y", "N")</f>
        <v>N</v>
      </c>
      <c r="H354" s="3" t="str">
        <f>IFERROR(_xlfn.XLOOKUP(A354, PublicHols[Date], PublicHols[PH_Name]),"")</f>
        <v/>
      </c>
      <c r="I354" s="4" t="str">
        <f>IF(COUNTIF(EventsAll[Date], A354)&gt;0, "Y", "N")</f>
        <v>N</v>
      </c>
      <c r="J354" s="11" t="str">
        <f>IFERROR(_xlfn.XLOOKUP(A354, EventsAll[Date], EventsAll[Event]),"")</f>
        <v/>
      </c>
      <c r="K354" s="4" t="str" cm="1">
        <f t="array" ref="K354">IF(SUMPRODUCT((A354&gt;=SchoolHols[Start])*(A354&lt;=SchoolHols[End]))&gt;0,"Y","N")</f>
        <v>Y</v>
      </c>
    </row>
    <row r="355" spans="1:11">
      <c r="A355" s="6">
        <f t="shared" si="35"/>
        <v>43819</v>
      </c>
      <c r="B355" s="4" t="str">
        <f t="shared" si="30"/>
        <v>20</v>
      </c>
      <c r="C355" s="4" t="str">
        <f t="shared" si="31"/>
        <v>12</v>
      </c>
      <c r="D355" s="4" t="str">
        <f t="shared" si="32"/>
        <v>2019</v>
      </c>
      <c r="E355" s="3" t="str">
        <f t="shared" si="33"/>
        <v>Friday</v>
      </c>
      <c r="F355" s="4" t="str">
        <f t="shared" si="34"/>
        <v>N</v>
      </c>
      <c r="G355" s="4" t="str">
        <f>IF(COUNTIF(PublicHols[Date], A355)&gt;0, "Y", "N")</f>
        <v>N</v>
      </c>
      <c r="H355" s="3" t="str">
        <f>IFERROR(_xlfn.XLOOKUP(A355, PublicHols[Date], PublicHols[PH_Name]),"")</f>
        <v/>
      </c>
      <c r="I355" s="4" t="str">
        <f>IF(COUNTIF(EventsAll[Date], A355)&gt;0, "Y", "N")</f>
        <v>N</v>
      </c>
      <c r="J355" s="11" t="str">
        <f>IFERROR(_xlfn.XLOOKUP(A355, EventsAll[Date], EventsAll[Event]),"")</f>
        <v/>
      </c>
      <c r="K355" s="4" t="str" cm="1">
        <f t="array" ref="K355">IF(SUMPRODUCT((A355&gt;=SchoolHols[Start])*(A355&lt;=SchoolHols[End]))&gt;0,"Y","N")</f>
        <v>Y</v>
      </c>
    </row>
    <row r="356" spans="1:11">
      <c r="A356" s="6">
        <f t="shared" si="35"/>
        <v>43820</v>
      </c>
      <c r="B356" s="4" t="str">
        <f t="shared" si="30"/>
        <v>21</v>
      </c>
      <c r="C356" s="4" t="str">
        <f t="shared" si="31"/>
        <v>12</v>
      </c>
      <c r="D356" s="4" t="str">
        <f t="shared" si="32"/>
        <v>2019</v>
      </c>
      <c r="E356" s="3" t="str">
        <f t="shared" si="33"/>
        <v>Saturday</v>
      </c>
      <c r="F356" s="4" t="str">
        <f t="shared" si="34"/>
        <v>N</v>
      </c>
      <c r="G356" s="4" t="str">
        <f>IF(COUNTIF(PublicHols[Date], A356)&gt;0, "Y", "N")</f>
        <v>N</v>
      </c>
      <c r="H356" s="3" t="str">
        <f>IFERROR(_xlfn.XLOOKUP(A356, PublicHols[Date], PublicHols[PH_Name]),"")</f>
        <v/>
      </c>
      <c r="I356" s="4" t="str">
        <f>IF(COUNTIF(EventsAll[Date], A356)&gt;0, "Y", "N")</f>
        <v>N</v>
      </c>
      <c r="J356" s="11" t="str">
        <f>IFERROR(_xlfn.XLOOKUP(A356, EventsAll[Date], EventsAll[Event]),"")</f>
        <v/>
      </c>
      <c r="K356" s="4" t="str" cm="1">
        <f t="array" ref="K356">IF(SUMPRODUCT((A356&gt;=SchoolHols[Start])*(A356&lt;=SchoolHols[End]))&gt;0,"Y","N")</f>
        <v>Y</v>
      </c>
    </row>
    <row r="357" spans="1:11">
      <c r="A357" s="6">
        <f t="shared" si="35"/>
        <v>43821</v>
      </c>
      <c r="B357" s="4" t="str">
        <f t="shared" si="30"/>
        <v>22</v>
      </c>
      <c r="C357" s="4" t="str">
        <f t="shared" si="31"/>
        <v>12</v>
      </c>
      <c r="D357" s="4" t="str">
        <f t="shared" si="32"/>
        <v>2019</v>
      </c>
      <c r="E357" s="3" t="str">
        <f t="shared" si="33"/>
        <v>Sunday</v>
      </c>
      <c r="F357" s="4" t="str">
        <f t="shared" si="34"/>
        <v>Y</v>
      </c>
      <c r="G357" s="4" t="str">
        <f>IF(COUNTIF(PublicHols[Date], A357)&gt;0, "Y", "N")</f>
        <v>N</v>
      </c>
      <c r="H357" s="3" t="str">
        <f>IFERROR(_xlfn.XLOOKUP(A357, PublicHols[Date], PublicHols[PH_Name]),"")</f>
        <v/>
      </c>
      <c r="I357" s="4" t="str">
        <f>IF(COUNTIF(EventsAll[Date], A357)&gt;0, "Y", "N")</f>
        <v>N</v>
      </c>
      <c r="J357" s="11" t="str">
        <f>IFERROR(_xlfn.XLOOKUP(A357, EventsAll[Date], EventsAll[Event]),"")</f>
        <v/>
      </c>
      <c r="K357" s="4" t="str" cm="1">
        <f t="array" ref="K357">IF(SUMPRODUCT((A357&gt;=SchoolHols[Start])*(A357&lt;=SchoolHols[End]))&gt;0,"Y","N")</f>
        <v>Y</v>
      </c>
    </row>
    <row r="358" spans="1:11">
      <c r="A358" s="6">
        <f t="shared" si="35"/>
        <v>43822</v>
      </c>
      <c r="B358" s="4" t="str">
        <f t="shared" si="30"/>
        <v>23</v>
      </c>
      <c r="C358" s="4" t="str">
        <f t="shared" si="31"/>
        <v>12</v>
      </c>
      <c r="D358" s="4" t="str">
        <f t="shared" si="32"/>
        <v>2019</v>
      </c>
      <c r="E358" s="3" t="str">
        <f t="shared" si="33"/>
        <v>Monday</v>
      </c>
      <c r="F358" s="4" t="str">
        <f t="shared" si="34"/>
        <v>N</v>
      </c>
      <c r="G358" s="4" t="str">
        <f>IF(COUNTIF(PublicHols[Date], A358)&gt;0, "Y", "N")</f>
        <v>N</v>
      </c>
      <c r="H358" s="3" t="str">
        <f>IFERROR(_xlfn.XLOOKUP(A358, PublicHols[Date], PublicHols[PH_Name]),"")</f>
        <v/>
      </c>
      <c r="I358" s="4" t="str">
        <f>IF(COUNTIF(EventsAll[Date], A358)&gt;0, "Y", "N")</f>
        <v>N</v>
      </c>
      <c r="J358" s="11" t="str">
        <f>IFERROR(_xlfn.XLOOKUP(A358, EventsAll[Date], EventsAll[Event]),"")</f>
        <v/>
      </c>
      <c r="K358" s="4" t="str" cm="1">
        <f t="array" ref="K358">IF(SUMPRODUCT((A358&gt;=SchoolHols[Start])*(A358&lt;=SchoolHols[End]))&gt;0,"Y","N")</f>
        <v>Y</v>
      </c>
    </row>
    <row r="359" spans="1:11">
      <c r="A359" s="6">
        <f t="shared" si="35"/>
        <v>43823</v>
      </c>
      <c r="B359" s="4" t="str">
        <f t="shared" si="30"/>
        <v>24</v>
      </c>
      <c r="C359" s="4" t="str">
        <f t="shared" si="31"/>
        <v>12</v>
      </c>
      <c r="D359" s="4" t="str">
        <f t="shared" si="32"/>
        <v>2019</v>
      </c>
      <c r="E359" s="3" t="str">
        <f t="shared" si="33"/>
        <v>Tuesday</v>
      </c>
      <c r="F359" s="4" t="str">
        <f t="shared" si="34"/>
        <v>N</v>
      </c>
      <c r="G359" s="4" t="str">
        <f>IF(COUNTIF(PublicHols[Date], A359)&gt;0, "Y", "N")</f>
        <v>N</v>
      </c>
      <c r="H359" s="3" t="str">
        <f>IFERROR(_xlfn.XLOOKUP(A359, PublicHols[Date], PublicHols[PH_Name]),"")</f>
        <v/>
      </c>
      <c r="I359" s="4" t="str">
        <f>IF(COUNTIF(EventsAll[Date], A359)&gt;0, "Y", "N")</f>
        <v>N</v>
      </c>
      <c r="J359" s="11" t="str">
        <f>IFERROR(_xlfn.XLOOKUP(A359, EventsAll[Date], EventsAll[Event]),"")</f>
        <v/>
      </c>
      <c r="K359" s="4" t="str" cm="1">
        <f t="array" ref="K359">IF(SUMPRODUCT((A359&gt;=SchoolHols[Start])*(A359&lt;=SchoolHols[End]))&gt;0,"Y","N")</f>
        <v>Y</v>
      </c>
    </row>
    <row r="360" spans="1:11">
      <c r="A360" s="6">
        <f t="shared" si="35"/>
        <v>43824</v>
      </c>
      <c r="B360" s="4" t="str">
        <f t="shared" si="30"/>
        <v>25</v>
      </c>
      <c r="C360" s="4" t="str">
        <f t="shared" si="31"/>
        <v>12</v>
      </c>
      <c r="D360" s="4" t="str">
        <f t="shared" si="32"/>
        <v>2019</v>
      </c>
      <c r="E360" s="3" t="str">
        <f t="shared" si="33"/>
        <v>Wednesday</v>
      </c>
      <c r="F360" s="4" t="str">
        <f t="shared" si="34"/>
        <v>N</v>
      </c>
      <c r="G360" s="4" t="str">
        <f>IF(COUNTIF(PublicHols[Date], A360)&gt;0, "Y", "N")</f>
        <v>Y</v>
      </c>
      <c r="H360" s="3" t="str">
        <f>IFERROR(_xlfn.XLOOKUP(A360, PublicHols[Date], PublicHols[PH_Name]),"")</f>
        <v>Christmas Day</v>
      </c>
      <c r="I360" s="4" t="str">
        <f>IF(COUNTIF(EventsAll[Date], A360)&gt;0, "Y", "N")</f>
        <v>N</v>
      </c>
      <c r="J360" s="11" t="str">
        <f>IFERROR(_xlfn.XLOOKUP(A360, EventsAll[Date], EventsAll[Event]),"")</f>
        <v/>
      </c>
      <c r="K360" s="4" t="str" cm="1">
        <f t="array" ref="K360">IF(SUMPRODUCT((A360&gt;=SchoolHols[Start])*(A360&lt;=SchoolHols[End]))&gt;0,"Y","N")</f>
        <v>Y</v>
      </c>
    </row>
    <row r="361" spans="1:11">
      <c r="A361" s="6">
        <f t="shared" si="35"/>
        <v>43825</v>
      </c>
      <c r="B361" s="4" t="str">
        <f t="shared" si="30"/>
        <v>26</v>
      </c>
      <c r="C361" s="4" t="str">
        <f t="shared" si="31"/>
        <v>12</v>
      </c>
      <c r="D361" s="4" t="str">
        <f t="shared" si="32"/>
        <v>2019</v>
      </c>
      <c r="E361" s="3" t="str">
        <f t="shared" si="33"/>
        <v>Thursday</v>
      </c>
      <c r="F361" s="4" t="str">
        <f t="shared" si="34"/>
        <v>N</v>
      </c>
      <c r="G361" s="4" t="str">
        <f>IF(COUNTIF(PublicHols[Date], A361)&gt;0, "Y", "N")</f>
        <v>Y</v>
      </c>
      <c r="H361" s="3" t="str">
        <f>IFERROR(_xlfn.XLOOKUP(A361, PublicHols[Date], PublicHols[PH_Name]),"")</f>
        <v>Day of Goodwill</v>
      </c>
      <c r="I361" s="4" t="str">
        <f>IF(COUNTIF(EventsAll[Date], A361)&gt;0, "Y", "N")</f>
        <v>N</v>
      </c>
      <c r="J361" s="11" t="str">
        <f>IFERROR(_xlfn.XLOOKUP(A361, EventsAll[Date], EventsAll[Event]),"")</f>
        <v/>
      </c>
      <c r="K361" s="4" t="str" cm="1">
        <f t="array" ref="K361">IF(SUMPRODUCT((A361&gt;=SchoolHols[Start])*(A361&lt;=SchoolHols[End]))&gt;0,"Y","N")</f>
        <v>Y</v>
      </c>
    </row>
    <row r="362" spans="1:11">
      <c r="A362" s="6">
        <f t="shared" si="35"/>
        <v>43826</v>
      </c>
      <c r="B362" s="4" t="str">
        <f t="shared" si="30"/>
        <v>27</v>
      </c>
      <c r="C362" s="4" t="str">
        <f t="shared" si="31"/>
        <v>12</v>
      </c>
      <c r="D362" s="4" t="str">
        <f t="shared" si="32"/>
        <v>2019</v>
      </c>
      <c r="E362" s="3" t="str">
        <f t="shared" si="33"/>
        <v>Friday</v>
      </c>
      <c r="F362" s="4" t="str">
        <f t="shared" si="34"/>
        <v>N</v>
      </c>
      <c r="G362" s="4" t="str">
        <f>IF(COUNTIF(PublicHols[Date], A362)&gt;0, "Y", "N")</f>
        <v>N</v>
      </c>
      <c r="H362" s="3" t="str">
        <f>IFERROR(_xlfn.XLOOKUP(A362, PublicHols[Date], PublicHols[PH_Name]),"")</f>
        <v/>
      </c>
      <c r="I362" s="4" t="str">
        <f>IF(COUNTIF(EventsAll[Date], A362)&gt;0, "Y", "N")</f>
        <v>N</v>
      </c>
      <c r="J362" s="11" t="str">
        <f>IFERROR(_xlfn.XLOOKUP(A362, EventsAll[Date], EventsAll[Event]),"")</f>
        <v/>
      </c>
      <c r="K362" s="4" t="str" cm="1">
        <f t="array" ref="K362">IF(SUMPRODUCT((A362&gt;=SchoolHols[Start])*(A362&lt;=SchoolHols[End]))&gt;0,"Y","N")</f>
        <v>Y</v>
      </c>
    </row>
    <row r="363" spans="1:11">
      <c r="A363" s="6">
        <f t="shared" si="35"/>
        <v>43827</v>
      </c>
      <c r="B363" s="4" t="str">
        <f t="shared" si="30"/>
        <v>28</v>
      </c>
      <c r="C363" s="4" t="str">
        <f t="shared" si="31"/>
        <v>12</v>
      </c>
      <c r="D363" s="4" t="str">
        <f t="shared" si="32"/>
        <v>2019</v>
      </c>
      <c r="E363" s="3" t="str">
        <f t="shared" si="33"/>
        <v>Saturday</v>
      </c>
      <c r="F363" s="4" t="str">
        <f t="shared" si="34"/>
        <v>N</v>
      </c>
      <c r="G363" s="4" t="str">
        <f>IF(COUNTIF(PublicHols[Date], A363)&gt;0, "Y", "N")</f>
        <v>N</v>
      </c>
      <c r="H363" s="3" t="str">
        <f>IFERROR(_xlfn.XLOOKUP(A363, PublicHols[Date], PublicHols[PH_Name]),"")</f>
        <v/>
      </c>
      <c r="I363" s="4" t="str">
        <f>IF(COUNTIF(EventsAll[Date], A363)&gt;0, "Y", "N")</f>
        <v>N</v>
      </c>
      <c r="J363" s="11" t="str">
        <f>IFERROR(_xlfn.XLOOKUP(A363, EventsAll[Date], EventsAll[Event]),"")</f>
        <v/>
      </c>
      <c r="K363" s="4" t="str" cm="1">
        <f t="array" ref="K363">IF(SUMPRODUCT((A363&gt;=SchoolHols[Start])*(A363&lt;=SchoolHols[End]))&gt;0,"Y","N")</f>
        <v>Y</v>
      </c>
    </row>
    <row r="364" spans="1:11">
      <c r="A364" s="6">
        <f t="shared" si="35"/>
        <v>43828</v>
      </c>
      <c r="B364" s="4" t="str">
        <f t="shared" si="30"/>
        <v>29</v>
      </c>
      <c r="C364" s="4" t="str">
        <f t="shared" si="31"/>
        <v>12</v>
      </c>
      <c r="D364" s="4" t="str">
        <f t="shared" si="32"/>
        <v>2019</v>
      </c>
      <c r="E364" s="3" t="str">
        <f t="shared" si="33"/>
        <v>Sunday</v>
      </c>
      <c r="F364" s="4" t="str">
        <f t="shared" si="34"/>
        <v>Y</v>
      </c>
      <c r="G364" s="4" t="str">
        <f>IF(COUNTIF(PublicHols[Date], A364)&gt;0, "Y", "N")</f>
        <v>N</v>
      </c>
      <c r="H364" s="3" t="str">
        <f>IFERROR(_xlfn.XLOOKUP(A364, PublicHols[Date], PublicHols[PH_Name]),"")</f>
        <v/>
      </c>
      <c r="I364" s="4" t="str">
        <f>IF(COUNTIF(EventsAll[Date], A364)&gt;0, "Y", "N")</f>
        <v>N</v>
      </c>
      <c r="J364" s="11" t="str">
        <f>IFERROR(_xlfn.XLOOKUP(A364, EventsAll[Date], EventsAll[Event]),"")</f>
        <v/>
      </c>
      <c r="K364" s="4" t="str" cm="1">
        <f t="array" ref="K364">IF(SUMPRODUCT((A364&gt;=SchoolHols[Start])*(A364&lt;=SchoolHols[End]))&gt;0,"Y","N")</f>
        <v>Y</v>
      </c>
    </row>
    <row r="365" spans="1:11">
      <c r="A365" s="6">
        <f t="shared" si="35"/>
        <v>43829</v>
      </c>
      <c r="B365" s="4" t="str">
        <f t="shared" si="30"/>
        <v>30</v>
      </c>
      <c r="C365" s="4" t="str">
        <f t="shared" si="31"/>
        <v>12</v>
      </c>
      <c r="D365" s="4" t="str">
        <f t="shared" si="32"/>
        <v>2019</v>
      </c>
      <c r="E365" s="3" t="str">
        <f t="shared" si="33"/>
        <v>Monday</v>
      </c>
      <c r="F365" s="4" t="str">
        <f t="shared" si="34"/>
        <v>N</v>
      </c>
      <c r="G365" s="4" t="str">
        <f>IF(COUNTIF(PublicHols[Date], A365)&gt;0, "Y", "N")</f>
        <v>N</v>
      </c>
      <c r="H365" s="3" t="str">
        <f>IFERROR(_xlfn.XLOOKUP(A365, PublicHols[Date], PublicHols[PH_Name]),"")</f>
        <v/>
      </c>
      <c r="I365" s="4" t="str">
        <f>IF(COUNTIF(EventsAll[Date], A365)&gt;0, "Y", "N")</f>
        <v>N</v>
      </c>
      <c r="J365" s="11" t="str">
        <f>IFERROR(_xlfn.XLOOKUP(A365, EventsAll[Date], EventsAll[Event]),"")</f>
        <v/>
      </c>
      <c r="K365" s="4" t="str" cm="1">
        <f t="array" ref="K365">IF(SUMPRODUCT((A365&gt;=SchoolHols[Start])*(A365&lt;=SchoolHols[End]))&gt;0,"Y","N")</f>
        <v>Y</v>
      </c>
    </row>
    <row r="366" spans="1:11">
      <c r="A366" s="6">
        <f t="shared" si="35"/>
        <v>43830</v>
      </c>
      <c r="B366" s="4" t="str">
        <f t="shared" si="30"/>
        <v>31</v>
      </c>
      <c r="C366" s="4" t="str">
        <f t="shared" si="31"/>
        <v>12</v>
      </c>
      <c r="D366" s="4" t="str">
        <f t="shared" si="32"/>
        <v>2019</v>
      </c>
      <c r="E366" s="3" t="str">
        <f t="shared" si="33"/>
        <v>Tuesday</v>
      </c>
      <c r="F366" s="4" t="str">
        <f t="shared" si="34"/>
        <v>N</v>
      </c>
      <c r="G366" s="4" t="str">
        <f>IF(COUNTIF(PublicHols[Date], A366)&gt;0, "Y", "N")</f>
        <v>N</v>
      </c>
      <c r="H366" s="3" t="str">
        <f>IFERROR(_xlfn.XLOOKUP(A366, PublicHols[Date], PublicHols[PH_Name]),"")</f>
        <v/>
      </c>
      <c r="I366" s="4" t="str">
        <f>IF(COUNTIF(EventsAll[Date], A366)&gt;0, "Y", "N")</f>
        <v>Y</v>
      </c>
      <c r="J366" s="11" t="str">
        <f>IFERROR(_xlfn.XLOOKUP(A366, EventsAll[Date], EventsAll[Event]),"")</f>
        <v>New Years Eve</v>
      </c>
      <c r="K366" s="4" t="str" cm="1">
        <f t="array" ref="K366">IF(SUMPRODUCT((A366&gt;=SchoolHols[Start])*(A366&lt;=SchoolHols[End]))&gt;0,"Y","N")</f>
        <v>Y</v>
      </c>
    </row>
  </sheetData>
  <sheetProtection sheet="1" objects="1" scenarios="1" selectLockedCells="1"/>
  <conditionalFormatting sqref="A2:K367">
    <cfRule type="expression" dxfId="7" priority="1">
      <formula>$I2="Y"</formula>
    </cfRule>
    <cfRule type="expression" dxfId="6" priority="2">
      <formula>$G2="Y"</formula>
    </cfRule>
    <cfRule type="expression" dxfId="5" priority="3">
      <formula>$F2="Y"</formula>
    </cfRule>
    <cfRule type="expression" dxfId="4" priority="4" stopIfTrue="1">
      <formula>$K2="Y"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6"/>
  <sheetViews>
    <sheetView workbookViewId="0">
      <pane ySplit="1" topLeftCell="A308" activePane="bottomLeft" state="frozen"/>
      <selection pane="bottomLeft" activeCell="A2" sqref="A2"/>
      <selection activeCell="B2" sqref="B2:B366"/>
    </sheetView>
  </sheetViews>
  <sheetFormatPr defaultRowHeight="14.45"/>
  <cols>
    <col min="1" max="1" width="12" style="10" customWidth="1"/>
    <col min="2" max="2" width="5" style="5" customWidth="1"/>
    <col min="3" max="3" width="7" style="5" customWidth="1"/>
    <col min="4" max="4" width="6" style="5" customWidth="1"/>
    <col min="5" max="5" width="14" customWidth="1"/>
    <col min="6" max="7" width="9.85546875" style="5" customWidth="1"/>
    <col min="8" max="8" width="29.42578125" customWidth="1"/>
    <col min="9" max="9" width="9.85546875" style="5" customWidth="1"/>
    <col min="10" max="10" width="29.42578125" style="8" customWidth="1"/>
    <col min="11" max="11" width="9.85546875" style="5" customWidth="1"/>
  </cols>
  <sheetData>
    <row r="1" spans="1:11" s="1" customFormat="1" ht="57.95">
      <c r="A1" s="9" t="s">
        <v>42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</row>
    <row r="2" spans="1:11">
      <c r="A2" s="20">
        <v>43101</v>
      </c>
      <c r="B2" s="4" t="str">
        <f>TEXT($A2, "dd")</f>
        <v>01</v>
      </c>
      <c r="C2" s="4" t="str">
        <f>TEXT($A2, "mm")</f>
        <v>01</v>
      </c>
      <c r="D2" s="4" t="str">
        <f>TEXT($A2, "yyyy")</f>
        <v>2018</v>
      </c>
      <c r="E2" s="3" t="str">
        <f>TEXT($A2, "dddd")</f>
        <v>Monday</v>
      </c>
      <c r="F2" s="4" t="str">
        <f>IF($E2="Sunday", "Y", "N")</f>
        <v>N</v>
      </c>
      <c r="G2" s="4" t="str">
        <f>IF(COUNTIF(PublicHols[Date], A2)&gt;0, "Y", "N")</f>
        <v>Y</v>
      </c>
      <c r="H2" s="19" t="str">
        <f>IFERROR(_xlfn.XLOOKUP(A2, PublicHols[Date], PublicHols[PH_Name]),"")</f>
        <v>New Year's Day</v>
      </c>
      <c r="I2" s="18" t="str">
        <f>IF(COUNTIF(EventsAll[Date], A2)&gt;0, "Y", "N")</f>
        <v>N</v>
      </c>
      <c r="J2" s="11" t="str">
        <f>IFERROR(_xlfn.XLOOKUP(A2, EventsAll[Date], EventsAll[Event]),"")</f>
        <v/>
      </c>
      <c r="K2" s="18" t="str" cm="1">
        <f t="array" ref="K2">IF(SUMPRODUCT((A2&gt;=SchoolHols[Start])*(A2&lt;=SchoolHols[End]))&gt;0,"Y","N")</f>
        <v>Y</v>
      </c>
    </row>
    <row r="3" spans="1:11">
      <c r="A3" s="6">
        <f>$A2+1</f>
        <v>43102</v>
      </c>
      <c r="B3" s="4" t="str">
        <f t="shared" ref="B3:B66" si="0">TEXT($A3, "dd")</f>
        <v>02</v>
      </c>
      <c r="C3" s="4" t="str">
        <f t="shared" ref="C3:C66" si="1">TEXT($A3, "mm")</f>
        <v>01</v>
      </c>
      <c r="D3" s="4" t="str">
        <f t="shared" ref="D3:D66" si="2">TEXT($A3, "yyyy")</f>
        <v>2018</v>
      </c>
      <c r="E3" s="3" t="str">
        <f t="shared" ref="E3:E66" si="3">TEXT($A3, "dddd")</f>
        <v>Tuesday</v>
      </c>
      <c r="F3" s="4" t="str">
        <f t="shared" ref="F3:F66" si="4">IF($E3="Sunday", "Y", "N")</f>
        <v>N</v>
      </c>
      <c r="G3" s="4" t="str">
        <f>IF(COUNTIF(PublicHols[Date], A3)&gt;0, "Y", "N")</f>
        <v>N</v>
      </c>
      <c r="H3" s="3" t="str">
        <f>IFERROR(_xlfn.XLOOKUP(A3, PublicHols[Date], PublicHols[PH_Name]),"")</f>
        <v/>
      </c>
      <c r="I3" s="4" t="str">
        <f>IF(COUNTIF(EventsAll[Date], A3)&gt;0, "Y", "N")</f>
        <v>N</v>
      </c>
      <c r="J3" s="11" t="str">
        <f>IFERROR(_xlfn.XLOOKUP(A3, EventsAll[Date], EventsAll[Event]),"")</f>
        <v/>
      </c>
      <c r="K3" s="4" t="str" cm="1">
        <f t="array" ref="K3">IF(SUMPRODUCT((A3&gt;=SchoolHols[Start])*(A3&lt;=SchoolHols[End]))&gt;0,"Y","N")</f>
        <v>Y</v>
      </c>
    </row>
    <row r="4" spans="1:11">
      <c r="A4" s="6">
        <f t="shared" ref="A4:A67" si="5">$A3+1</f>
        <v>43103</v>
      </c>
      <c r="B4" s="4" t="str">
        <f t="shared" si="0"/>
        <v>03</v>
      </c>
      <c r="C4" s="4" t="str">
        <f t="shared" si="1"/>
        <v>01</v>
      </c>
      <c r="D4" s="4" t="str">
        <f t="shared" si="2"/>
        <v>2018</v>
      </c>
      <c r="E4" s="3" t="str">
        <f t="shared" si="3"/>
        <v>Wednesday</v>
      </c>
      <c r="F4" s="4" t="str">
        <f t="shared" si="4"/>
        <v>N</v>
      </c>
      <c r="G4" s="4" t="str">
        <f>IF(COUNTIF(PublicHols[Date], A4)&gt;0, "Y", "N")</f>
        <v>N</v>
      </c>
      <c r="H4" s="3" t="str">
        <f>IFERROR(_xlfn.XLOOKUP(A4, PublicHols[Date], PublicHols[PH_Name]),"")</f>
        <v/>
      </c>
      <c r="I4" s="4" t="str">
        <f>IF(COUNTIF(EventsAll[Date], A4)&gt;0, "Y", "N")</f>
        <v>N</v>
      </c>
      <c r="J4" s="11" t="str">
        <f>IFERROR(_xlfn.XLOOKUP(A4, EventsAll[Date], EventsAll[Event]),"")</f>
        <v/>
      </c>
      <c r="K4" s="4" t="str" cm="1">
        <f t="array" ref="K4">IF(SUMPRODUCT((A4&gt;=SchoolHols[Start])*(A4&lt;=SchoolHols[End]))&gt;0,"Y","N")</f>
        <v>Y</v>
      </c>
    </row>
    <row r="5" spans="1:11">
      <c r="A5" s="6">
        <f t="shared" si="5"/>
        <v>43104</v>
      </c>
      <c r="B5" s="4" t="str">
        <f t="shared" si="0"/>
        <v>04</v>
      </c>
      <c r="C5" s="4" t="str">
        <f t="shared" si="1"/>
        <v>01</v>
      </c>
      <c r="D5" s="4" t="str">
        <f t="shared" si="2"/>
        <v>2018</v>
      </c>
      <c r="E5" s="3" t="str">
        <f t="shared" si="3"/>
        <v>Thursday</v>
      </c>
      <c r="F5" s="4" t="str">
        <f t="shared" si="4"/>
        <v>N</v>
      </c>
      <c r="G5" s="4" t="str">
        <f>IF(COUNTIF(PublicHols[Date], A5)&gt;0, "Y", "N")</f>
        <v>N</v>
      </c>
      <c r="H5" s="3" t="str">
        <f>IFERROR(_xlfn.XLOOKUP(A5, PublicHols[Date], PublicHols[PH_Name]),"")</f>
        <v/>
      </c>
      <c r="I5" s="4" t="str">
        <f>IF(COUNTIF(EventsAll[Date], A5)&gt;0, "Y", "N")</f>
        <v>N</v>
      </c>
      <c r="J5" s="11" t="str">
        <f>IFERROR(_xlfn.XLOOKUP(A5, EventsAll[Date], EventsAll[Event]),"")</f>
        <v/>
      </c>
      <c r="K5" s="4" t="str" cm="1">
        <f t="array" ref="K5">IF(SUMPRODUCT((A5&gt;=SchoolHols[Start])*(A5&lt;=SchoolHols[End]))&gt;0,"Y","N")</f>
        <v>Y</v>
      </c>
    </row>
    <row r="6" spans="1:11">
      <c r="A6" s="6">
        <f t="shared" si="5"/>
        <v>43105</v>
      </c>
      <c r="B6" s="4" t="str">
        <f t="shared" si="0"/>
        <v>05</v>
      </c>
      <c r="C6" s="4" t="str">
        <f t="shared" si="1"/>
        <v>01</v>
      </c>
      <c r="D6" s="4" t="str">
        <f t="shared" si="2"/>
        <v>2018</v>
      </c>
      <c r="E6" s="3" t="str">
        <f t="shared" si="3"/>
        <v>Friday</v>
      </c>
      <c r="F6" s="4" t="str">
        <f t="shared" si="4"/>
        <v>N</v>
      </c>
      <c r="G6" s="4" t="str">
        <f>IF(COUNTIF(PublicHols[Date], A6)&gt;0, "Y", "N")</f>
        <v>N</v>
      </c>
      <c r="H6" s="3" t="str">
        <f>IFERROR(_xlfn.XLOOKUP(A6, PublicHols[Date], PublicHols[PH_Name]),"")</f>
        <v/>
      </c>
      <c r="I6" s="4" t="str">
        <f>IF(COUNTIF(EventsAll[Date], A6)&gt;0, "Y", "N")</f>
        <v>N</v>
      </c>
      <c r="J6" s="11" t="str">
        <f>IFERROR(_xlfn.XLOOKUP(A6, EventsAll[Date], EventsAll[Event]),"")</f>
        <v/>
      </c>
      <c r="K6" s="4" t="str" cm="1">
        <f t="array" ref="K6">IF(SUMPRODUCT((A6&gt;=SchoolHols[Start])*(A6&lt;=SchoolHols[End]))&gt;0,"Y","N")</f>
        <v>Y</v>
      </c>
    </row>
    <row r="7" spans="1:11">
      <c r="A7" s="6">
        <f t="shared" si="5"/>
        <v>43106</v>
      </c>
      <c r="B7" s="4" t="str">
        <f t="shared" si="0"/>
        <v>06</v>
      </c>
      <c r="C7" s="4" t="str">
        <f t="shared" si="1"/>
        <v>01</v>
      </c>
      <c r="D7" s="4" t="str">
        <f t="shared" si="2"/>
        <v>2018</v>
      </c>
      <c r="E7" s="3" t="str">
        <f t="shared" si="3"/>
        <v>Saturday</v>
      </c>
      <c r="F7" s="4" t="str">
        <f t="shared" si="4"/>
        <v>N</v>
      </c>
      <c r="G7" s="4" t="str">
        <f>IF(COUNTIF(PublicHols[Date], A7)&gt;0, "Y", "N")</f>
        <v>N</v>
      </c>
      <c r="H7" s="3" t="str">
        <f>IFERROR(_xlfn.XLOOKUP(A7, PublicHols[Date], PublicHols[PH_Name]),"")</f>
        <v/>
      </c>
      <c r="I7" s="4" t="str">
        <f>IF(COUNTIF(EventsAll[Date], A7)&gt;0, "Y", "N")</f>
        <v>N</v>
      </c>
      <c r="J7" s="11" t="str">
        <f>IFERROR(_xlfn.XLOOKUP(A7, EventsAll[Date], EventsAll[Event]),"")</f>
        <v/>
      </c>
      <c r="K7" s="4" t="str" cm="1">
        <f t="array" ref="K7">IF(SUMPRODUCT((A7&gt;=SchoolHols[Start])*(A7&lt;=SchoolHols[End]))&gt;0,"Y","N")</f>
        <v>Y</v>
      </c>
    </row>
    <row r="8" spans="1:11">
      <c r="A8" s="6">
        <f t="shared" si="5"/>
        <v>43107</v>
      </c>
      <c r="B8" s="4" t="str">
        <f t="shared" si="0"/>
        <v>07</v>
      </c>
      <c r="C8" s="4" t="str">
        <f t="shared" si="1"/>
        <v>01</v>
      </c>
      <c r="D8" s="4" t="str">
        <f t="shared" si="2"/>
        <v>2018</v>
      </c>
      <c r="E8" s="3" t="str">
        <f t="shared" si="3"/>
        <v>Sunday</v>
      </c>
      <c r="F8" s="4" t="str">
        <f t="shared" si="4"/>
        <v>Y</v>
      </c>
      <c r="G8" s="4" t="str">
        <f>IF(COUNTIF(PublicHols[Date], A8)&gt;0, "Y", "N")</f>
        <v>N</v>
      </c>
      <c r="H8" s="3" t="str">
        <f>IFERROR(_xlfn.XLOOKUP(A8, PublicHols[Date], PublicHols[PH_Name]),"")</f>
        <v/>
      </c>
      <c r="I8" s="4" t="str">
        <f>IF(COUNTIF(EventsAll[Date], A8)&gt;0, "Y", "N")</f>
        <v>N</v>
      </c>
      <c r="J8" s="11" t="str">
        <f>IFERROR(_xlfn.XLOOKUP(A8, EventsAll[Date], EventsAll[Event]),"")</f>
        <v/>
      </c>
      <c r="K8" s="4" t="str" cm="1">
        <f t="array" ref="K8">IF(SUMPRODUCT((A8&gt;=SchoolHols[Start])*(A8&lt;=SchoolHols[End]))&gt;0,"Y","N")</f>
        <v>Y</v>
      </c>
    </row>
    <row r="9" spans="1:11">
      <c r="A9" s="6">
        <f t="shared" si="5"/>
        <v>43108</v>
      </c>
      <c r="B9" s="4" t="str">
        <f t="shared" si="0"/>
        <v>08</v>
      </c>
      <c r="C9" s="4" t="str">
        <f t="shared" si="1"/>
        <v>01</v>
      </c>
      <c r="D9" s="4" t="str">
        <f t="shared" si="2"/>
        <v>2018</v>
      </c>
      <c r="E9" s="3" t="str">
        <f t="shared" si="3"/>
        <v>Monday</v>
      </c>
      <c r="F9" s="4" t="str">
        <f t="shared" si="4"/>
        <v>N</v>
      </c>
      <c r="G9" s="4" t="str">
        <f>IF(COUNTIF(PublicHols[Date], A9)&gt;0, "Y", "N")</f>
        <v>N</v>
      </c>
      <c r="H9" s="3" t="str">
        <f>IFERROR(_xlfn.XLOOKUP(A9, PublicHols[Date], PublicHols[PH_Name]),"")</f>
        <v/>
      </c>
      <c r="I9" s="4" t="str">
        <f>IF(COUNTIF(EventsAll[Date], A9)&gt;0, "Y", "N")</f>
        <v>N</v>
      </c>
      <c r="J9" s="11" t="str">
        <f>IFERROR(_xlfn.XLOOKUP(A9, EventsAll[Date], EventsAll[Event]),"")</f>
        <v/>
      </c>
      <c r="K9" s="4" t="str" cm="1">
        <f t="array" ref="K9">IF(SUMPRODUCT((A9&gt;=SchoolHols[Start])*(A9&lt;=SchoolHols[End]))&gt;0,"Y","N")</f>
        <v>Y</v>
      </c>
    </row>
    <row r="10" spans="1:11">
      <c r="A10" s="6">
        <f t="shared" si="5"/>
        <v>43109</v>
      </c>
      <c r="B10" s="4" t="str">
        <f t="shared" si="0"/>
        <v>09</v>
      </c>
      <c r="C10" s="4" t="str">
        <f t="shared" si="1"/>
        <v>01</v>
      </c>
      <c r="D10" s="4" t="str">
        <f t="shared" si="2"/>
        <v>2018</v>
      </c>
      <c r="E10" s="3" t="str">
        <f t="shared" si="3"/>
        <v>Tuesday</v>
      </c>
      <c r="F10" s="4" t="str">
        <f t="shared" si="4"/>
        <v>N</v>
      </c>
      <c r="G10" s="4" t="str">
        <f>IF(COUNTIF(PublicHols[Date], A10)&gt;0, "Y", "N")</f>
        <v>N</v>
      </c>
      <c r="H10" s="3" t="str">
        <f>IFERROR(_xlfn.XLOOKUP(A10, PublicHols[Date], PublicHols[PH_Name]),"")</f>
        <v/>
      </c>
      <c r="I10" s="4" t="str">
        <f>IF(COUNTIF(EventsAll[Date], A10)&gt;0, "Y", "N")</f>
        <v>N</v>
      </c>
      <c r="J10" s="11" t="str">
        <f>IFERROR(_xlfn.XLOOKUP(A10, EventsAll[Date], EventsAll[Event]),"")</f>
        <v/>
      </c>
      <c r="K10" s="4" t="str" cm="1">
        <f t="array" ref="K10">IF(SUMPRODUCT((A10&gt;=SchoolHols[Start])*(A10&lt;=SchoolHols[End]))&gt;0,"Y","N")</f>
        <v>Y</v>
      </c>
    </row>
    <row r="11" spans="1:11">
      <c r="A11" s="6">
        <f t="shared" si="5"/>
        <v>43110</v>
      </c>
      <c r="B11" s="4" t="str">
        <f t="shared" si="0"/>
        <v>10</v>
      </c>
      <c r="C11" s="4" t="str">
        <f t="shared" si="1"/>
        <v>01</v>
      </c>
      <c r="D11" s="4" t="str">
        <f t="shared" si="2"/>
        <v>2018</v>
      </c>
      <c r="E11" s="3" t="str">
        <f t="shared" si="3"/>
        <v>Wednesday</v>
      </c>
      <c r="F11" s="4" t="str">
        <f t="shared" si="4"/>
        <v>N</v>
      </c>
      <c r="G11" s="4" t="str">
        <f>IF(COUNTIF(PublicHols[Date], A11)&gt;0, "Y", "N")</f>
        <v>N</v>
      </c>
      <c r="H11" s="3" t="str">
        <f>IFERROR(_xlfn.XLOOKUP(A11, PublicHols[Date], PublicHols[PH_Name]),"")</f>
        <v/>
      </c>
      <c r="I11" s="4" t="str">
        <f>IF(COUNTIF(EventsAll[Date], A11)&gt;0, "Y", "N")</f>
        <v>N</v>
      </c>
      <c r="J11" s="11" t="str">
        <f>IFERROR(_xlfn.XLOOKUP(A11, EventsAll[Date], EventsAll[Event]),"")</f>
        <v/>
      </c>
      <c r="K11" s="4" t="str" cm="1">
        <f t="array" ref="K11">IF(SUMPRODUCT((A11&gt;=SchoolHols[Start])*(A11&lt;=SchoolHols[End]))&gt;0,"Y","N")</f>
        <v>Y</v>
      </c>
    </row>
    <row r="12" spans="1:11">
      <c r="A12" s="6">
        <f t="shared" si="5"/>
        <v>43111</v>
      </c>
      <c r="B12" s="4" t="str">
        <f t="shared" si="0"/>
        <v>11</v>
      </c>
      <c r="C12" s="4" t="str">
        <f t="shared" si="1"/>
        <v>01</v>
      </c>
      <c r="D12" s="4" t="str">
        <f t="shared" si="2"/>
        <v>2018</v>
      </c>
      <c r="E12" s="3" t="str">
        <f t="shared" si="3"/>
        <v>Thursday</v>
      </c>
      <c r="F12" s="4" t="str">
        <f t="shared" si="4"/>
        <v>N</v>
      </c>
      <c r="G12" s="4" t="str">
        <f>IF(COUNTIF(PublicHols[Date], A12)&gt;0, "Y", "N")</f>
        <v>N</v>
      </c>
      <c r="H12" s="3" t="str">
        <f>IFERROR(_xlfn.XLOOKUP(A12, PublicHols[Date], PublicHols[PH_Name]),"")</f>
        <v/>
      </c>
      <c r="I12" s="4" t="str">
        <f>IF(COUNTIF(EventsAll[Date], A12)&gt;0, "Y", "N")</f>
        <v>N</v>
      </c>
      <c r="J12" s="11" t="str">
        <f>IFERROR(_xlfn.XLOOKUP(A12, EventsAll[Date], EventsAll[Event]),"")</f>
        <v/>
      </c>
      <c r="K12" s="4" t="str" cm="1">
        <f t="array" ref="K12">IF(SUMPRODUCT((A12&gt;=SchoolHols[Start])*(A12&lt;=SchoolHols[End]))&gt;0,"Y","N")</f>
        <v>Y</v>
      </c>
    </row>
    <row r="13" spans="1:11">
      <c r="A13" s="6">
        <f t="shared" si="5"/>
        <v>43112</v>
      </c>
      <c r="B13" s="4" t="str">
        <f t="shared" si="0"/>
        <v>12</v>
      </c>
      <c r="C13" s="4" t="str">
        <f t="shared" si="1"/>
        <v>01</v>
      </c>
      <c r="D13" s="4" t="str">
        <f t="shared" si="2"/>
        <v>2018</v>
      </c>
      <c r="E13" s="3" t="str">
        <f t="shared" si="3"/>
        <v>Friday</v>
      </c>
      <c r="F13" s="4" t="str">
        <f t="shared" si="4"/>
        <v>N</v>
      </c>
      <c r="G13" s="4" t="str">
        <f>IF(COUNTIF(PublicHols[Date], A13)&gt;0, "Y", "N")</f>
        <v>N</v>
      </c>
      <c r="H13" s="3" t="str">
        <f>IFERROR(_xlfn.XLOOKUP(A13, PublicHols[Date], PublicHols[PH_Name]),"")</f>
        <v/>
      </c>
      <c r="I13" s="4" t="str">
        <f>IF(COUNTIF(EventsAll[Date], A13)&gt;0, "Y", "N")</f>
        <v>N</v>
      </c>
      <c r="J13" s="11" t="str">
        <f>IFERROR(_xlfn.XLOOKUP(A13, EventsAll[Date], EventsAll[Event]),"")</f>
        <v/>
      </c>
      <c r="K13" s="4" t="str" cm="1">
        <f t="array" ref="K13">IF(SUMPRODUCT((A13&gt;=SchoolHols[Start])*(A13&lt;=SchoolHols[End]))&gt;0,"Y","N")</f>
        <v>Y</v>
      </c>
    </row>
    <row r="14" spans="1:11">
      <c r="A14" s="6">
        <f t="shared" si="5"/>
        <v>43113</v>
      </c>
      <c r="B14" s="4" t="str">
        <f t="shared" si="0"/>
        <v>13</v>
      </c>
      <c r="C14" s="4" t="str">
        <f t="shared" si="1"/>
        <v>01</v>
      </c>
      <c r="D14" s="4" t="str">
        <f t="shared" si="2"/>
        <v>2018</v>
      </c>
      <c r="E14" s="3" t="str">
        <f t="shared" si="3"/>
        <v>Saturday</v>
      </c>
      <c r="F14" s="4" t="str">
        <f t="shared" si="4"/>
        <v>N</v>
      </c>
      <c r="G14" s="4" t="str">
        <f>IF(COUNTIF(PublicHols[Date], A14)&gt;0, "Y", "N")</f>
        <v>N</v>
      </c>
      <c r="H14" s="3" t="str">
        <f>IFERROR(_xlfn.XLOOKUP(A14, PublicHols[Date], PublicHols[PH_Name]),"")</f>
        <v/>
      </c>
      <c r="I14" s="4" t="str">
        <f>IF(COUNTIF(EventsAll[Date], A14)&gt;0, "Y", "N")</f>
        <v>N</v>
      </c>
      <c r="J14" s="11" t="str">
        <f>IFERROR(_xlfn.XLOOKUP(A14, EventsAll[Date], EventsAll[Event]),"")</f>
        <v/>
      </c>
      <c r="K14" s="4" t="str" cm="1">
        <f t="array" ref="K14">IF(SUMPRODUCT((A14&gt;=SchoolHols[Start])*(A14&lt;=SchoolHols[End]))&gt;0,"Y","N")</f>
        <v>Y</v>
      </c>
    </row>
    <row r="15" spans="1:11">
      <c r="A15" s="6">
        <f t="shared" si="5"/>
        <v>43114</v>
      </c>
      <c r="B15" s="4" t="str">
        <f t="shared" si="0"/>
        <v>14</v>
      </c>
      <c r="C15" s="4" t="str">
        <f t="shared" si="1"/>
        <v>01</v>
      </c>
      <c r="D15" s="4" t="str">
        <f t="shared" si="2"/>
        <v>2018</v>
      </c>
      <c r="E15" s="3" t="str">
        <f t="shared" si="3"/>
        <v>Sunday</v>
      </c>
      <c r="F15" s="4" t="str">
        <f t="shared" si="4"/>
        <v>Y</v>
      </c>
      <c r="G15" s="4" t="str">
        <f>IF(COUNTIF(PublicHols[Date], A15)&gt;0, "Y", "N")</f>
        <v>N</v>
      </c>
      <c r="H15" s="3" t="str">
        <f>IFERROR(_xlfn.XLOOKUP(A15, PublicHols[Date], PublicHols[PH_Name]),"")</f>
        <v/>
      </c>
      <c r="I15" s="4" t="str">
        <f>IF(COUNTIF(EventsAll[Date], A15)&gt;0, "Y", "N")</f>
        <v>N</v>
      </c>
      <c r="J15" s="11" t="str">
        <f>IFERROR(_xlfn.XLOOKUP(A15, EventsAll[Date], EventsAll[Event]),"")</f>
        <v/>
      </c>
      <c r="K15" s="4" t="str" cm="1">
        <f t="array" ref="K15">IF(SUMPRODUCT((A15&gt;=SchoolHols[Start])*(A15&lt;=SchoolHols[End]))&gt;0,"Y","N")</f>
        <v>Y</v>
      </c>
    </row>
    <row r="16" spans="1:11">
      <c r="A16" s="6">
        <f t="shared" si="5"/>
        <v>43115</v>
      </c>
      <c r="B16" s="4" t="str">
        <f t="shared" si="0"/>
        <v>15</v>
      </c>
      <c r="C16" s="4" t="str">
        <f t="shared" si="1"/>
        <v>01</v>
      </c>
      <c r="D16" s="4" t="str">
        <f t="shared" si="2"/>
        <v>2018</v>
      </c>
      <c r="E16" s="3" t="str">
        <f t="shared" si="3"/>
        <v>Monday</v>
      </c>
      <c r="F16" s="4" t="str">
        <f t="shared" si="4"/>
        <v>N</v>
      </c>
      <c r="G16" s="4" t="str">
        <f>IF(COUNTIF(PublicHols[Date], A16)&gt;0, "Y", "N")</f>
        <v>N</v>
      </c>
      <c r="H16" s="3" t="str">
        <f>IFERROR(_xlfn.XLOOKUP(A16, PublicHols[Date], PublicHols[PH_Name]),"")</f>
        <v/>
      </c>
      <c r="I16" s="4" t="str">
        <f>IF(COUNTIF(EventsAll[Date], A16)&gt;0, "Y", "N")</f>
        <v>Y</v>
      </c>
      <c r="J16" s="11" t="str">
        <f>IFERROR(_xlfn.XLOOKUP(A16, EventsAll[Date], EventsAll[Event]),"")</f>
        <v xml:space="preserve"> Back to School (Term 1)</v>
      </c>
      <c r="K16" s="4" t="str" cm="1">
        <f t="array" ref="K16">IF(SUMPRODUCT((A16&gt;=SchoolHols[Start])*(A16&lt;=SchoolHols[End]))&gt;0,"Y","N")</f>
        <v>Y</v>
      </c>
    </row>
    <row r="17" spans="1:11">
      <c r="A17" s="6">
        <f t="shared" si="5"/>
        <v>43116</v>
      </c>
      <c r="B17" s="4" t="str">
        <f t="shared" si="0"/>
        <v>16</v>
      </c>
      <c r="C17" s="4" t="str">
        <f t="shared" si="1"/>
        <v>01</v>
      </c>
      <c r="D17" s="4" t="str">
        <f t="shared" si="2"/>
        <v>2018</v>
      </c>
      <c r="E17" s="3" t="str">
        <f t="shared" si="3"/>
        <v>Tuesday</v>
      </c>
      <c r="F17" s="4" t="str">
        <f t="shared" si="4"/>
        <v>N</v>
      </c>
      <c r="G17" s="4" t="str">
        <f>IF(COUNTIF(PublicHols[Date], A17)&gt;0, "Y", "N")</f>
        <v>N</v>
      </c>
      <c r="H17" s="3" t="str">
        <f>IFERROR(_xlfn.XLOOKUP(A17, PublicHols[Date], PublicHols[PH_Name]),"")</f>
        <v/>
      </c>
      <c r="I17" s="4" t="str">
        <f>IF(COUNTIF(EventsAll[Date], A17)&gt;0, "Y", "N")</f>
        <v>N</v>
      </c>
      <c r="J17" s="11" t="str">
        <f>IFERROR(_xlfn.XLOOKUP(A17, EventsAll[Date], EventsAll[Event]),"")</f>
        <v/>
      </c>
      <c r="K17" s="4" t="str" cm="1">
        <f t="array" ref="K17">IF(SUMPRODUCT((A17&gt;=SchoolHols[Start])*(A17&lt;=SchoolHols[End]))&gt;0,"Y","N")</f>
        <v>Y</v>
      </c>
    </row>
    <row r="18" spans="1:11">
      <c r="A18" s="6">
        <f t="shared" si="5"/>
        <v>43117</v>
      </c>
      <c r="B18" s="4" t="str">
        <f t="shared" si="0"/>
        <v>17</v>
      </c>
      <c r="C18" s="4" t="str">
        <f t="shared" si="1"/>
        <v>01</v>
      </c>
      <c r="D18" s="4" t="str">
        <f t="shared" si="2"/>
        <v>2018</v>
      </c>
      <c r="E18" s="3" t="str">
        <f t="shared" si="3"/>
        <v>Wednesday</v>
      </c>
      <c r="F18" s="4" t="str">
        <f t="shared" si="4"/>
        <v>N</v>
      </c>
      <c r="G18" s="4" t="str">
        <f>IF(COUNTIF(PublicHols[Date], A18)&gt;0, "Y", "N")</f>
        <v>N</v>
      </c>
      <c r="H18" s="3" t="str">
        <f>IFERROR(_xlfn.XLOOKUP(A18, PublicHols[Date], PublicHols[PH_Name]),"")</f>
        <v/>
      </c>
      <c r="I18" s="4" t="str">
        <f>IF(COUNTIF(EventsAll[Date], A18)&gt;0, "Y", "N")</f>
        <v>N</v>
      </c>
      <c r="J18" s="11" t="str">
        <f>IFERROR(_xlfn.XLOOKUP(A18, EventsAll[Date], EventsAll[Event]),"")</f>
        <v/>
      </c>
      <c r="K18" s="4" t="str" cm="1">
        <f t="array" ref="K18">IF(SUMPRODUCT((A18&gt;=SchoolHols[Start])*(A18&lt;=SchoolHols[End]))&gt;0,"Y","N")</f>
        <v>N</v>
      </c>
    </row>
    <row r="19" spans="1:11">
      <c r="A19" s="6">
        <f t="shared" si="5"/>
        <v>43118</v>
      </c>
      <c r="B19" s="4" t="str">
        <f t="shared" si="0"/>
        <v>18</v>
      </c>
      <c r="C19" s="4" t="str">
        <f t="shared" si="1"/>
        <v>01</v>
      </c>
      <c r="D19" s="4" t="str">
        <f t="shared" si="2"/>
        <v>2018</v>
      </c>
      <c r="E19" s="3" t="str">
        <f t="shared" si="3"/>
        <v>Thursday</v>
      </c>
      <c r="F19" s="4" t="str">
        <f t="shared" si="4"/>
        <v>N</v>
      </c>
      <c r="G19" s="4" t="str">
        <f>IF(COUNTIF(PublicHols[Date], A19)&gt;0, "Y", "N")</f>
        <v>N</v>
      </c>
      <c r="H19" s="3" t="str">
        <f>IFERROR(_xlfn.XLOOKUP(A19, PublicHols[Date], PublicHols[PH_Name]),"")</f>
        <v/>
      </c>
      <c r="I19" s="4" t="str">
        <f>IF(COUNTIF(EventsAll[Date], A19)&gt;0, "Y", "N")</f>
        <v>N</v>
      </c>
      <c r="J19" s="11" t="str">
        <f>IFERROR(_xlfn.XLOOKUP(A19, EventsAll[Date], EventsAll[Event]),"")</f>
        <v/>
      </c>
      <c r="K19" s="4" t="str" cm="1">
        <f t="array" ref="K19">IF(SUMPRODUCT((A19&gt;=SchoolHols[Start])*(A19&lt;=SchoolHols[End]))&gt;0,"Y","N")</f>
        <v>N</v>
      </c>
    </row>
    <row r="20" spans="1:11">
      <c r="A20" s="6">
        <f t="shared" si="5"/>
        <v>43119</v>
      </c>
      <c r="B20" s="4" t="str">
        <f t="shared" si="0"/>
        <v>19</v>
      </c>
      <c r="C20" s="4" t="str">
        <f t="shared" si="1"/>
        <v>01</v>
      </c>
      <c r="D20" s="4" t="str">
        <f t="shared" si="2"/>
        <v>2018</v>
      </c>
      <c r="E20" s="3" t="str">
        <f t="shared" si="3"/>
        <v>Friday</v>
      </c>
      <c r="F20" s="4" t="str">
        <f t="shared" si="4"/>
        <v>N</v>
      </c>
      <c r="G20" s="4" t="str">
        <f>IF(COUNTIF(PublicHols[Date], A20)&gt;0, "Y", "N")</f>
        <v>N</v>
      </c>
      <c r="H20" s="3" t="str">
        <f>IFERROR(_xlfn.XLOOKUP(A20, PublicHols[Date], PublicHols[PH_Name]),"")</f>
        <v/>
      </c>
      <c r="I20" s="4" t="str">
        <f>IF(COUNTIF(EventsAll[Date], A20)&gt;0, "Y", "N")</f>
        <v>N</v>
      </c>
      <c r="J20" s="11" t="str">
        <f>IFERROR(_xlfn.XLOOKUP(A20, EventsAll[Date], EventsAll[Event]),"")</f>
        <v/>
      </c>
      <c r="K20" s="4" t="str" cm="1">
        <f t="array" ref="K20">IF(SUMPRODUCT((A20&gt;=SchoolHols[Start])*(A20&lt;=SchoolHols[End]))&gt;0,"Y","N")</f>
        <v>N</v>
      </c>
    </row>
    <row r="21" spans="1:11">
      <c r="A21" s="6">
        <f t="shared" si="5"/>
        <v>43120</v>
      </c>
      <c r="B21" s="4" t="str">
        <f t="shared" si="0"/>
        <v>20</v>
      </c>
      <c r="C21" s="4" t="str">
        <f t="shared" si="1"/>
        <v>01</v>
      </c>
      <c r="D21" s="4" t="str">
        <f t="shared" si="2"/>
        <v>2018</v>
      </c>
      <c r="E21" s="3" t="str">
        <f t="shared" si="3"/>
        <v>Saturday</v>
      </c>
      <c r="F21" s="4" t="str">
        <f t="shared" si="4"/>
        <v>N</v>
      </c>
      <c r="G21" s="4" t="str">
        <f>IF(COUNTIF(PublicHols[Date], A21)&gt;0, "Y", "N")</f>
        <v>N</v>
      </c>
      <c r="H21" s="3" t="str">
        <f>IFERROR(_xlfn.XLOOKUP(A21, PublicHols[Date], PublicHols[PH_Name]),"")</f>
        <v/>
      </c>
      <c r="I21" s="4" t="str">
        <f>IF(COUNTIF(EventsAll[Date], A21)&gt;0, "Y", "N")</f>
        <v>N</v>
      </c>
      <c r="J21" s="11" t="str">
        <f>IFERROR(_xlfn.XLOOKUP(A21, EventsAll[Date], EventsAll[Event]),"")</f>
        <v/>
      </c>
      <c r="K21" s="4" t="str" cm="1">
        <f t="array" ref="K21">IF(SUMPRODUCT((A21&gt;=SchoolHols[Start])*(A21&lt;=SchoolHols[End]))&gt;0,"Y","N")</f>
        <v>N</v>
      </c>
    </row>
    <row r="22" spans="1:11">
      <c r="A22" s="6">
        <f t="shared" si="5"/>
        <v>43121</v>
      </c>
      <c r="B22" s="4" t="str">
        <f t="shared" si="0"/>
        <v>21</v>
      </c>
      <c r="C22" s="4" t="str">
        <f t="shared" si="1"/>
        <v>01</v>
      </c>
      <c r="D22" s="4" t="str">
        <f t="shared" si="2"/>
        <v>2018</v>
      </c>
      <c r="E22" s="3" t="str">
        <f t="shared" si="3"/>
        <v>Sunday</v>
      </c>
      <c r="F22" s="4" t="str">
        <f t="shared" si="4"/>
        <v>Y</v>
      </c>
      <c r="G22" s="4" t="str">
        <f>IF(COUNTIF(PublicHols[Date], A22)&gt;0, "Y", "N")</f>
        <v>N</v>
      </c>
      <c r="H22" s="3" t="str">
        <f>IFERROR(_xlfn.XLOOKUP(A22, PublicHols[Date], PublicHols[PH_Name]),"")</f>
        <v/>
      </c>
      <c r="I22" s="4" t="str">
        <f>IF(COUNTIF(EventsAll[Date], A22)&gt;0, "Y", "N")</f>
        <v>N</v>
      </c>
      <c r="J22" s="11" t="str">
        <f>IFERROR(_xlfn.XLOOKUP(A22, EventsAll[Date], EventsAll[Event]),"")</f>
        <v/>
      </c>
      <c r="K22" s="4" t="str" cm="1">
        <f t="array" ref="K22">IF(SUMPRODUCT((A22&gt;=SchoolHols[Start])*(A22&lt;=SchoolHols[End]))&gt;0,"Y","N")</f>
        <v>N</v>
      </c>
    </row>
    <row r="23" spans="1:11">
      <c r="A23" s="6">
        <f t="shared" si="5"/>
        <v>43122</v>
      </c>
      <c r="B23" s="4" t="str">
        <f t="shared" si="0"/>
        <v>22</v>
      </c>
      <c r="C23" s="4" t="str">
        <f t="shared" si="1"/>
        <v>01</v>
      </c>
      <c r="D23" s="4" t="str">
        <f t="shared" si="2"/>
        <v>2018</v>
      </c>
      <c r="E23" s="3" t="str">
        <f t="shared" si="3"/>
        <v>Monday</v>
      </c>
      <c r="F23" s="4" t="str">
        <f t="shared" si="4"/>
        <v>N</v>
      </c>
      <c r="G23" s="4" t="str">
        <f>IF(COUNTIF(PublicHols[Date], A23)&gt;0, "Y", "N")</f>
        <v>N</v>
      </c>
      <c r="H23" s="3" t="str">
        <f>IFERROR(_xlfn.XLOOKUP(A23, PublicHols[Date], PublicHols[PH_Name]),"")</f>
        <v/>
      </c>
      <c r="I23" s="4" t="str">
        <f>IF(COUNTIF(EventsAll[Date], A23)&gt;0, "Y", "N")</f>
        <v>N</v>
      </c>
      <c r="J23" s="11" t="str">
        <f>IFERROR(_xlfn.XLOOKUP(A23, EventsAll[Date], EventsAll[Event]),"")</f>
        <v/>
      </c>
      <c r="K23" s="4" t="str" cm="1">
        <f t="array" ref="K23">IF(SUMPRODUCT((A23&gt;=SchoolHols[Start])*(A23&lt;=SchoolHols[End]))&gt;0,"Y","N")</f>
        <v>N</v>
      </c>
    </row>
    <row r="24" spans="1:11">
      <c r="A24" s="6">
        <f t="shared" si="5"/>
        <v>43123</v>
      </c>
      <c r="B24" s="4" t="str">
        <f t="shared" si="0"/>
        <v>23</v>
      </c>
      <c r="C24" s="4" t="str">
        <f t="shared" si="1"/>
        <v>01</v>
      </c>
      <c r="D24" s="4" t="str">
        <f t="shared" si="2"/>
        <v>2018</v>
      </c>
      <c r="E24" s="3" t="str">
        <f t="shared" si="3"/>
        <v>Tuesday</v>
      </c>
      <c r="F24" s="4" t="str">
        <f t="shared" si="4"/>
        <v>N</v>
      </c>
      <c r="G24" s="4" t="str">
        <f>IF(COUNTIF(PublicHols[Date], A24)&gt;0, "Y", "N")</f>
        <v>N</v>
      </c>
      <c r="H24" s="3" t="str">
        <f>IFERROR(_xlfn.XLOOKUP(A24, PublicHols[Date], PublicHols[PH_Name]),"")</f>
        <v/>
      </c>
      <c r="I24" s="4" t="str">
        <f>IF(COUNTIF(EventsAll[Date], A24)&gt;0, "Y", "N")</f>
        <v>N</v>
      </c>
      <c r="J24" s="11" t="str">
        <f>IFERROR(_xlfn.XLOOKUP(A24, EventsAll[Date], EventsAll[Event]),"")</f>
        <v/>
      </c>
      <c r="K24" s="4" t="str" cm="1">
        <f t="array" ref="K24">IF(SUMPRODUCT((A24&gt;=SchoolHols[Start])*(A24&lt;=SchoolHols[End]))&gt;0,"Y","N")</f>
        <v>N</v>
      </c>
    </row>
    <row r="25" spans="1:11">
      <c r="A25" s="6">
        <f t="shared" si="5"/>
        <v>43124</v>
      </c>
      <c r="B25" s="4" t="str">
        <f t="shared" si="0"/>
        <v>24</v>
      </c>
      <c r="C25" s="4" t="str">
        <f t="shared" si="1"/>
        <v>01</v>
      </c>
      <c r="D25" s="4" t="str">
        <f t="shared" si="2"/>
        <v>2018</v>
      </c>
      <c r="E25" s="3" t="str">
        <f t="shared" si="3"/>
        <v>Wednesday</v>
      </c>
      <c r="F25" s="4" t="str">
        <f t="shared" si="4"/>
        <v>N</v>
      </c>
      <c r="G25" s="4" t="str">
        <f>IF(COUNTIF(PublicHols[Date], A25)&gt;0, "Y", "N")</f>
        <v>N</v>
      </c>
      <c r="H25" s="3" t="str">
        <f>IFERROR(_xlfn.XLOOKUP(A25, PublicHols[Date], PublicHols[PH_Name]),"")</f>
        <v/>
      </c>
      <c r="I25" s="4" t="str">
        <f>IF(COUNTIF(EventsAll[Date], A25)&gt;0, "Y", "N")</f>
        <v>N</v>
      </c>
      <c r="J25" s="11" t="str">
        <f>IFERROR(_xlfn.XLOOKUP(A25, EventsAll[Date], EventsAll[Event]),"")</f>
        <v/>
      </c>
      <c r="K25" s="4" t="str" cm="1">
        <f t="array" ref="K25">IF(SUMPRODUCT((A25&gt;=SchoolHols[Start])*(A25&lt;=SchoolHols[End]))&gt;0,"Y","N")</f>
        <v>N</v>
      </c>
    </row>
    <row r="26" spans="1:11">
      <c r="A26" s="6">
        <f t="shared" si="5"/>
        <v>43125</v>
      </c>
      <c r="B26" s="4" t="str">
        <f t="shared" si="0"/>
        <v>25</v>
      </c>
      <c r="C26" s="4" t="str">
        <f t="shared" si="1"/>
        <v>01</v>
      </c>
      <c r="D26" s="4" t="str">
        <f t="shared" si="2"/>
        <v>2018</v>
      </c>
      <c r="E26" s="3" t="str">
        <f t="shared" si="3"/>
        <v>Thursday</v>
      </c>
      <c r="F26" s="4" t="str">
        <f t="shared" si="4"/>
        <v>N</v>
      </c>
      <c r="G26" s="4" t="str">
        <f>IF(COUNTIF(PublicHols[Date], A26)&gt;0, "Y", "N")</f>
        <v>N</v>
      </c>
      <c r="H26" s="3" t="str">
        <f>IFERROR(_xlfn.XLOOKUP(A26, PublicHols[Date], PublicHols[PH_Name]),"")</f>
        <v/>
      </c>
      <c r="I26" s="4" t="str">
        <f>IF(COUNTIF(EventsAll[Date], A26)&gt;0, "Y", "N")</f>
        <v>N</v>
      </c>
      <c r="J26" s="11" t="str">
        <f>IFERROR(_xlfn.XLOOKUP(A26, EventsAll[Date], EventsAll[Event]),"")</f>
        <v/>
      </c>
      <c r="K26" s="4" t="str" cm="1">
        <f t="array" ref="K26">IF(SUMPRODUCT((A26&gt;=SchoolHols[Start])*(A26&lt;=SchoolHols[End]))&gt;0,"Y","N")</f>
        <v>N</v>
      </c>
    </row>
    <row r="27" spans="1:11">
      <c r="A27" s="6">
        <f t="shared" si="5"/>
        <v>43126</v>
      </c>
      <c r="B27" s="4" t="str">
        <f t="shared" si="0"/>
        <v>26</v>
      </c>
      <c r="C27" s="4" t="str">
        <f t="shared" si="1"/>
        <v>01</v>
      </c>
      <c r="D27" s="4" t="str">
        <f t="shared" si="2"/>
        <v>2018</v>
      </c>
      <c r="E27" s="3" t="str">
        <f t="shared" si="3"/>
        <v>Friday</v>
      </c>
      <c r="F27" s="4" t="str">
        <f t="shared" si="4"/>
        <v>N</v>
      </c>
      <c r="G27" s="4" t="str">
        <f>IF(COUNTIF(PublicHols[Date], A27)&gt;0, "Y", "N")</f>
        <v>N</v>
      </c>
      <c r="H27" s="3" t="str">
        <f>IFERROR(_xlfn.XLOOKUP(A27, PublicHols[Date], PublicHols[PH_Name]),"")</f>
        <v/>
      </c>
      <c r="I27" s="4" t="str">
        <f>IF(COUNTIF(EventsAll[Date], A27)&gt;0, "Y", "N")</f>
        <v>N</v>
      </c>
      <c r="J27" s="11" t="str">
        <f>IFERROR(_xlfn.XLOOKUP(A27, EventsAll[Date], EventsAll[Event]),"")</f>
        <v/>
      </c>
      <c r="K27" s="4" t="str" cm="1">
        <f t="array" ref="K27">IF(SUMPRODUCT((A27&gt;=SchoolHols[Start])*(A27&lt;=SchoolHols[End]))&gt;0,"Y","N")</f>
        <v>N</v>
      </c>
    </row>
    <row r="28" spans="1:11">
      <c r="A28" s="6">
        <f t="shared" si="5"/>
        <v>43127</v>
      </c>
      <c r="B28" s="4" t="str">
        <f t="shared" si="0"/>
        <v>27</v>
      </c>
      <c r="C28" s="4" t="str">
        <f t="shared" si="1"/>
        <v>01</v>
      </c>
      <c r="D28" s="4" t="str">
        <f t="shared" si="2"/>
        <v>2018</v>
      </c>
      <c r="E28" s="3" t="str">
        <f t="shared" si="3"/>
        <v>Saturday</v>
      </c>
      <c r="F28" s="4" t="str">
        <f t="shared" si="4"/>
        <v>N</v>
      </c>
      <c r="G28" s="4" t="str">
        <f>IF(COUNTIF(PublicHols[Date], A28)&gt;0, "Y", "N")</f>
        <v>N</v>
      </c>
      <c r="H28" s="3" t="str">
        <f>IFERROR(_xlfn.XLOOKUP(A28, PublicHols[Date], PublicHols[PH_Name]),"")</f>
        <v/>
      </c>
      <c r="I28" s="4" t="str">
        <f>IF(COUNTIF(EventsAll[Date], A28)&gt;0, "Y", "N")</f>
        <v>N</v>
      </c>
      <c r="J28" s="11" t="str">
        <f>IFERROR(_xlfn.XLOOKUP(A28, EventsAll[Date], EventsAll[Event]),"")</f>
        <v/>
      </c>
      <c r="K28" s="4" t="str" cm="1">
        <f t="array" ref="K28">IF(SUMPRODUCT((A28&gt;=SchoolHols[Start])*(A28&lt;=SchoolHols[End]))&gt;0,"Y","N")</f>
        <v>N</v>
      </c>
    </row>
    <row r="29" spans="1:11">
      <c r="A29" s="6">
        <f t="shared" si="5"/>
        <v>43128</v>
      </c>
      <c r="B29" s="4" t="str">
        <f t="shared" si="0"/>
        <v>28</v>
      </c>
      <c r="C29" s="4" t="str">
        <f t="shared" si="1"/>
        <v>01</v>
      </c>
      <c r="D29" s="4" t="str">
        <f t="shared" si="2"/>
        <v>2018</v>
      </c>
      <c r="E29" s="3" t="str">
        <f t="shared" si="3"/>
        <v>Sunday</v>
      </c>
      <c r="F29" s="4" t="str">
        <f t="shared" si="4"/>
        <v>Y</v>
      </c>
      <c r="G29" s="4" t="str">
        <f>IF(COUNTIF(PublicHols[Date], A29)&gt;0, "Y", "N")</f>
        <v>N</v>
      </c>
      <c r="H29" s="3" t="str">
        <f>IFERROR(_xlfn.XLOOKUP(A29, PublicHols[Date], PublicHols[PH_Name]),"")</f>
        <v/>
      </c>
      <c r="I29" s="4" t="str">
        <f>IF(COUNTIF(EventsAll[Date], A29)&gt;0, "Y", "N")</f>
        <v>N</v>
      </c>
      <c r="J29" s="11" t="str">
        <f>IFERROR(_xlfn.XLOOKUP(A29, EventsAll[Date], EventsAll[Event]),"")</f>
        <v/>
      </c>
      <c r="K29" s="4" t="str" cm="1">
        <f t="array" ref="K29">IF(SUMPRODUCT((A29&gt;=SchoolHols[Start])*(A29&lt;=SchoolHols[End]))&gt;0,"Y","N")</f>
        <v>N</v>
      </c>
    </row>
    <row r="30" spans="1:11">
      <c r="A30" s="6">
        <f t="shared" si="5"/>
        <v>43129</v>
      </c>
      <c r="B30" s="4" t="str">
        <f t="shared" si="0"/>
        <v>29</v>
      </c>
      <c r="C30" s="4" t="str">
        <f t="shared" si="1"/>
        <v>01</v>
      </c>
      <c r="D30" s="4" t="str">
        <f t="shared" si="2"/>
        <v>2018</v>
      </c>
      <c r="E30" s="3" t="str">
        <f t="shared" si="3"/>
        <v>Monday</v>
      </c>
      <c r="F30" s="4" t="str">
        <f t="shared" si="4"/>
        <v>N</v>
      </c>
      <c r="G30" s="4" t="str">
        <f>IF(COUNTIF(PublicHols[Date], A30)&gt;0, "Y", "N")</f>
        <v>N</v>
      </c>
      <c r="H30" s="3" t="str">
        <f>IFERROR(_xlfn.XLOOKUP(A30, PublicHols[Date], PublicHols[PH_Name]),"")</f>
        <v/>
      </c>
      <c r="I30" s="4" t="str">
        <f>IF(COUNTIF(EventsAll[Date], A30)&gt;0, "Y", "N")</f>
        <v>N</v>
      </c>
      <c r="J30" s="11" t="str">
        <f>IFERROR(_xlfn.XLOOKUP(A30, EventsAll[Date], EventsAll[Event]),"")</f>
        <v/>
      </c>
      <c r="K30" s="4" t="str" cm="1">
        <f t="array" ref="K30">IF(SUMPRODUCT((A30&gt;=SchoolHols[Start])*(A30&lt;=SchoolHols[End]))&gt;0,"Y","N")</f>
        <v>N</v>
      </c>
    </row>
    <row r="31" spans="1:11">
      <c r="A31" s="6">
        <f t="shared" si="5"/>
        <v>43130</v>
      </c>
      <c r="B31" s="4" t="str">
        <f t="shared" si="0"/>
        <v>30</v>
      </c>
      <c r="C31" s="4" t="str">
        <f t="shared" si="1"/>
        <v>01</v>
      </c>
      <c r="D31" s="4" t="str">
        <f t="shared" si="2"/>
        <v>2018</v>
      </c>
      <c r="E31" s="3" t="str">
        <f t="shared" si="3"/>
        <v>Tuesday</v>
      </c>
      <c r="F31" s="4" t="str">
        <f t="shared" si="4"/>
        <v>N</v>
      </c>
      <c r="G31" s="4" t="str">
        <f>IF(COUNTIF(PublicHols[Date], A31)&gt;0, "Y", "N")</f>
        <v>N</v>
      </c>
      <c r="H31" s="3" t="str">
        <f>IFERROR(_xlfn.XLOOKUP(A31, PublicHols[Date], PublicHols[PH_Name]),"")</f>
        <v/>
      </c>
      <c r="I31" s="4" t="str">
        <f>IF(COUNTIF(EventsAll[Date], A31)&gt;0, "Y", "N")</f>
        <v>N</v>
      </c>
      <c r="J31" s="11" t="str">
        <f>IFERROR(_xlfn.XLOOKUP(A31, EventsAll[Date], EventsAll[Event]),"")</f>
        <v/>
      </c>
      <c r="K31" s="4" t="str" cm="1">
        <f t="array" ref="K31">IF(SUMPRODUCT((A31&gt;=SchoolHols[Start])*(A31&lt;=SchoolHols[End]))&gt;0,"Y","N")</f>
        <v>N</v>
      </c>
    </row>
    <row r="32" spans="1:11">
      <c r="A32" s="6">
        <f t="shared" si="5"/>
        <v>43131</v>
      </c>
      <c r="B32" s="4" t="str">
        <f t="shared" si="0"/>
        <v>31</v>
      </c>
      <c r="C32" s="4" t="str">
        <f t="shared" si="1"/>
        <v>01</v>
      </c>
      <c r="D32" s="4" t="str">
        <f t="shared" si="2"/>
        <v>2018</v>
      </c>
      <c r="E32" s="3" t="str">
        <f t="shared" si="3"/>
        <v>Wednesday</v>
      </c>
      <c r="F32" s="4" t="str">
        <f t="shared" si="4"/>
        <v>N</v>
      </c>
      <c r="G32" s="4" t="str">
        <f>IF(COUNTIF(PublicHols[Date], A32)&gt;0, "Y", "N")</f>
        <v>N</v>
      </c>
      <c r="H32" s="3" t="str">
        <f>IFERROR(_xlfn.XLOOKUP(A32, PublicHols[Date], PublicHols[PH_Name]),"")</f>
        <v/>
      </c>
      <c r="I32" s="4" t="str">
        <f>IF(COUNTIF(EventsAll[Date], A32)&gt;0, "Y", "N")</f>
        <v>N</v>
      </c>
      <c r="J32" s="11" t="str">
        <f>IFERROR(_xlfn.XLOOKUP(A32, EventsAll[Date], EventsAll[Event]),"")</f>
        <v/>
      </c>
      <c r="K32" s="4" t="str" cm="1">
        <f t="array" ref="K32">IF(SUMPRODUCT((A32&gt;=SchoolHols[Start])*(A32&lt;=SchoolHols[End]))&gt;0,"Y","N")</f>
        <v>N</v>
      </c>
    </row>
    <row r="33" spans="1:11">
      <c r="A33" s="6">
        <f t="shared" si="5"/>
        <v>43132</v>
      </c>
      <c r="B33" s="4" t="str">
        <f t="shared" si="0"/>
        <v>01</v>
      </c>
      <c r="C33" s="4" t="str">
        <f t="shared" si="1"/>
        <v>02</v>
      </c>
      <c r="D33" s="4" t="str">
        <f t="shared" si="2"/>
        <v>2018</v>
      </c>
      <c r="E33" s="3" t="str">
        <f t="shared" si="3"/>
        <v>Thursday</v>
      </c>
      <c r="F33" s="4" t="str">
        <f t="shared" si="4"/>
        <v>N</v>
      </c>
      <c r="G33" s="4" t="str">
        <f>IF(COUNTIF(PublicHols[Date], A33)&gt;0, "Y", "N")</f>
        <v>N</v>
      </c>
      <c r="H33" s="3" t="str">
        <f>IFERROR(_xlfn.XLOOKUP(A33, PublicHols[Date], PublicHols[PH_Name]),"")</f>
        <v/>
      </c>
      <c r="I33" s="4" t="str">
        <f>IF(COUNTIF(EventsAll[Date], A33)&gt;0, "Y", "N")</f>
        <v>N</v>
      </c>
      <c r="J33" s="11" t="str">
        <f>IFERROR(_xlfn.XLOOKUP(A33, EventsAll[Date], EventsAll[Event]),"")</f>
        <v/>
      </c>
      <c r="K33" s="4" t="str" cm="1">
        <f t="array" ref="K33">IF(SUMPRODUCT((A33&gt;=SchoolHols[Start])*(A33&lt;=SchoolHols[End]))&gt;0,"Y","N")</f>
        <v>N</v>
      </c>
    </row>
    <row r="34" spans="1:11">
      <c r="A34" s="6">
        <f t="shared" si="5"/>
        <v>43133</v>
      </c>
      <c r="B34" s="4" t="str">
        <f t="shared" si="0"/>
        <v>02</v>
      </c>
      <c r="C34" s="4" t="str">
        <f t="shared" si="1"/>
        <v>02</v>
      </c>
      <c r="D34" s="4" t="str">
        <f t="shared" si="2"/>
        <v>2018</v>
      </c>
      <c r="E34" s="3" t="str">
        <f t="shared" si="3"/>
        <v>Friday</v>
      </c>
      <c r="F34" s="4" t="str">
        <f t="shared" si="4"/>
        <v>N</v>
      </c>
      <c r="G34" s="4" t="str">
        <f>IF(COUNTIF(PublicHols[Date], A34)&gt;0, "Y", "N")</f>
        <v>N</v>
      </c>
      <c r="H34" s="3" t="str">
        <f>IFERROR(_xlfn.XLOOKUP(A34, PublicHols[Date], PublicHols[PH_Name]),"")</f>
        <v/>
      </c>
      <c r="I34" s="4" t="str">
        <f>IF(COUNTIF(EventsAll[Date], A34)&gt;0, "Y", "N")</f>
        <v>N</v>
      </c>
      <c r="J34" s="11" t="str">
        <f>IFERROR(_xlfn.XLOOKUP(A34, EventsAll[Date], EventsAll[Event]),"")</f>
        <v/>
      </c>
      <c r="K34" s="4" t="str" cm="1">
        <f t="array" ref="K34">IF(SUMPRODUCT((A34&gt;=SchoolHols[Start])*(A34&lt;=SchoolHols[End]))&gt;0,"Y","N")</f>
        <v>N</v>
      </c>
    </row>
    <row r="35" spans="1:11">
      <c r="A35" s="6">
        <f t="shared" si="5"/>
        <v>43134</v>
      </c>
      <c r="B35" s="4" t="str">
        <f t="shared" si="0"/>
        <v>03</v>
      </c>
      <c r="C35" s="4" t="str">
        <f t="shared" si="1"/>
        <v>02</v>
      </c>
      <c r="D35" s="4" t="str">
        <f t="shared" si="2"/>
        <v>2018</v>
      </c>
      <c r="E35" s="3" t="str">
        <f t="shared" si="3"/>
        <v>Saturday</v>
      </c>
      <c r="F35" s="4" t="str">
        <f t="shared" si="4"/>
        <v>N</v>
      </c>
      <c r="G35" s="4" t="str">
        <f>IF(COUNTIF(PublicHols[Date], A35)&gt;0, "Y", "N")</f>
        <v>N</v>
      </c>
      <c r="H35" s="3" t="str">
        <f>IFERROR(_xlfn.XLOOKUP(A35, PublicHols[Date], PublicHols[PH_Name]),"")</f>
        <v/>
      </c>
      <c r="I35" s="4" t="str">
        <f>IF(COUNTIF(EventsAll[Date], A35)&gt;0, "Y", "N")</f>
        <v>N</v>
      </c>
      <c r="J35" s="11" t="str">
        <f>IFERROR(_xlfn.XLOOKUP(A35, EventsAll[Date], EventsAll[Event]),"")</f>
        <v/>
      </c>
      <c r="K35" s="4" t="str" cm="1">
        <f t="array" ref="K35">IF(SUMPRODUCT((A35&gt;=SchoolHols[Start])*(A35&lt;=SchoolHols[End]))&gt;0,"Y","N")</f>
        <v>N</v>
      </c>
    </row>
    <row r="36" spans="1:11">
      <c r="A36" s="6">
        <f t="shared" si="5"/>
        <v>43135</v>
      </c>
      <c r="B36" s="4" t="str">
        <f t="shared" si="0"/>
        <v>04</v>
      </c>
      <c r="C36" s="4" t="str">
        <f t="shared" si="1"/>
        <v>02</v>
      </c>
      <c r="D36" s="4" t="str">
        <f t="shared" si="2"/>
        <v>2018</v>
      </c>
      <c r="E36" s="3" t="str">
        <f t="shared" si="3"/>
        <v>Sunday</v>
      </c>
      <c r="F36" s="4" t="str">
        <f t="shared" si="4"/>
        <v>Y</v>
      </c>
      <c r="G36" s="4" t="str">
        <f>IF(COUNTIF(PublicHols[Date], A36)&gt;0, "Y", "N")</f>
        <v>N</v>
      </c>
      <c r="H36" s="3" t="str">
        <f>IFERROR(_xlfn.XLOOKUP(A36, PublicHols[Date], PublicHols[PH_Name]),"")</f>
        <v/>
      </c>
      <c r="I36" s="4" t="str">
        <f>IF(COUNTIF(EventsAll[Date], A36)&gt;0, "Y", "N")</f>
        <v>N</v>
      </c>
      <c r="J36" s="11" t="str">
        <f>IFERROR(_xlfn.XLOOKUP(A36, EventsAll[Date], EventsAll[Event]),"")</f>
        <v/>
      </c>
      <c r="K36" s="4" t="str" cm="1">
        <f t="array" ref="K36">IF(SUMPRODUCT((A36&gt;=SchoolHols[Start])*(A36&lt;=SchoolHols[End]))&gt;0,"Y","N")</f>
        <v>N</v>
      </c>
    </row>
    <row r="37" spans="1:11">
      <c r="A37" s="6">
        <f t="shared" si="5"/>
        <v>43136</v>
      </c>
      <c r="B37" s="4" t="str">
        <f t="shared" si="0"/>
        <v>05</v>
      </c>
      <c r="C37" s="4" t="str">
        <f t="shared" si="1"/>
        <v>02</v>
      </c>
      <c r="D37" s="4" t="str">
        <f t="shared" si="2"/>
        <v>2018</v>
      </c>
      <c r="E37" s="3" t="str">
        <f t="shared" si="3"/>
        <v>Monday</v>
      </c>
      <c r="F37" s="4" t="str">
        <f t="shared" si="4"/>
        <v>N</v>
      </c>
      <c r="G37" s="4" t="str">
        <f>IF(COUNTIF(PublicHols[Date], A37)&gt;0, "Y", "N")</f>
        <v>N</v>
      </c>
      <c r="H37" s="3" t="str">
        <f>IFERROR(_xlfn.XLOOKUP(A37, PublicHols[Date], PublicHols[PH_Name]),"")</f>
        <v/>
      </c>
      <c r="I37" s="4" t="str">
        <f>IF(COUNTIF(EventsAll[Date], A37)&gt;0, "Y", "N")</f>
        <v>N</v>
      </c>
      <c r="J37" s="11" t="str">
        <f>IFERROR(_xlfn.XLOOKUP(A37, EventsAll[Date], EventsAll[Event]),"")</f>
        <v/>
      </c>
      <c r="K37" s="4" t="str" cm="1">
        <f t="array" ref="K37">IF(SUMPRODUCT((A37&gt;=SchoolHols[Start])*(A37&lt;=SchoolHols[End]))&gt;0,"Y","N")</f>
        <v>N</v>
      </c>
    </row>
    <row r="38" spans="1:11">
      <c r="A38" s="6">
        <f t="shared" si="5"/>
        <v>43137</v>
      </c>
      <c r="B38" s="4" t="str">
        <f t="shared" si="0"/>
        <v>06</v>
      </c>
      <c r="C38" s="4" t="str">
        <f t="shared" si="1"/>
        <v>02</v>
      </c>
      <c r="D38" s="4" t="str">
        <f t="shared" si="2"/>
        <v>2018</v>
      </c>
      <c r="E38" s="3" t="str">
        <f t="shared" si="3"/>
        <v>Tuesday</v>
      </c>
      <c r="F38" s="4" t="str">
        <f t="shared" si="4"/>
        <v>N</v>
      </c>
      <c r="G38" s="4" t="str">
        <f>IF(COUNTIF(PublicHols[Date], A38)&gt;0, "Y", "N")</f>
        <v>N</v>
      </c>
      <c r="H38" s="3" t="str">
        <f>IFERROR(_xlfn.XLOOKUP(A38, PublicHols[Date], PublicHols[PH_Name]),"")</f>
        <v/>
      </c>
      <c r="I38" s="4" t="str">
        <f>IF(COUNTIF(EventsAll[Date], A38)&gt;0, "Y", "N")</f>
        <v>N</v>
      </c>
      <c r="J38" s="11" t="str">
        <f>IFERROR(_xlfn.XLOOKUP(A38, EventsAll[Date], EventsAll[Event]),"")</f>
        <v/>
      </c>
      <c r="K38" s="4" t="str" cm="1">
        <f t="array" ref="K38">IF(SUMPRODUCT((A38&gt;=SchoolHols[Start])*(A38&lt;=SchoolHols[End]))&gt;0,"Y","N")</f>
        <v>N</v>
      </c>
    </row>
    <row r="39" spans="1:11">
      <c r="A39" s="6">
        <f t="shared" si="5"/>
        <v>43138</v>
      </c>
      <c r="B39" s="4" t="str">
        <f t="shared" si="0"/>
        <v>07</v>
      </c>
      <c r="C39" s="4" t="str">
        <f t="shared" si="1"/>
        <v>02</v>
      </c>
      <c r="D39" s="4" t="str">
        <f t="shared" si="2"/>
        <v>2018</v>
      </c>
      <c r="E39" s="3" t="str">
        <f t="shared" si="3"/>
        <v>Wednesday</v>
      </c>
      <c r="F39" s="4" t="str">
        <f t="shared" si="4"/>
        <v>N</v>
      </c>
      <c r="G39" s="4" t="str">
        <f>IF(COUNTIF(PublicHols[Date], A39)&gt;0, "Y", "N")</f>
        <v>N</v>
      </c>
      <c r="H39" s="3" t="str">
        <f>IFERROR(_xlfn.XLOOKUP(A39, PublicHols[Date], PublicHols[PH_Name]),"")</f>
        <v/>
      </c>
      <c r="I39" s="4" t="str">
        <f>IF(COUNTIF(EventsAll[Date], A39)&gt;0, "Y", "N")</f>
        <v>N</v>
      </c>
      <c r="J39" s="11" t="str">
        <f>IFERROR(_xlfn.XLOOKUP(A39, EventsAll[Date], EventsAll[Event]),"")</f>
        <v/>
      </c>
      <c r="K39" s="4" t="str" cm="1">
        <f t="array" ref="K39">IF(SUMPRODUCT((A39&gt;=SchoolHols[Start])*(A39&lt;=SchoolHols[End]))&gt;0,"Y","N")</f>
        <v>N</v>
      </c>
    </row>
    <row r="40" spans="1:11">
      <c r="A40" s="6">
        <f t="shared" si="5"/>
        <v>43139</v>
      </c>
      <c r="B40" s="4" t="str">
        <f t="shared" si="0"/>
        <v>08</v>
      </c>
      <c r="C40" s="4" t="str">
        <f t="shared" si="1"/>
        <v>02</v>
      </c>
      <c r="D40" s="4" t="str">
        <f t="shared" si="2"/>
        <v>2018</v>
      </c>
      <c r="E40" s="3" t="str">
        <f t="shared" si="3"/>
        <v>Thursday</v>
      </c>
      <c r="F40" s="4" t="str">
        <f t="shared" si="4"/>
        <v>N</v>
      </c>
      <c r="G40" s="4" t="str">
        <f>IF(COUNTIF(PublicHols[Date], A40)&gt;0, "Y", "N")</f>
        <v>N</v>
      </c>
      <c r="H40" s="3" t="str">
        <f>IFERROR(_xlfn.XLOOKUP(A40, PublicHols[Date], PublicHols[PH_Name]),"")</f>
        <v/>
      </c>
      <c r="I40" s="4" t="str">
        <f>IF(COUNTIF(EventsAll[Date], A40)&gt;0, "Y", "N")</f>
        <v>N</v>
      </c>
      <c r="J40" s="11" t="str">
        <f>IFERROR(_xlfn.XLOOKUP(A40, EventsAll[Date], EventsAll[Event]),"")</f>
        <v/>
      </c>
      <c r="K40" s="4" t="str" cm="1">
        <f t="array" ref="K40">IF(SUMPRODUCT((A40&gt;=SchoolHols[Start])*(A40&lt;=SchoolHols[End]))&gt;0,"Y","N")</f>
        <v>N</v>
      </c>
    </row>
    <row r="41" spans="1:11">
      <c r="A41" s="6">
        <f t="shared" si="5"/>
        <v>43140</v>
      </c>
      <c r="B41" s="4" t="str">
        <f t="shared" si="0"/>
        <v>09</v>
      </c>
      <c r="C41" s="4" t="str">
        <f t="shared" si="1"/>
        <v>02</v>
      </c>
      <c r="D41" s="4" t="str">
        <f t="shared" si="2"/>
        <v>2018</v>
      </c>
      <c r="E41" s="3" t="str">
        <f t="shared" si="3"/>
        <v>Friday</v>
      </c>
      <c r="F41" s="4" t="str">
        <f t="shared" si="4"/>
        <v>N</v>
      </c>
      <c r="G41" s="4" t="str">
        <f>IF(COUNTIF(PublicHols[Date], A41)&gt;0, "Y", "N")</f>
        <v>N</v>
      </c>
      <c r="H41" s="3" t="str">
        <f>IFERROR(_xlfn.XLOOKUP(A41, PublicHols[Date], PublicHols[PH_Name]),"")</f>
        <v/>
      </c>
      <c r="I41" s="4" t="str">
        <f>IF(COUNTIF(EventsAll[Date], A41)&gt;0, "Y", "N")</f>
        <v>N</v>
      </c>
      <c r="J41" s="11" t="str">
        <f>IFERROR(_xlfn.XLOOKUP(A41, EventsAll[Date], EventsAll[Event]),"")</f>
        <v/>
      </c>
      <c r="K41" s="4" t="str" cm="1">
        <f t="array" ref="K41">IF(SUMPRODUCT((A41&gt;=SchoolHols[Start])*(A41&lt;=SchoolHols[End]))&gt;0,"Y","N")</f>
        <v>N</v>
      </c>
    </row>
    <row r="42" spans="1:11">
      <c r="A42" s="6">
        <f t="shared" si="5"/>
        <v>43141</v>
      </c>
      <c r="B42" s="4" t="str">
        <f t="shared" si="0"/>
        <v>10</v>
      </c>
      <c r="C42" s="4" t="str">
        <f t="shared" si="1"/>
        <v>02</v>
      </c>
      <c r="D42" s="4" t="str">
        <f t="shared" si="2"/>
        <v>2018</v>
      </c>
      <c r="E42" s="3" t="str">
        <f t="shared" si="3"/>
        <v>Saturday</v>
      </c>
      <c r="F42" s="4" t="str">
        <f t="shared" si="4"/>
        <v>N</v>
      </c>
      <c r="G42" s="4" t="str">
        <f>IF(COUNTIF(PublicHols[Date], A42)&gt;0, "Y", "N")</f>
        <v>N</v>
      </c>
      <c r="H42" s="3" t="str">
        <f>IFERROR(_xlfn.XLOOKUP(A42, PublicHols[Date], PublicHols[PH_Name]),"")</f>
        <v/>
      </c>
      <c r="I42" s="4" t="str">
        <f>IF(COUNTIF(EventsAll[Date], A42)&gt;0, "Y", "N")</f>
        <v>N</v>
      </c>
      <c r="J42" s="11" t="str">
        <f>IFERROR(_xlfn.XLOOKUP(A42, EventsAll[Date], EventsAll[Event]),"")</f>
        <v/>
      </c>
      <c r="K42" s="4" t="str" cm="1">
        <f t="array" ref="K42">IF(SUMPRODUCT((A42&gt;=SchoolHols[Start])*(A42&lt;=SchoolHols[End]))&gt;0,"Y","N")</f>
        <v>N</v>
      </c>
    </row>
    <row r="43" spans="1:11">
      <c r="A43" s="6">
        <f t="shared" si="5"/>
        <v>43142</v>
      </c>
      <c r="B43" s="4" t="str">
        <f t="shared" si="0"/>
        <v>11</v>
      </c>
      <c r="C43" s="4" t="str">
        <f t="shared" si="1"/>
        <v>02</v>
      </c>
      <c r="D43" s="4" t="str">
        <f t="shared" si="2"/>
        <v>2018</v>
      </c>
      <c r="E43" s="3" t="str">
        <f t="shared" si="3"/>
        <v>Sunday</v>
      </c>
      <c r="F43" s="4" t="str">
        <f t="shared" si="4"/>
        <v>Y</v>
      </c>
      <c r="G43" s="4" t="str">
        <f>IF(COUNTIF(PublicHols[Date], A43)&gt;0, "Y", "N")</f>
        <v>N</v>
      </c>
      <c r="H43" s="3" t="str">
        <f>IFERROR(_xlfn.XLOOKUP(A43, PublicHols[Date], PublicHols[PH_Name]),"")</f>
        <v/>
      </c>
      <c r="I43" s="4" t="str">
        <f>IF(COUNTIF(EventsAll[Date], A43)&gt;0, "Y", "N")</f>
        <v>N</v>
      </c>
      <c r="J43" s="11" t="str">
        <f>IFERROR(_xlfn.XLOOKUP(A43, EventsAll[Date], EventsAll[Event]),"")</f>
        <v/>
      </c>
      <c r="K43" s="4" t="str" cm="1">
        <f t="array" ref="K43">IF(SUMPRODUCT((A43&gt;=SchoolHols[Start])*(A43&lt;=SchoolHols[End]))&gt;0,"Y","N")</f>
        <v>N</v>
      </c>
    </row>
    <row r="44" spans="1:11">
      <c r="A44" s="6">
        <f t="shared" si="5"/>
        <v>43143</v>
      </c>
      <c r="B44" s="4" t="str">
        <f t="shared" si="0"/>
        <v>12</v>
      </c>
      <c r="C44" s="4" t="str">
        <f t="shared" si="1"/>
        <v>02</v>
      </c>
      <c r="D44" s="4" t="str">
        <f t="shared" si="2"/>
        <v>2018</v>
      </c>
      <c r="E44" s="3" t="str">
        <f t="shared" si="3"/>
        <v>Monday</v>
      </c>
      <c r="F44" s="4" t="str">
        <f t="shared" si="4"/>
        <v>N</v>
      </c>
      <c r="G44" s="4" t="str">
        <f>IF(COUNTIF(PublicHols[Date], A44)&gt;0, "Y", "N")</f>
        <v>N</v>
      </c>
      <c r="H44" s="3" t="str">
        <f>IFERROR(_xlfn.XLOOKUP(A44, PublicHols[Date], PublicHols[PH_Name]),"")</f>
        <v/>
      </c>
      <c r="I44" s="4" t="str">
        <f>IF(COUNTIF(EventsAll[Date], A44)&gt;0, "Y", "N")</f>
        <v>N</v>
      </c>
      <c r="J44" s="11" t="str">
        <f>IFERROR(_xlfn.XLOOKUP(A44, EventsAll[Date], EventsAll[Event]),"")</f>
        <v/>
      </c>
      <c r="K44" s="4" t="str" cm="1">
        <f t="array" ref="K44">IF(SUMPRODUCT((A44&gt;=SchoolHols[Start])*(A44&lt;=SchoolHols[End]))&gt;0,"Y","N")</f>
        <v>N</v>
      </c>
    </row>
    <row r="45" spans="1:11">
      <c r="A45" s="6">
        <f t="shared" si="5"/>
        <v>43144</v>
      </c>
      <c r="B45" s="4" t="str">
        <f t="shared" si="0"/>
        <v>13</v>
      </c>
      <c r="C45" s="4" t="str">
        <f t="shared" si="1"/>
        <v>02</v>
      </c>
      <c r="D45" s="4" t="str">
        <f t="shared" si="2"/>
        <v>2018</v>
      </c>
      <c r="E45" s="3" t="str">
        <f t="shared" si="3"/>
        <v>Tuesday</v>
      </c>
      <c r="F45" s="4" t="str">
        <f t="shared" si="4"/>
        <v>N</v>
      </c>
      <c r="G45" s="4" t="str">
        <f>IF(COUNTIF(PublicHols[Date], A45)&gt;0, "Y", "N")</f>
        <v>N</v>
      </c>
      <c r="H45" s="3" t="str">
        <f>IFERROR(_xlfn.XLOOKUP(A45, PublicHols[Date], PublicHols[PH_Name]),"")</f>
        <v/>
      </c>
      <c r="I45" s="4" t="str">
        <f>IF(COUNTIF(EventsAll[Date], A45)&gt;0, "Y", "N")</f>
        <v>N</v>
      </c>
      <c r="J45" s="11" t="str">
        <f>IFERROR(_xlfn.XLOOKUP(A45, EventsAll[Date], EventsAll[Event]),"")</f>
        <v/>
      </c>
      <c r="K45" s="4" t="str" cm="1">
        <f t="array" ref="K45">IF(SUMPRODUCT((A45&gt;=SchoolHols[Start])*(A45&lt;=SchoolHols[End]))&gt;0,"Y","N")</f>
        <v>N</v>
      </c>
    </row>
    <row r="46" spans="1:11">
      <c r="A46" s="6">
        <f t="shared" si="5"/>
        <v>43145</v>
      </c>
      <c r="B46" s="4" t="str">
        <f t="shared" si="0"/>
        <v>14</v>
      </c>
      <c r="C46" s="4" t="str">
        <f t="shared" si="1"/>
        <v>02</v>
      </c>
      <c r="D46" s="4" t="str">
        <f t="shared" si="2"/>
        <v>2018</v>
      </c>
      <c r="E46" s="3" t="str">
        <f t="shared" si="3"/>
        <v>Wednesday</v>
      </c>
      <c r="F46" s="4" t="str">
        <f t="shared" si="4"/>
        <v>N</v>
      </c>
      <c r="G46" s="4" t="str">
        <f>IF(COUNTIF(PublicHols[Date], A46)&gt;0, "Y", "N")</f>
        <v>N</v>
      </c>
      <c r="H46" s="3" t="str">
        <f>IFERROR(_xlfn.XLOOKUP(A46, PublicHols[Date], PublicHols[PH_Name]),"")</f>
        <v/>
      </c>
      <c r="I46" s="4" t="str">
        <f>IF(COUNTIF(EventsAll[Date], A46)&gt;0, "Y", "N")</f>
        <v>Y</v>
      </c>
      <c r="J46" s="11" t="str">
        <f>IFERROR(_xlfn.XLOOKUP(A46, EventsAll[Date], EventsAll[Event]),"")</f>
        <v xml:space="preserve"> Valentine's Day</v>
      </c>
      <c r="K46" s="4" t="str" cm="1">
        <f t="array" ref="K46">IF(SUMPRODUCT((A46&gt;=SchoolHols[Start])*(A46&lt;=SchoolHols[End]))&gt;0,"Y","N")</f>
        <v>N</v>
      </c>
    </row>
    <row r="47" spans="1:11">
      <c r="A47" s="6">
        <f t="shared" si="5"/>
        <v>43146</v>
      </c>
      <c r="B47" s="4" t="str">
        <f t="shared" si="0"/>
        <v>15</v>
      </c>
      <c r="C47" s="4" t="str">
        <f t="shared" si="1"/>
        <v>02</v>
      </c>
      <c r="D47" s="4" t="str">
        <f t="shared" si="2"/>
        <v>2018</v>
      </c>
      <c r="E47" s="3" t="str">
        <f t="shared" si="3"/>
        <v>Thursday</v>
      </c>
      <c r="F47" s="4" t="str">
        <f t="shared" si="4"/>
        <v>N</v>
      </c>
      <c r="G47" s="4" t="str">
        <f>IF(COUNTIF(PublicHols[Date], A47)&gt;0, "Y", "N")</f>
        <v>N</v>
      </c>
      <c r="H47" s="3" t="str">
        <f>IFERROR(_xlfn.XLOOKUP(A47, PublicHols[Date], PublicHols[PH_Name]),"")</f>
        <v/>
      </c>
      <c r="I47" s="4" t="str">
        <f>IF(COUNTIF(EventsAll[Date], A47)&gt;0, "Y", "N")</f>
        <v>N</v>
      </c>
      <c r="J47" s="11" t="str">
        <f>IFERROR(_xlfn.XLOOKUP(A47, EventsAll[Date], EventsAll[Event]),"")</f>
        <v/>
      </c>
      <c r="K47" s="4" t="str" cm="1">
        <f t="array" ref="K47">IF(SUMPRODUCT((A47&gt;=SchoolHols[Start])*(A47&lt;=SchoolHols[End]))&gt;0,"Y","N")</f>
        <v>N</v>
      </c>
    </row>
    <row r="48" spans="1:11">
      <c r="A48" s="6">
        <f t="shared" si="5"/>
        <v>43147</v>
      </c>
      <c r="B48" s="4" t="str">
        <f t="shared" si="0"/>
        <v>16</v>
      </c>
      <c r="C48" s="4" t="str">
        <f t="shared" si="1"/>
        <v>02</v>
      </c>
      <c r="D48" s="4" t="str">
        <f t="shared" si="2"/>
        <v>2018</v>
      </c>
      <c r="E48" s="3" t="str">
        <f t="shared" si="3"/>
        <v>Friday</v>
      </c>
      <c r="F48" s="4" t="str">
        <f t="shared" si="4"/>
        <v>N</v>
      </c>
      <c r="G48" s="4" t="str">
        <f>IF(COUNTIF(PublicHols[Date], A48)&gt;0, "Y", "N")</f>
        <v>N</v>
      </c>
      <c r="H48" s="3" t="str">
        <f>IFERROR(_xlfn.XLOOKUP(A48, PublicHols[Date], PublicHols[PH_Name]),"")</f>
        <v/>
      </c>
      <c r="I48" s="4" t="str">
        <f>IF(COUNTIF(EventsAll[Date], A48)&gt;0, "Y", "N")</f>
        <v>N</v>
      </c>
      <c r="J48" s="11" t="str">
        <f>IFERROR(_xlfn.XLOOKUP(A48, EventsAll[Date], EventsAll[Event]),"")</f>
        <v/>
      </c>
      <c r="K48" s="4" t="str" cm="1">
        <f t="array" ref="K48">IF(SUMPRODUCT((A48&gt;=SchoolHols[Start])*(A48&lt;=SchoolHols[End]))&gt;0,"Y","N")</f>
        <v>N</v>
      </c>
    </row>
    <row r="49" spans="1:11">
      <c r="A49" s="6">
        <f t="shared" si="5"/>
        <v>43148</v>
      </c>
      <c r="B49" s="4" t="str">
        <f t="shared" si="0"/>
        <v>17</v>
      </c>
      <c r="C49" s="4" t="str">
        <f t="shared" si="1"/>
        <v>02</v>
      </c>
      <c r="D49" s="4" t="str">
        <f t="shared" si="2"/>
        <v>2018</v>
      </c>
      <c r="E49" s="3" t="str">
        <f t="shared" si="3"/>
        <v>Saturday</v>
      </c>
      <c r="F49" s="4" t="str">
        <f t="shared" si="4"/>
        <v>N</v>
      </c>
      <c r="G49" s="4" t="str">
        <f>IF(COUNTIF(PublicHols[Date], A49)&gt;0, "Y", "N")</f>
        <v>N</v>
      </c>
      <c r="H49" s="3" t="str">
        <f>IFERROR(_xlfn.XLOOKUP(A49, PublicHols[Date], PublicHols[PH_Name]),"")</f>
        <v/>
      </c>
      <c r="I49" s="4" t="str">
        <f>IF(COUNTIF(EventsAll[Date], A49)&gt;0, "Y", "N")</f>
        <v>N</v>
      </c>
      <c r="J49" s="11" t="str">
        <f>IFERROR(_xlfn.XLOOKUP(A49, EventsAll[Date], EventsAll[Event]),"")</f>
        <v/>
      </c>
      <c r="K49" s="4" t="str" cm="1">
        <f t="array" ref="K49">IF(SUMPRODUCT((A49&gt;=SchoolHols[Start])*(A49&lt;=SchoolHols[End]))&gt;0,"Y","N")</f>
        <v>N</v>
      </c>
    </row>
    <row r="50" spans="1:11">
      <c r="A50" s="6">
        <f t="shared" si="5"/>
        <v>43149</v>
      </c>
      <c r="B50" s="4" t="str">
        <f t="shared" si="0"/>
        <v>18</v>
      </c>
      <c r="C50" s="4" t="str">
        <f t="shared" si="1"/>
        <v>02</v>
      </c>
      <c r="D50" s="4" t="str">
        <f t="shared" si="2"/>
        <v>2018</v>
      </c>
      <c r="E50" s="3" t="str">
        <f t="shared" si="3"/>
        <v>Sunday</v>
      </c>
      <c r="F50" s="4" t="str">
        <f t="shared" si="4"/>
        <v>Y</v>
      </c>
      <c r="G50" s="4" t="str">
        <f>IF(COUNTIF(PublicHols[Date], A50)&gt;0, "Y", "N")</f>
        <v>N</v>
      </c>
      <c r="H50" s="3" t="str">
        <f>IFERROR(_xlfn.XLOOKUP(A50, PublicHols[Date], PublicHols[PH_Name]),"")</f>
        <v/>
      </c>
      <c r="I50" s="4" t="str">
        <f>IF(COUNTIF(EventsAll[Date], A50)&gt;0, "Y", "N")</f>
        <v>N</v>
      </c>
      <c r="J50" s="11" t="str">
        <f>IFERROR(_xlfn.XLOOKUP(A50, EventsAll[Date], EventsAll[Event]),"")</f>
        <v/>
      </c>
      <c r="K50" s="4" t="str" cm="1">
        <f t="array" ref="K50">IF(SUMPRODUCT((A50&gt;=SchoolHols[Start])*(A50&lt;=SchoolHols[End]))&gt;0,"Y","N")</f>
        <v>N</v>
      </c>
    </row>
    <row r="51" spans="1:11">
      <c r="A51" s="6">
        <f t="shared" si="5"/>
        <v>43150</v>
      </c>
      <c r="B51" s="4" t="str">
        <f t="shared" si="0"/>
        <v>19</v>
      </c>
      <c r="C51" s="4" t="str">
        <f t="shared" si="1"/>
        <v>02</v>
      </c>
      <c r="D51" s="4" t="str">
        <f t="shared" si="2"/>
        <v>2018</v>
      </c>
      <c r="E51" s="3" t="str">
        <f t="shared" si="3"/>
        <v>Monday</v>
      </c>
      <c r="F51" s="4" t="str">
        <f t="shared" si="4"/>
        <v>N</v>
      </c>
      <c r="G51" s="4" t="str">
        <f>IF(COUNTIF(PublicHols[Date], A51)&gt;0, "Y", "N")</f>
        <v>N</v>
      </c>
      <c r="H51" s="3" t="str">
        <f>IFERROR(_xlfn.XLOOKUP(A51, PublicHols[Date], PublicHols[PH_Name]),"")</f>
        <v/>
      </c>
      <c r="I51" s="4" t="str">
        <f>IF(COUNTIF(EventsAll[Date], A51)&gt;0, "Y", "N")</f>
        <v>N</v>
      </c>
      <c r="J51" s="11" t="str">
        <f>IFERROR(_xlfn.XLOOKUP(A51, EventsAll[Date], EventsAll[Event]),"")</f>
        <v/>
      </c>
      <c r="K51" s="4" t="str" cm="1">
        <f t="array" ref="K51">IF(SUMPRODUCT((A51&gt;=SchoolHols[Start])*(A51&lt;=SchoolHols[End]))&gt;0,"Y","N")</f>
        <v>N</v>
      </c>
    </row>
    <row r="52" spans="1:11">
      <c r="A52" s="6">
        <f t="shared" si="5"/>
        <v>43151</v>
      </c>
      <c r="B52" s="4" t="str">
        <f t="shared" si="0"/>
        <v>20</v>
      </c>
      <c r="C52" s="4" t="str">
        <f t="shared" si="1"/>
        <v>02</v>
      </c>
      <c r="D52" s="4" t="str">
        <f t="shared" si="2"/>
        <v>2018</v>
      </c>
      <c r="E52" s="3" t="str">
        <f t="shared" si="3"/>
        <v>Tuesday</v>
      </c>
      <c r="F52" s="4" t="str">
        <f t="shared" si="4"/>
        <v>N</v>
      </c>
      <c r="G52" s="4" t="str">
        <f>IF(COUNTIF(PublicHols[Date], A52)&gt;0, "Y", "N")</f>
        <v>N</v>
      </c>
      <c r="H52" s="3" t="str">
        <f>IFERROR(_xlfn.XLOOKUP(A52, PublicHols[Date], PublicHols[PH_Name]),"")</f>
        <v/>
      </c>
      <c r="I52" s="4" t="str">
        <f>IF(COUNTIF(EventsAll[Date], A52)&gt;0, "Y", "N")</f>
        <v>N</v>
      </c>
      <c r="J52" s="11" t="str">
        <f>IFERROR(_xlfn.XLOOKUP(A52, EventsAll[Date], EventsAll[Event]),"")</f>
        <v/>
      </c>
      <c r="K52" s="4" t="str" cm="1">
        <f t="array" ref="K52">IF(SUMPRODUCT((A52&gt;=SchoolHols[Start])*(A52&lt;=SchoolHols[End]))&gt;0,"Y","N")</f>
        <v>N</v>
      </c>
    </row>
    <row r="53" spans="1:11">
      <c r="A53" s="6">
        <f t="shared" si="5"/>
        <v>43152</v>
      </c>
      <c r="B53" s="4" t="str">
        <f t="shared" si="0"/>
        <v>21</v>
      </c>
      <c r="C53" s="4" t="str">
        <f t="shared" si="1"/>
        <v>02</v>
      </c>
      <c r="D53" s="4" t="str">
        <f t="shared" si="2"/>
        <v>2018</v>
      </c>
      <c r="E53" s="3" t="str">
        <f t="shared" si="3"/>
        <v>Wednesday</v>
      </c>
      <c r="F53" s="4" t="str">
        <f t="shared" si="4"/>
        <v>N</v>
      </c>
      <c r="G53" s="4" t="str">
        <f>IF(COUNTIF(PublicHols[Date], A53)&gt;0, "Y", "N")</f>
        <v>N</v>
      </c>
      <c r="H53" s="3" t="str">
        <f>IFERROR(_xlfn.XLOOKUP(A53, PublicHols[Date], PublicHols[PH_Name]),"")</f>
        <v/>
      </c>
      <c r="I53" s="4" t="str">
        <f>IF(COUNTIF(EventsAll[Date], A53)&gt;0, "Y", "N")</f>
        <v>N</v>
      </c>
      <c r="J53" s="11" t="str">
        <f>IFERROR(_xlfn.XLOOKUP(A53, EventsAll[Date], EventsAll[Event]),"")</f>
        <v/>
      </c>
      <c r="K53" s="4" t="str" cm="1">
        <f t="array" ref="K53">IF(SUMPRODUCT((A53&gt;=SchoolHols[Start])*(A53&lt;=SchoolHols[End]))&gt;0,"Y","N")</f>
        <v>N</v>
      </c>
    </row>
    <row r="54" spans="1:11">
      <c r="A54" s="6">
        <f t="shared" si="5"/>
        <v>43153</v>
      </c>
      <c r="B54" s="4" t="str">
        <f t="shared" si="0"/>
        <v>22</v>
      </c>
      <c r="C54" s="4" t="str">
        <f t="shared" si="1"/>
        <v>02</v>
      </c>
      <c r="D54" s="4" t="str">
        <f t="shared" si="2"/>
        <v>2018</v>
      </c>
      <c r="E54" s="3" t="str">
        <f t="shared" si="3"/>
        <v>Thursday</v>
      </c>
      <c r="F54" s="4" t="str">
        <f t="shared" si="4"/>
        <v>N</v>
      </c>
      <c r="G54" s="4" t="str">
        <f>IF(COUNTIF(PublicHols[Date], A54)&gt;0, "Y", "N")</f>
        <v>N</v>
      </c>
      <c r="H54" s="3" t="str">
        <f>IFERROR(_xlfn.XLOOKUP(A54, PublicHols[Date], PublicHols[PH_Name]),"")</f>
        <v/>
      </c>
      <c r="I54" s="4" t="str">
        <f>IF(COUNTIF(EventsAll[Date], A54)&gt;0, "Y", "N")</f>
        <v>N</v>
      </c>
      <c r="J54" s="11" t="str">
        <f>IFERROR(_xlfn.XLOOKUP(A54, EventsAll[Date], EventsAll[Event]),"")</f>
        <v/>
      </c>
      <c r="K54" s="4" t="str" cm="1">
        <f t="array" ref="K54">IF(SUMPRODUCT((A54&gt;=SchoolHols[Start])*(A54&lt;=SchoolHols[End]))&gt;0,"Y","N")</f>
        <v>N</v>
      </c>
    </row>
    <row r="55" spans="1:11">
      <c r="A55" s="6">
        <f t="shared" si="5"/>
        <v>43154</v>
      </c>
      <c r="B55" s="4" t="str">
        <f t="shared" si="0"/>
        <v>23</v>
      </c>
      <c r="C55" s="4" t="str">
        <f t="shared" si="1"/>
        <v>02</v>
      </c>
      <c r="D55" s="4" t="str">
        <f t="shared" si="2"/>
        <v>2018</v>
      </c>
      <c r="E55" s="3" t="str">
        <f t="shared" si="3"/>
        <v>Friday</v>
      </c>
      <c r="F55" s="4" t="str">
        <f t="shared" si="4"/>
        <v>N</v>
      </c>
      <c r="G55" s="4" t="str">
        <f>IF(COUNTIF(PublicHols[Date], A55)&gt;0, "Y", "N")</f>
        <v>N</v>
      </c>
      <c r="H55" s="3" t="str">
        <f>IFERROR(_xlfn.XLOOKUP(A55, PublicHols[Date], PublicHols[PH_Name]),"")</f>
        <v/>
      </c>
      <c r="I55" s="4" t="str">
        <f>IF(COUNTIF(EventsAll[Date], A55)&gt;0, "Y", "N")</f>
        <v>N</v>
      </c>
      <c r="J55" s="11" t="str">
        <f>IFERROR(_xlfn.XLOOKUP(A55, EventsAll[Date], EventsAll[Event]),"")</f>
        <v/>
      </c>
      <c r="K55" s="4" t="str" cm="1">
        <f t="array" ref="K55">IF(SUMPRODUCT((A55&gt;=SchoolHols[Start])*(A55&lt;=SchoolHols[End]))&gt;0,"Y","N")</f>
        <v>N</v>
      </c>
    </row>
    <row r="56" spans="1:11">
      <c r="A56" s="6">
        <f t="shared" si="5"/>
        <v>43155</v>
      </c>
      <c r="B56" s="4" t="str">
        <f t="shared" si="0"/>
        <v>24</v>
      </c>
      <c r="C56" s="4" t="str">
        <f t="shared" si="1"/>
        <v>02</v>
      </c>
      <c r="D56" s="4" t="str">
        <f t="shared" si="2"/>
        <v>2018</v>
      </c>
      <c r="E56" s="3" t="str">
        <f t="shared" si="3"/>
        <v>Saturday</v>
      </c>
      <c r="F56" s="4" t="str">
        <f t="shared" si="4"/>
        <v>N</v>
      </c>
      <c r="G56" s="4" t="str">
        <f>IF(COUNTIF(PublicHols[Date], A56)&gt;0, "Y", "N")</f>
        <v>N</v>
      </c>
      <c r="H56" s="3" t="str">
        <f>IFERROR(_xlfn.XLOOKUP(A56, PublicHols[Date], PublicHols[PH_Name]),"")</f>
        <v/>
      </c>
      <c r="I56" s="4" t="str">
        <f>IF(COUNTIF(EventsAll[Date], A56)&gt;0, "Y", "N")</f>
        <v>N</v>
      </c>
      <c r="J56" s="11" t="str">
        <f>IFERROR(_xlfn.XLOOKUP(A56, EventsAll[Date], EventsAll[Event]),"")</f>
        <v/>
      </c>
      <c r="K56" s="4" t="str" cm="1">
        <f t="array" ref="K56">IF(SUMPRODUCT((A56&gt;=SchoolHols[Start])*(A56&lt;=SchoolHols[End]))&gt;0,"Y","N")</f>
        <v>N</v>
      </c>
    </row>
    <row r="57" spans="1:11">
      <c r="A57" s="6">
        <f t="shared" si="5"/>
        <v>43156</v>
      </c>
      <c r="B57" s="4" t="str">
        <f t="shared" si="0"/>
        <v>25</v>
      </c>
      <c r="C57" s="4" t="str">
        <f t="shared" si="1"/>
        <v>02</v>
      </c>
      <c r="D57" s="4" t="str">
        <f t="shared" si="2"/>
        <v>2018</v>
      </c>
      <c r="E57" s="3" t="str">
        <f t="shared" si="3"/>
        <v>Sunday</v>
      </c>
      <c r="F57" s="4" t="str">
        <f t="shared" si="4"/>
        <v>Y</v>
      </c>
      <c r="G57" s="4" t="str">
        <f>IF(COUNTIF(PublicHols[Date], A57)&gt;0, "Y", "N")</f>
        <v>N</v>
      </c>
      <c r="H57" s="3" t="str">
        <f>IFERROR(_xlfn.XLOOKUP(A57, PublicHols[Date], PublicHols[PH_Name]),"")</f>
        <v/>
      </c>
      <c r="I57" s="4" t="str">
        <f>IF(COUNTIF(EventsAll[Date], A57)&gt;0, "Y", "N")</f>
        <v>N</v>
      </c>
      <c r="J57" s="11" t="str">
        <f>IFERROR(_xlfn.XLOOKUP(A57, EventsAll[Date], EventsAll[Event]),"")</f>
        <v/>
      </c>
      <c r="K57" s="4" t="str" cm="1">
        <f t="array" ref="K57">IF(SUMPRODUCT((A57&gt;=SchoolHols[Start])*(A57&lt;=SchoolHols[End]))&gt;0,"Y","N")</f>
        <v>N</v>
      </c>
    </row>
    <row r="58" spans="1:11">
      <c r="A58" s="6">
        <f t="shared" si="5"/>
        <v>43157</v>
      </c>
      <c r="B58" s="4" t="str">
        <f t="shared" si="0"/>
        <v>26</v>
      </c>
      <c r="C58" s="4" t="str">
        <f t="shared" si="1"/>
        <v>02</v>
      </c>
      <c r="D58" s="4" t="str">
        <f t="shared" si="2"/>
        <v>2018</v>
      </c>
      <c r="E58" s="3" t="str">
        <f t="shared" si="3"/>
        <v>Monday</v>
      </c>
      <c r="F58" s="4" t="str">
        <f t="shared" si="4"/>
        <v>N</v>
      </c>
      <c r="G58" s="4" t="str">
        <f>IF(COUNTIF(PublicHols[Date], A58)&gt;0, "Y", "N")</f>
        <v>N</v>
      </c>
      <c r="H58" s="3" t="str">
        <f>IFERROR(_xlfn.XLOOKUP(A58, PublicHols[Date], PublicHols[PH_Name]),"")</f>
        <v/>
      </c>
      <c r="I58" s="4" t="str">
        <f>IF(COUNTIF(EventsAll[Date], A58)&gt;0, "Y", "N")</f>
        <v>N</v>
      </c>
      <c r="J58" s="11" t="str">
        <f>IFERROR(_xlfn.XLOOKUP(A58, EventsAll[Date], EventsAll[Event]),"")</f>
        <v/>
      </c>
      <c r="K58" s="4" t="str" cm="1">
        <f t="array" ref="K58">IF(SUMPRODUCT((A58&gt;=SchoolHols[Start])*(A58&lt;=SchoolHols[End]))&gt;0,"Y","N")</f>
        <v>N</v>
      </c>
    </row>
    <row r="59" spans="1:11">
      <c r="A59" s="6">
        <f t="shared" si="5"/>
        <v>43158</v>
      </c>
      <c r="B59" s="4" t="str">
        <f t="shared" si="0"/>
        <v>27</v>
      </c>
      <c r="C59" s="4" t="str">
        <f t="shared" si="1"/>
        <v>02</v>
      </c>
      <c r="D59" s="4" t="str">
        <f t="shared" si="2"/>
        <v>2018</v>
      </c>
      <c r="E59" s="3" t="str">
        <f t="shared" si="3"/>
        <v>Tuesday</v>
      </c>
      <c r="F59" s="4" t="str">
        <f t="shared" si="4"/>
        <v>N</v>
      </c>
      <c r="G59" s="4" t="str">
        <f>IF(COUNTIF(PublicHols[Date], A59)&gt;0, "Y", "N")</f>
        <v>N</v>
      </c>
      <c r="H59" s="3" t="str">
        <f>IFERROR(_xlfn.XLOOKUP(A59, PublicHols[Date], PublicHols[PH_Name]),"")</f>
        <v/>
      </c>
      <c r="I59" s="4" t="str">
        <f>IF(COUNTIF(EventsAll[Date], A59)&gt;0, "Y", "N")</f>
        <v>N</v>
      </c>
      <c r="J59" s="11" t="str">
        <f>IFERROR(_xlfn.XLOOKUP(A59, EventsAll[Date], EventsAll[Event]),"")</f>
        <v/>
      </c>
      <c r="K59" s="4" t="str" cm="1">
        <f t="array" ref="K59">IF(SUMPRODUCT((A59&gt;=SchoolHols[Start])*(A59&lt;=SchoolHols[End]))&gt;0,"Y","N")</f>
        <v>N</v>
      </c>
    </row>
    <row r="60" spans="1:11">
      <c r="A60" s="6">
        <f t="shared" si="5"/>
        <v>43159</v>
      </c>
      <c r="B60" s="4" t="str">
        <f t="shared" si="0"/>
        <v>28</v>
      </c>
      <c r="C60" s="4" t="str">
        <f t="shared" si="1"/>
        <v>02</v>
      </c>
      <c r="D60" s="4" t="str">
        <f t="shared" si="2"/>
        <v>2018</v>
      </c>
      <c r="E60" s="3" t="str">
        <f t="shared" si="3"/>
        <v>Wednesday</v>
      </c>
      <c r="F60" s="4" t="str">
        <f t="shared" si="4"/>
        <v>N</v>
      </c>
      <c r="G60" s="4" t="str">
        <f>IF(COUNTIF(PublicHols[Date], A60)&gt;0, "Y", "N")</f>
        <v>N</v>
      </c>
      <c r="H60" s="3" t="str">
        <f>IFERROR(_xlfn.XLOOKUP(A60, PublicHols[Date], PublicHols[PH_Name]),"")</f>
        <v/>
      </c>
      <c r="I60" s="4" t="str">
        <f>IF(COUNTIF(EventsAll[Date], A60)&gt;0, "Y", "N")</f>
        <v>N</v>
      </c>
      <c r="J60" s="11" t="str">
        <f>IFERROR(_xlfn.XLOOKUP(A60, EventsAll[Date], EventsAll[Event]),"")</f>
        <v/>
      </c>
      <c r="K60" s="4" t="str" cm="1">
        <f t="array" ref="K60">IF(SUMPRODUCT((A60&gt;=SchoolHols[Start])*(A60&lt;=SchoolHols[End]))&gt;0,"Y","N")</f>
        <v>N</v>
      </c>
    </row>
    <row r="61" spans="1:11">
      <c r="A61" s="6">
        <f t="shared" si="5"/>
        <v>43160</v>
      </c>
      <c r="B61" s="4" t="str">
        <f t="shared" si="0"/>
        <v>01</v>
      </c>
      <c r="C61" s="4" t="str">
        <f t="shared" si="1"/>
        <v>03</v>
      </c>
      <c r="D61" s="4" t="str">
        <f t="shared" si="2"/>
        <v>2018</v>
      </c>
      <c r="E61" s="3" t="str">
        <f t="shared" si="3"/>
        <v>Thursday</v>
      </c>
      <c r="F61" s="4" t="str">
        <f t="shared" si="4"/>
        <v>N</v>
      </c>
      <c r="G61" s="4" t="str">
        <f>IF(COUNTIF(PublicHols[Date], A61)&gt;0, "Y", "N")</f>
        <v>N</v>
      </c>
      <c r="H61" s="3" t="str">
        <f>IFERROR(_xlfn.XLOOKUP(A61, PublicHols[Date], PublicHols[PH_Name]),"")</f>
        <v/>
      </c>
      <c r="I61" s="4" t="str">
        <f>IF(COUNTIF(EventsAll[Date], A61)&gt;0, "Y", "N")</f>
        <v>N</v>
      </c>
      <c r="J61" s="11" t="str">
        <f>IFERROR(_xlfn.XLOOKUP(A61, EventsAll[Date], EventsAll[Event]),"")</f>
        <v/>
      </c>
      <c r="K61" s="4" t="str" cm="1">
        <f t="array" ref="K61">IF(SUMPRODUCT((A61&gt;=SchoolHols[Start])*(A61&lt;=SchoolHols[End]))&gt;0,"Y","N")</f>
        <v>N</v>
      </c>
    </row>
    <row r="62" spans="1:11">
      <c r="A62" s="6">
        <f t="shared" si="5"/>
        <v>43161</v>
      </c>
      <c r="B62" s="4" t="str">
        <f t="shared" si="0"/>
        <v>02</v>
      </c>
      <c r="C62" s="4" t="str">
        <f t="shared" si="1"/>
        <v>03</v>
      </c>
      <c r="D62" s="4" t="str">
        <f t="shared" si="2"/>
        <v>2018</v>
      </c>
      <c r="E62" s="3" t="str">
        <f t="shared" si="3"/>
        <v>Friday</v>
      </c>
      <c r="F62" s="4" t="str">
        <f t="shared" si="4"/>
        <v>N</v>
      </c>
      <c r="G62" s="4" t="str">
        <f>IF(COUNTIF(PublicHols[Date], A62)&gt;0, "Y", "N")</f>
        <v>N</v>
      </c>
      <c r="H62" s="3" t="str">
        <f>IFERROR(_xlfn.XLOOKUP(A62, PublicHols[Date], PublicHols[PH_Name]),"")</f>
        <v/>
      </c>
      <c r="I62" s="4" t="str">
        <f>IF(COUNTIF(EventsAll[Date], A62)&gt;0, "Y", "N")</f>
        <v>N</v>
      </c>
      <c r="J62" s="11" t="str">
        <f>IFERROR(_xlfn.XLOOKUP(A62, EventsAll[Date], EventsAll[Event]),"")</f>
        <v/>
      </c>
      <c r="K62" s="4" t="str" cm="1">
        <f t="array" ref="K62">IF(SUMPRODUCT((A62&gt;=SchoolHols[Start])*(A62&lt;=SchoolHols[End]))&gt;0,"Y","N")</f>
        <v>N</v>
      </c>
    </row>
    <row r="63" spans="1:11">
      <c r="A63" s="6">
        <f t="shared" si="5"/>
        <v>43162</v>
      </c>
      <c r="B63" s="4" t="str">
        <f t="shared" si="0"/>
        <v>03</v>
      </c>
      <c r="C63" s="4" t="str">
        <f t="shared" si="1"/>
        <v>03</v>
      </c>
      <c r="D63" s="4" t="str">
        <f t="shared" si="2"/>
        <v>2018</v>
      </c>
      <c r="E63" s="3" t="str">
        <f t="shared" si="3"/>
        <v>Saturday</v>
      </c>
      <c r="F63" s="4" t="str">
        <f t="shared" si="4"/>
        <v>N</v>
      </c>
      <c r="G63" s="4" t="str">
        <f>IF(COUNTIF(PublicHols[Date], A63)&gt;0, "Y", "N")</f>
        <v>N</v>
      </c>
      <c r="H63" s="3" t="str">
        <f>IFERROR(_xlfn.XLOOKUP(A63, PublicHols[Date], PublicHols[PH_Name]),"")</f>
        <v/>
      </c>
      <c r="I63" s="4" t="str">
        <f>IF(COUNTIF(EventsAll[Date], A63)&gt;0, "Y", "N")</f>
        <v>N</v>
      </c>
      <c r="J63" s="11" t="str">
        <f>IFERROR(_xlfn.XLOOKUP(A63, EventsAll[Date], EventsAll[Event]),"")</f>
        <v/>
      </c>
      <c r="K63" s="4" t="str" cm="1">
        <f t="array" ref="K63">IF(SUMPRODUCT((A63&gt;=SchoolHols[Start])*(A63&lt;=SchoolHols[End]))&gt;0,"Y","N")</f>
        <v>N</v>
      </c>
    </row>
    <row r="64" spans="1:11">
      <c r="A64" s="6">
        <f t="shared" si="5"/>
        <v>43163</v>
      </c>
      <c r="B64" s="4" t="str">
        <f t="shared" si="0"/>
        <v>04</v>
      </c>
      <c r="C64" s="4" t="str">
        <f t="shared" si="1"/>
        <v>03</v>
      </c>
      <c r="D64" s="4" t="str">
        <f t="shared" si="2"/>
        <v>2018</v>
      </c>
      <c r="E64" s="3" t="str">
        <f t="shared" si="3"/>
        <v>Sunday</v>
      </c>
      <c r="F64" s="4" t="str">
        <f t="shared" si="4"/>
        <v>Y</v>
      </c>
      <c r="G64" s="4" t="str">
        <f>IF(COUNTIF(PublicHols[Date], A64)&gt;0, "Y", "N")</f>
        <v>N</v>
      </c>
      <c r="H64" s="3" t="str">
        <f>IFERROR(_xlfn.XLOOKUP(A64, PublicHols[Date], PublicHols[PH_Name]),"")</f>
        <v/>
      </c>
      <c r="I64" s="4" t="str">
        <f>IF(COUNTIF(EventsAll[Date], A64)&gt;0, "Y", "N")</f>
        <v>N</v>
      </c>
      <c r="J64" s="11" t="str">
        <f>IFERROR(_xlfn.XLOOKUP(A64, EventsAll[Date], EventsAll[Event]),"")</f>
        <v/>
      </c>
      <c r="K64" s="4" t="str" cm="1">
        <f t="array" ref="K64">IF(SUMPRODUCT((A64&gt;=SchoolHols[Start])*(A64&lt;=SchoolHols[End]))&gt;0,"Y","N")</f>
        <v>N</v>
      </c>
    </row>
    <row r="65" spans="1:11">
      <c r="A65" s="6">
        <f t="shared" si="5"/>
        <v>43164</v>
      </c>
      <c r="B65" s="4" t="str">
        <f t="shared" si="0"/>
        <v>05</v>
      </c>
      <c r="C65" s="4" t="str">
        <f t="shared" si="1"/>
        <v>03</v>
      </c>
      <c r="D65" s="4" t="str">
        <f t="shared" si="2"/>
        <v>2018</v>
      </c>
      <c r="E65" s="3" t="str">
        <f t="shared" si="3"/>
        <v>Monday</v>
      </c>
      <c r="F65" s="4" t="str">
        <f t="shared" si="4"/>
        <v>N</v>
      </c>
      <c r="G65" s="4" t="str">
        <f>IF(COUNTIF(PublicHols[Date], A65)&gt;0, "Y", "N")</f>
        <v>N</v>
      </c>
      <c r="H65" s="3" t="str">
        <f>IFERROR(_xlfn.XLOOKUP(A65, PublicHols[Date], PublicHols[PH_Name]),"")</f>
        <v/>
      </c>
      <c r="I65" s="4" t="str">
        <f>IF(COUNTIF(EventsAll[Date], A65)&gt;0, "Y", "N")</f>
        <v>N</v>
      </c>
      <c r="J65" s="11" t="str">
        <f>IFERROR(_xlfn.XLOOKUP(A65, EventsAll[Date], EventsAll[Event]),"")</f>
        <v/>
      </c>
      <c r="K65" s="4" t="str" cm="1">
        <f t="array" ref="K65">IF(SUMPRODUCT((A65&gt;=SchoolHols[Start])*(A65&lt;=SchoolHols[End]))&gt;0,"Y","N")</f>
        <v>N</v>
      </c>
    </row>
    <row r="66" spans="1:11">
      <c r="A66" s="6">
        <f t="shared" si="5"/>
        <v>43165</v>
      </c>
      <c r="B66" s="4" t="str">
        <f t="shared" si="0"/>
        <v>06</v>
      </c>
      <c r="C66" s="4" t="str">
        <f t="shared" si="1"/>
        <v>03</v>
      </c>
      <c r="D66" s="4" t="str">
        <f t="shared" si="2"/>
        <v>2018</v>
      </c>
      <c r="E66" s="3" t="str">
        <f t="shared" si="3"/>
        <v>Tuesday</v>
      </c>
      <c r="F66" s="4" t="str">
        <f t="shared" si="4"/>
        <v>N</v>
      </c>
      <c r="G66" s="4" t="str">
        <f>IF(COUNTIF(PublicHols[Date], A66)&gt;0, "Y", "N")</f>
        <v>N</v>
      </c>
      <c r="H66" s="3" t="str">
        <f>IFERROR(_xlfn.XLOOKUP(A66, PublicHols[Date], PublicHols[PH_Name]),"")</f>
        <v/>
      </c>
      <c r="I66" s="4" t="str">
        <f>IF(COUNTIF(EventsAll[Date], A66)&gt;0, "Y", "N")</f>
        <v>N</v>
      </c>
      <c r="J66" s="11" t="str">
        <f>IFERROR(_xlfn.XLOOKUP(A66, EventsAll[Date], EventsAll[Event]),"")</f>
        <v/>
      </c>
      <c r="K66" s="4" t="str" cm="1">
        <f t="array" ref="K66">IF(SUMPRODUCT((A66&gt;=SchoolHols[Start])*(A66&lt;=SchoolHols[End]))&gt;0,"Y","N")</f>
        <v>N</v>
      </c>
    </row>
    <row r="67" spans="1:11">
      <c r="A67" s="6">
        <f t="shared" si="5"/>
        <v>43166</v>
      </c>
      <c r="B67" s="4" t="str">
        <f t="shared" ref="B67:B130" si="6">TEXT($A67, "dd")</f>
        <v>07</v>
      </c>
      <c r="C67" s="4" t="str">
        <f t="shared" ref="C67:C130" si="7">TEXT($A67, "mm")</f>
        <v>03</v>
      </c>
      <c r="D67" s="4" t="str">
        <f t="shared" ref="D67:D130" si="8">TEXT($A67, "yyyy")</f>
        <v>2018</v>
      </c>
      <c r="E67" s="3" t="str">
        <f t="shared" ref="E67:E130" si="9">TEXT($A67, "dddd")</f>
        <v>Wednesday</v>
      </c>
      <c r="F67" s="4" t="str">
        <f t="shared" ref="F67:F130" si="10">IF($E67="Sunday", "Y", "N")</f>
        <v>N</v>
      </c>
      <c r="G67" s="4" t="str">
        <f>IF(COUNTIF(PublicHols[Date], A67)&gt;0, "Y", "N")</f>
        <v>N</v>
      </c>
      <c r="H67" s="3" t="str">
        <f>IFERROR(_xlfn.XLOOKUP(A67, PublicHols[Date], PublicHols[PH_Name]),"")</f>
        <v/>
      </c>
      <c r="I67" s="4" t="str">
        <f>IF(COUNTIF(EventsAll[Date], A67)&gt;0, "Y", "N")</f>
        <v>N</v>
      </c>
      <c r="J67" s="11" t="str">
        <f>IFERROR(_xlfn.XLOOKUP(A67, EventsAll[Date], EventsAll[Event]),"")</f>
        <v/>
      </c>
      <c r="K67" s="4" t="str" cm="1">
        <f t="array" ref="K67">IF(SUMPRODUCT((A67&gt;=SchoolHols[Start])*(A67&lt;=SchoolHols[End]))&gt;0,"Y","N")</f>
        <v>N</v>
      </c>
    </row>
    <row r="68" spans="1:11">
      <c r="A68" s="6">
        <f t="shared" ref="A68:A131" si="11">$A67+1</f>
        <v>43167</v>
      </c>
      <c r="B68" s="4" t="str">
        <f t="shared" si="6"/>
        <v>08</v>
      </c>
      <c r="C68" s="4" t="str">
        <f t="shared" si="7"/>
        <v>03</v>
      </c>
      <c r="D68" s="4" t="str">
        <f t="shared" si="8"/>
        <v>2018</v>
      </c>
      <c r="E68" s="3" t="str">
        <f t="shared" si="9"/>
        <v>Thursday</v>
      </c>
      <c r="F68" s="4" t="str">
        <f t="shared" si="10"/>
        <v>N</v>
      </c>
      <c r="G68" s="4" t="str">
        <f>IF(COUNTIF(PublicHols[Date], A68)&gt;0, "Y", "N")</f>
        <v>N</v>
      </c>
      <c r="H68" s="3" t="str">
        <f>IFERROR(_xlfn.XLOOKUP(A68, PublicHols[Date], PublicHols[PH_Name]),"")</f>
        <v/>
      </c>
      <c r="I68" s="4" t="str">
        <f>IF(COUNTIF(EventsAll[Date], A68)&gt;0, "Y", "N")</f>
        <v>N</v>
      </c>
      <c r="J68" s="11" t="str">
        <f>IFERROR(_xlfn.XLOOKUP(A68, EventsAll[Date], EventsAll[Event]),"")</f>
        <v/>
      </c>
      <c r="K68" s="4" t="str" cm="1">
        <f t="array" ref="K68">IF(SUMPRODUCT((A68&gt;=SchoolHols[Start])*(A68&lt;=SchoolHols[End]))&gt;0,"Y","N")</f>
        <v>N</v>
      </c>
    </row>
    <row r="69" spans="1:11">
      <c r="A69" s="6">
        <f t="shared" si="11"/>
        <v>43168</v>
      </c>
      <c r="B69" s="4" t="str">
        <f t="shared" si="6"/>
        <v>09</v>
      </c>
      <c r="C69" s="4" t="str">
        <f t="shared" si="7"/>
        <v>03</v>
      </c>
      <c r="D69" s="4" t="str">
        <f t="shared" si="8"/>
        <v>2018</v>
      </c>
      <c r="E69" s="3" t="str">
        <f t="shared" si="9"/>
        <v>Friday</v>
      </c>
      <c r="F69" s="4" t="str">
        <f t="shared" si="10"/>
        <v>N</v>
      </c>
      <c r="G69" s="4" t="str">
        <f>IF(COUNTIF(PublicHols[Date], A69)&gt;0, "Y", "N")</f>
        <v>N</v>
      </c>
      <c r="H69" s="3" t="str">
        <f>IFERROR(_xlfn.XLOOKUP(A69, PublicHols[Date], PublicHols[PH_Name]),"")</f>
        <v/>
      </c>
      <c r="I69" s="4" t="str">
        <f>IF(COUNTIF(EventsAll[Date], A69)&gt;0, "Y", "N")</f>
        <v>N</v>
      </c>
      <c r="J69" s="11" t="str">
        <f>IFERROR(_xlfn.XLOOKUP(A69, EventsAll[Date], EventsAll[Event]),"")</f>
        <v/>
      </c>
      <c r="K69" s="4" t="str" cm="1">
        <f t="array" ref="K69">IF(SUMPRODUCT((A69&gt;=SchoolHols[Start])*(A69&lt;=SchoolHols[End]))&gt;0,"Y","N")</f>
        <v>N</v>
      </c>
    </row>
    <row r="70" spans="1:11">
      <c r="A70" s="6">
        <f t="shared" si="11"/>
        <v>43169</v>
      </c>
      <c r="B70" s="4" t="str">
        <f t="shared" si="6"/>
        <v>10</v>
      </c>
      <c r="C70" s="4" t="str">
        <f t="shared" si="7"/>
        <v>03</v>
      </c>
      <c r="D70" s="4" t="str">
        <f t="shared" si="8"/>
        <v>2018</v>
      </c>
      <c r="E70" s="3" t="str">
        <f t="shared" si="9"/>
        <v>Saturday</v>
      </c>
      <c r="F70" s="4" t="str">
        <f t="shared" si="10"/>
        <v>N</v>
      </c>
      <c r="G70" s="4" t="str">
        <f>IF(COUNTIF(PublicHols[Date], A70)&gt;0, "Y", "N")</f>
        <v>N</v>
      </c>
      <c r="H70" s="3" t="str">
        <f>IFERROR(_xlfn.XLOOKUP(A70, PublicHols[Date], PublicHols[PH_Name]),"")</f>
        <v/>
      </c>
      <c r="I70" s="4" t="str">
        <f>IF(COUNTIF(EventsAll[Date], A70)&gt;0, "Y", "N")</f>
        <v>N</v>
      </c>
      <c r="J70" s="11" t="str">
        <f>IFERROR(_xlfn.XLOOKUP(A70, EventsAll[Date], EventsAll[Event]),"")</f>
        <v/>
      </c>
      <c r="K70" s="4" t="str" cm="1">
        <f t="array" ref="K70">IF(SUMPRODUCT((A70&gt;=SchoolHols[Start])*(A70&lt;=SchoolHols[End]))&gt;0,"Y","N")</f>
        <v>N</v>
      </c>
    </row>
    <row r="71" spans="1:11">
      <c r="A71" s="6">
        <f t="shared" si="11"/>
        <v>43170</v>
      </c>
      <c r="B71" s="4" t="str">
        <f t="shared" si="6"/>
        <v>11</v>
      </c>
      <c r="C71" s="4" t="str">
        <f t="shared" si="7"/>
        <v>03</v>
      </c>
      <c r="D71" s="4" t="str">
        <f t="shared" si="8"/>
        <v>2018</v>
      </c>
      <c r="E71" s="3" t="str">
        <f t="shared" si="9"/>
        <v>Sunday</v>
      </c>
      <c r="F71" s="4" t="str">
        <f t="shared" si="10"/>
        <v>Y</v>
      </c>
      <c r="G71" s="4" t="str">
        <f>IF(COUNTIF(PublicHols[Date], A71)&gt;0, "Y", "N")</f>
        <v>N</v>
      </c>
      <c r="H71" s="3" t="str">
        <f>IFERROR(_xlfn.XLOOKUP(A71, PublicHols[Date], PublicHols[PH_Name]),"")</f>
        <v/>
      </c>
      <c r="I71" s="4" t="str">
        <f>IF(COUNTIF(EventsAll[Date], A71)&gt;0, "Y", "N")</f>
        <v>N</v>
      </c>
      <c r="J71" s="11" t="str">
        <f>IFERROR(_xlfn.XLOOKUP(A71, EventsAll[Date], EventsAll[Event]),"")</f>
        <v/>
      </c>
      <c r="K71" s="4" t="str" cm="1">
        <f t="array" ref="K71">IF(SUMPRODUCT((A71&gt;=SchoolHols[Start])*(A71&lt;=SchoolHols[End]))&gt;0,"Y","N")</f>
        <v>N</v>
      </c>
    </row>
    <row r="72" spans="1:11">
      <c r="A72" s="6">
        <f t="shared" si="11"/>
        <v>43171</v>
      </c>
      <c r="B72" s="4" t="str">
        <f t="shared" si="6"/>
        <v>12</v>
      </c>
      <c r="C72" s="4" t="str">
        <f t="shared" si="7"/>
        <v>03</v>
      </c>
      <c r="D72" s="4" t="str">
        <f t="shared" si="8"/>
        <v>2018</v>
      </c>
      <c r="E72" s="3" t="str">
        <f t="shared" si="9"/>
        <v>Monday</v>
      </c>
      <c r="F72" s="4" t="str">
        <f t="shared" si="10"/>
        <v>N</v>
      </c>
      <c r="G72" s="4" t="str">
        <f>IF(COUNTIF(PublicHols[Date], A72)&gt;0, "Y", "N")</f>
        <v>N</v>
      </c>
      <c r="H72" s="3" t="str">
        <f>IFERROR(_xlfn.XLOOKUP(A72, PublicHols[Date], PublicHols[PH_Name]),"")</f>
        <v/>
      </c>
      <c r="I72" s="4" t="str">
        <f>IF(COUNTIF(EventsAll[Date], A72)&gt;0, "Y", "N")</f>
        <v>N</v>
      </c>
      <c r="J72" s="11" t="str">
        <f>IFERROR(_xlfn.XLOOKUP(A72, EventsAll[Date], EventsAll[Event]),"")</f>
        <v/>
      </c>
      <c r="K72" s="4" t="str" cm="1">
        <f t="array" ref="K72">IF(SUMPRODUCT((A72&gt;=SchoolHols[Start])*(A72&lt;=SchoolHols[End]))&gt;0,"Y","N")</f>
        <v>N</v>
      </c>
    </row>
    <row r="73" spans="1:11">
      <c r="A73" s="6">
        <f t="shared" si="11"/>
        <v>43172</v>
      </c>
      <c r="B73" s="4" t="str">
        <f t="shared" si="6"/>
        <v>13</v>
      </c>
      <c r="C73" s="4" t="str">
        <f t="shared" si="7"/>
        <v>03</v>
      </c>
      <c r="D73" s="4" t="str">
        <f t="shared" si="8"/>
        <v>2018</v>
      </c>
      <c r="E73" s="3" t="str">
        <f t="shared" si="9"/>
        <v>Tuesday</v>
      </c>
      <c r="F73" s="4" t="str">
        <f t="shared" si="10"/>
        <v>N</v>
      </c>
      <c r="G73" s="4" t="str">
        <f>IF(COUNTIF(PublicHols[Date], A73)&gt;0, "Y", "N")</f>
        <v>N</v>
      </c>
      <c r="H73" s="3" t="str">
        <f>IFERROR(_xlfn.XLOOKUP(A73, PublicHols[Date], PublicHols[PH_Name]),"")</f>
        <v/>
      </c>
      <c r="I73" s="4" t="str">
        <f>IF(COUNTIF(EventsAll[Date], A73)&gt;0, "Y", "N")</f>
        <v>N</v>
      </c>
      <c r="J73" s="11" t="str">
        <f>IFERROR(_xlfn.XLOOKUP(A73, EventsAll[Date], EventsAll[Event]),"")</f>
        <v/>
      </c>
      <c r="K73" s="4" t="str" cm="1">
        <f t="array" ref="K73">IF(SUMPRODUCT((A73&gt;=SchoolHols[Start])*(A73&lt;=SchoolHols[End]))&gt;0,"Y","N")</f>
        <v>N</v>
      </c>
    </row>
    <row r="74" spans="1:11">
      <c r="A74" s="6">
        <f t="shared" si="11"/>
        <v>43173</v>
      </c>
      <c r="B74" s="4" t="str">
        <f t="shared" si="6"/>
        <v>14</v>
      </c>
      <c r="C74" s="4" t="str">
        <f t="shared" si="7"/>
        <v>03</v>
      </c>
      <c r="D74" s="4" t="str">
        <f t="shared" si="8"/>
        <v>2018</v>
      </c>
      <c r="E74" s="3" t="str">
        <f t="shared" si="9"/>
        <v>Wednesday</v>
      </c>
      <c r="F74" s="4" t="str">
        <f t="shared" si="10"/>
        <v>N</v>
      </c>
      <c r="G74" s="4" t="str">
        <f>IF(COUNTIF(PublicHols[Date], A74)&gt;0, "Y", "N")</f>
        <v>N</v>
      </c>
      <c r="H74" s="3" t="str">
        <f>IFERROR(_xlfn.XLOOKUP(A74, PublicHols[Date], PublicHols[PH_Name]),"")</f>
        <v/>
      </c>
      <c r="I74" s="4" t="str">
        <f>IF(COUNTIF(EventsAll[Date], A74)&gt;0, "Y", "N")</f>
        <v>N</v>
      </c>
      <c r="J74" s="11" t="str">
        <f>IFERROR(_xlfn.XLOOKUP(A74, EventsAll[Date], EventsAll[Event]),"")</f>
        <v/>
      </c>
      <c r="K74" s="4" t="str" cm="1">
        <f t="array" ref="K74">IF(SUMPRODUCT((A74&gt;=SchoolHols[Start])*(A74&lt;=SchoolHols[End]))&gt;0,"Y","N")</f>
        <v>N</v>
      </c>
    </row>
    <row r="75" spans="1:11">
      <c r="A75" s="6">
        <f t="shared" si="11"/>
        <v>43174</v>
      </c>
      <c r="B75" s="4" t="str">
        <f t="shared" si="6"/>
        <v>15</v>
      </c>
      <c r="C75" s="4" t="str">
        <f t="shared" si="7"/>
        <v>03</v>
      </c>
      <c r="D75" s="4" t="str">
        <f t="shared" si="8"/>
        <v>2018</v>
      </c>
      <c r="E75" s="3" t="str">
        <f t="shared" si="9"/>
        <v>Thursday</v>
      </c>
      <c r="F75" s="4" t="str">
        <f t="shared" si="10"/>
        <v>N</v>
      </c>
      <c r="G75" s="4" t="str">
        <f>IF(COUNTIF(PublicHols[Date], A75)&gt;0, "Y", "N")</f>
        <v>N</v>
      </c>
      <c r="H75" s="3" t="str">
        <f>IFERROR(_xlfn.XLOOKUP(A75, PublicHols[Date], PublicHols[PH_Name]),"")</f>
        <v/>
      </c>
      <c r="I75" s="4" t="str">
        <f>IF(COUNTIF(EventsAll[Date], A75)&gt;0, "Y", "N")</f>
        <v>N</v>
      </c>
      <c r="J75" s="11" t="str">
        <f>IFERROR(_xlfn.XLOOKUP(A75, EventsAll[Date], EventsAll[Event]),"")</f>
        <v/>
      </c>
      <c r="K75" s="4" t="str" cm="1">
        <f t="array" ref="K75">IF(SUMPRODUCT((A75&gt;=SchoolHols[Start])*(A75&lt;=SchoolHols[End]))&gt;0,"Y","N")</f>
        <v>Y</v>
      </c>
    </row>
    <row r="76" spans="1:11">
      <c r="A76" s="6">
        <f t="shared" si="11"/>
        <v>43175</v>
      </c>
      <c r="B76" s="4" t="str">
        <f t="shared" si="6"/>
        <v>16</v>
      </c>
      <c r="C76" s="4" t="str">
        <f t="shared" si="7"/>
        <v>03</v>
      </c>
      <c r="D76" s="4" t="str">
        <f t="shared" si="8"/>
        <v>2018</v>
      </c>
      <c r="E76" s="3" t="str">
        <f t="shared" si="9"/>
        <v>Friday</v>
      </c>
      <c r="F76" s="4" t="str">
        <f t="shared" si="10"/>
        <v>N</v>
      </c>
      <c r="G76" s="4" t="str">
        <f>IF(COUNTIF(PublicHols[Date], A76)&gt;0, "Y", "N")</f>
        <v>N</v>
      </c>
      <c r="H76" s="3" t="str">
        <f>IFERROR(_xlfn.XLOOKUP(A76, PublicHols[Date], PublicHols[PH_Name]),"")</f>
        <v/>
      </c>
      <c r="I76" s="4" t="str">
        <f>IF(COUNTIF(EventsAll[Date], A76)&gt;0, "Y", "N")</f>
        <v>N</v>
      </c>
      <c r="J76" s="11" t="str">
        <f>IFERROR(_xlfn.XLOOKUP(A76, EventsAll[Date], EventsAll[Event]),"")</f>
        <v/>
      </c>
      <c r="K76" s="4" t="str" cm="1">
        <f t="array" ref="K76">IF(SUMPRODUCT((A76&gt;=SchoolHols[Start])*(A76&lt;=SchoolHols[End]))&gt;0,"Y","N")</f>
        <v>Y</v>
      </c>
    </row>
    <row r="77" spans="1:11">
      <c r="A77" s="6">
        <f t="shared" si="11"/>
        <v>43176</v>
      </c>
      <c r="B77" s="4" t="str">
        <f t="shared" si="6"/>
        <v>17</v>
      </c>
      <c r="C77" s="4" t="str">
        <f t="shared" si="7"/>
        <v>03</v>
      </c>
      <c r="D77" s="4" t="str">
        <f t="shared" si="8"/>
        <v>2018</v>
      </c>
      <c r="E77" s="3" t="str">
        <f t="shared" si="9"/>
        <v>Saturday</v>
      </c>
      <c r="F77" s="4" t="str">
        <f t="shared" si="10"/>
        <v>N</v>
      </c>
      <c r="G77" s="4" t="str">
        <f>IF(COUNTIF(PublicHols[Date], A77)&gt;0, "Y", "N")</f>
        <v>N</v>
      </c>
      <c r="H77" s="3" t="str">
        <f>IFERROR(_xlfn.XLOOKUP(A77, PublicHols[Date], PublicHols[PH_Name]),"")</f>
        <v/>
      </c>
      <c r="I77" s="4" t="str">
        <f>IF(COUNTIF(EventsAll[Date], A77)&gt;0, "Y", "N")</f>
        <v>N</v>
      </c>
      <c r="J77" s="11" t="str">
        <f>IFERROR(_xlfn.XLOOKUP(A77, EventsAll[Date], EventsAll[Event]),"")</f>
        <v/>
      </c>
      <c r="K77" s="4" t="str" cm="1">
        <f t="array" ref="K77">IF(SUMPRODUCT((A77&gt;=SchoolHols[Start])*(A77&lt;=SchoolHols[End]))&gt;0,"Y","N")</f>
        <v>Y</v>
      </c>
    </row>
    <row r="78" spans="1:11">
      <c r="A78" s="6">
        <f t="shared" si="11"/>
        <v>43177</v>
      </c>
      <c r="B78" s="4" t="str">
        <f t="shared" si="6"/>
        <v>18</v>
      </c>
      <c r="C78" s="4" t="str">
        <f t="shared" si="7"/>
        <v>03</v>
      </c>
      <c r="D78" s="4" t="str">
        <f t="shared" si="8"/>
        <v>2018</v>
      </c>
      <c r="E78" s="3" t="str">
        <f t="shared" si="9"/>
        <v>Sunday</v>
      </c>
      <c r="F78" s="4" t="str">
        <f t="shared" si="10"/>
        <v>Y</v>
      </c>
      <c r="G78" s="4" t="str">
        <f>IF(COUNTIF(PublicHols[Date], A78)&gt;0, "Y", "N")</f>
        <v>N</v>
      </c>
      <c r="H78" s="3" t="str">
        <f>IFERROR(_xlfn.XLOOKUP(A78, PublicHols[Date], PublicHols[PH_Name]),"")</f>
        <v/>
      </c>
      <c r="I78" s="4" t="str">
        <f>IF(COUNTIF(EventsAll[Date], A78)&gt;0, "Y", "N")</f>
        <v>N</v>
      </c>
      <c r="J78" s="11" t="str">
        <f>IFERROR(_xlfn.XLOOKUP(A78, EventsAll[Date], EventsAll[Event]),"")</f>
        <v/>
      </c>
      <c r="K78" s="4" t="str" cm="1">
        <f t="array" ref="K78">IF(SUMPRODUCT((A78&gt;=SchoolHols[Start])*(A78&lt;=SchoolHols[End]))&gt;0,"Y","N")</f>
        <v>Y</v>
      </c>
    </row>
    <row r="79" spans="1:11">
      <c r="A79" s="6">
        <f t="shared" si="11"/>
        <v>43178</v>
      </c>
      <c r="B79" s="4" t="str">
        <f t="shared" si="6"/>
        <v>19</v>
      </c>
      <c r="C79" s="4" t="str">
        <f t="shared" si="7"/>
        <v>03</v>
      </c>
      <c r="D79" s="4" t="str">
        <f t="shared" si="8"/>
        <v>2018</v>
      </c>
      <c r="E79" s="3" t="str">
        <f t="shared" si="9"/>
        <v>Monday</v>
      </c>
      <c r="F79" s="4" t="str">
        <f t="shared" si="10"/>
        <v>N</v>
      </c>
      <c r="G79" s="4" t="str">
        <f>IF(COUNTIF(PublicHols[Date], A79)&gt;0, "Y", "N")</f>
        <v>N</v>
      </c>
      <c r="H79" s="3" t="str">
        <f>IFERROR(_xlfn.XLOOKUP(A79, PublicHols[Date], PublicHols[PH_Name]),"")</f>
        <v/>
      </c>
      <c r="I79" s="4" t="str">
        <f>IF(COUNTIF(EventsAll[Date], A79)&gt;0, "Y", "N")</f>
        <v>N</v>
      </c>
      <c r="J79" s="11" t="str">
        <f>IFERROR(_xlfn.XLOOKUP(A79, EventsAll[Date], EventsAll[Event]),"")</f>
        <v/>
      </c>
      <c r="K79" s="4" t="str" cm="1">
        <f t="array" ref="K79">IF(SUMPRODUCT((A79&gt;=SchoolHols[Start])*(A79&lt;=SchoolHols[End]))&gt;0,"Y","N")</f>
        <v>Y</v>
      </c>
    </row>
    <row r="80" spans="1:11">
      <c r="A80" s="6">
        <f t="shared" si="11"/>
        <v>43179</v>
      </c>
      <c r="B80" s="4" t="str">
        <f t="shared" si="6"/>
        <v>20</v>
      </c>
      <c r="C80" s="4" t="str">
        <f t="shared" si="7"/>
        <v>03</v>
      </c>
      <c r="D80" s="4" t="str">
        <f t="shared" si="8"/>
        <v>2018</v>
      </c>
      <c r="E80" s="3" t="str">
        <f t="shared" si="9"/>
        <v>Tuesday</v>
      </c>
      <c r="F80" s="4" t="str">
        <f t="shared" si="10"/>
        <v>N</v>
      </c>
      <c r="G80" s="4" t="str">
        <f>IF(COUNTIF(PublicHols[Date], A80)&gt;0, "Y", "N")</f>
        <v>N</v>
      </c>
      <c r="H80" s="3" t="str">
        <f>IFERROR(_xlfn.XLOOKUP(A80, PublicHols[Date], PublicHols[PH_Name]),"")</f>
        <v/>
      </c>
      <c r="I80" s="4" t="str">
        <f>IF(COUNTIF(EventsAll[Date], A80)&gt;0, "Y", "N")</f>
        <v>N</v>
      </c>
      <c r="J80" s="11" t="str">
        <f>IFERROR(_xlfn.XLOOKUP(A80, EventsAll[Date], EventsAll[Event]),"")</f>
        <v/>
      </c>
      <c r="K80" s="4" t="str" cm="1">
        <f t="array" ref="K80">IF(SUMPRODUCT((A80&gt;=SchoolHols[Start])*(A80&lt;=SchoolHols[End]))&gt;0,"Y","N")</f>
        <v>Y</v>
      </c>
    </row>
    <row r="81" spans="1:11">
      <c r="A81" s="6">
        <f t="shared" si="11"/>
        <v>43180</v>
      </c>
      <c r="B81" s="4" t="str">
        <f t="shared" si="6"/>
        <v>21</v>
      </c>
      <c r="C81" s="4" t="str">
        <f t="shared" si="7"/>
        <v>03</v>
      </c>
      <c r="D81" s="4" t="str">
        <f t="shared" si="8"/>
        <v>2018</v>
      </c>
      <c r="E81" s="3" t="str">
        <f t="shared" si="9"/>
        <v>Wednesday</v>
      </c>
      <c r="F81" s="4" t="str">
        <f t="shared" si="10"/>
        <v>N</v>
      </c>
      <c r="G81" s="4" t="str">
        <f>IF(COUNTIF(PublicHols[Date], A81)&gt;0, "Y", "N")</f>
        <v>Y</v>
      </c>
      <c r="H81" s="3" t="str">
        <f>IFERROR(_xlfn.XLOOKUP(A81, PublicHols[Date], PublicHols[PH_Name]),"")</f>
        <v>Human Rights Day</v>
      </c>
      <c r="I81" s="4" t="str">
        <f>IF(COUNTIF(EventsAll[Date], A81)&gt;0, "Y", "N")</f>
        <v>N</v>
      </c>
      <c r="J81" s="11" t="str">
        <f>IFERROR(_xlfn.XLOOKUP(A81, EventsAll[Date], EventsAll[Event]),"")</f>
        <v/>
      </c>
      <c r="K81" s="4" t="str" cm="1">
        <f t="array" ref="K81">IF(SUMPRODUCT((A81&gt;=SchoolHols[Start])*(A81&lt;=SchoolHols[End]))&gt;0,"Y","N")</f>
        <v>Y</v>
      </c>
    </row>
    <row r="82" spans="1:11">
      <c r="A82" s="6">
        <f t="shared" si="11"/>
        <v>43181</v>
      </c>
      <c r="B82" s="4" t="str">
        <f t="shared" si="6"/>
        <v>22</v>
      </c>
      <c r="C82" s="4" t="str">
        <f t="shared" si="7"/>
        <v>03</v>
      </c>
      <c r="D82" s="4" t="str">
        <f t="shared" si="8"/>
        <v>2018</v>
      </c>
      <c r="E82" s="3" t="str">
        <f t="shared" si="9"/>
        <v>Thursday</v>
      </c>
      <c r="F82" s="4" t="str">
        <f t="shared" si="10"/>
        <v>N</v>
      </c>
      <c r="G82" s="4" t="str">
        <f>IF(COUNTIF(PublicHols[Date], A82)&gt;0, "Y", "N")</f>
        <v>N</v>
      </c>
      <c r="H82" s="3" t="str">
        <f>IFERROR(_xlfn.XLOOKUP(A82, PublicHols[Date], PublicHols[PH_Name]),"")</f>
        <v/>
      </c>
      <c r="I82" s="4" t="str">
        <f>IF(COUNTIF(EventsAll[Date], A82)&gt;0, "Y", "N")</f>
        <v>N</v>
      </c>
      <c r="J82" s="11" t="str">
        <f>IFERROR(_xlfn.XLOOKUP(A82, EventsAll[Date], EventsAll[Event]),"")</f>
        <v/>
      </c>
      <c r="K82" s="4" t="str" cm="1">
        <f t="array" ref="K82">IF(SUMPRODUCT((A82&gt;=SchoolHols[Start])*(A82&lt;=SchoolHols[End]))&gt;0,"Y","N")</f>
        <v>Y</v>
      </c>
    </row>
    <row r="83" spans="1:11">
      <c r="A83" s="6">
        <f t="shared" si="11"/>
        <v>43182</v>
      </c>
      <c r="B83" s="4" t="str">
        <f t="shared" si="6"/>
        <v>23</v>
      </c>
      <c r="C83" s="4" t="str">
        <f t="shared" si="7"/>
        <v>03</v>
      </c>
      <c r="D83" s="4" t="str">
        <f t="shared" si="8"/>
        <v>2018</v>
      </c>
      <c r="E83" s="3" t="str">
        <f t="shared" si="9"/>
        <v>Friday</v>
      </c>
      <c r="F83" s="4" t="str">
        <f t="shared" si="10"/>
        <v>N</v>
      </c>
      <c r="G83" s="4" t="str">
        <f>IF(COUNTIF(PublicHols[Date], A83)&gt;0, "Y", "N")</f>
        <v>N</v>
      </c>
      <c r="H83" s="3" t="str">
        <f>IFERROR(_xlfn.XLOOKUP(A83, PublicHols[Date], PublicHols[PH_Name]),"")</f>
        <v/>
      </c>
      <c r="I83" s="4" t="str">
        <f>IF(COUNTIF(EventsAll[Date], A83)&gt;0, "Y", "N")</f>
        <v>N</v>
      </c>
      <c r="J83" s="11" t="str">
        <f>IFERROR(_xlfn.XLOOKUP(A83, EventsAll[Date], EventsAll[Event]),"")</f>
        <v/>
      </c>
      <c r="K83" s="4" t="str" cm="1">
        <f t="array" ref="K83">IF(SUMPRODUCT((A83&gt;=SchoolHols[Start])*(A83&lt;=SchoolHols[End]))&gt;0,"Y","N")</f>
        <v>Y</v>
      </c>
    </row>
    <row r="84" spans="1:11">
      <c r="A84" s="6">
        <f t="shared" si="11"/>
        <v>43183</v>
      </c>
      <c r="B84" s="4" t="str">
        <f t="shared" si="6"/>
        <v>24</v>
      </c>
      <c r="C84" s="4" t="str">
        <f t="shared" si="7"/>
        <v>03</v>
      </c>
      <c r="D84" s="4" t="str">
        <f t="shared" si="8"/>
        <v>2018</v>
      </c>
      <c r="E84" s="3" t="str">
        <f t="shared" si="9"/>
        <v>Saturday</v>
      </c>
      <c r="F84" s="4" t="str">
        <f t="shared" si="10"/>
        <v>N</v>
      </c>
      <c r="G84" s="4" t="str">
        <f>IF(COUNTIF(PublicHols[Date], A84)&gt;0, "Y", "N")</f>
        <v>N</v>
      </c>
      <c r="H84" s="3" t="str">
        <f>IFERROR(_xlfn.XLOOKUP(A84, PublicHols[Date], PublicHols[PH_Name]),"")</f>
        <v/>
      </c>
      <c r="I84" s="4" t="str">
        <f>IF(COUNTIF(EventsAll[Date], A84)&gt;0, "Y", "N")</f>
        <v>N</v>
      </c>
      <c r="J84" s="11" t="str">
        <f>IFERROR(_xlfn.XLOOKUP(A84, EventsAll[Date], EventsAll[Event]),"")</f>
        <v/>
      </c>
      <c r="K84" s="4" t="str" cm="1">
        <f t="array" ref="K84">IF(SUMPRODUCT((A84&gt;=SchoolHols[Start])*(A84&lt;=SchoolHols[End]))&gt;0,"Y","N")</f>
        <v>Y</v>
      </c>
    </row>
    <row r="85" spans="1:11">
      <c r="A85" s="6">
        <f t="shared" si="11"/>
        <v>43184</v>
      </c>
      <c r="B85" s="4" t="str">
        <f t="shared" si="6"/>
        <v>25</v>
      </c>
      <c r="C85" s="4" t="str">
        <f t="shared" si="7"/>
        <v>03</v>
      </c>
      <c r="D85" s="4" t="str">
        <f t="shared" si="8"/>
        <v>2018</v>
      </c>
      <c r="E85" s="3" t="str">
        <f t="shared" si="9"/>
        <v>Sunday</v>
      </c>
      <c r="F85" s="4" t="str">
        <f t="shared" si="10"/>
        <v>Y</v>
      </c>
      <c r="G85" s="4" t="str">
        <f>IF(COUNTIF(PublicHols[Date], A85)&gt;0, "Y", "N")</f>
        <v>N</v>
      </c>
      <c r="H85" s="3" t="str">
        <f>IFERROR(_xlfn.XLOOKUP(A85, PublicHols[Date], PublicHols[PH_Name]),"")</f>
        <v/>
      </c>
      <c r="I85" s="4" t="str">
        <f>IF(COUNTIF(EventsAll[Date], A85)&gt;0, "Y", "N")</f>
        <v>N</v>
      </c>
      <c r="J85" s="11" t="str">
        <f>IFERROR(_xlfn.XLOOKUP(A85, EventsAll[Date], EventsAll[Event]),"")</f>
        <v/>
      </c>
      <c r="K85" s="4" t="str" cm="1">
        <f t="array" ref="K85">IF(SUMPRODUCT((A85&gt;=SchoolHols[Start])*(A85&lt;=SchoolHols[End]))&gt;0,"Y","N")</f>
        <v>Y</v>
      </c>
    </row>
    <row r="86" spans="1:11">
      <c r="A86" s="6">
        <f t="shared" si="11"/>
        <v>43185</v>
      </c>
      <c r="B86" s="4" t="str">
        <f t="shared" si="6"/>
        <v>26</v>
      </c>
      <c r="C86" s="4" t="str">
        <f t="shared" si="7"/>
        <v>03</v>
      </c>
      <c r="D86" s="4" t="str">
        <f t="shared" si="8"/>
        <v>2018</v>
      </c>
      <c r="E86" s="3" t="str">
        <f t="shared" si="9"/>
        <v>Monday</v>
      </c>
      <c r="F86" s="4" t="str">
        <f t="shared" si="10"/>
        <v>N</v>
      </c>
      <c r="G86" s="4" t="str">
        <f>IF(COUNTIF(PublicHols[Date], A86)&gt;0, "Y", "N")</f>
        <v>N</v>
      </c>
      <c r="H86" s="3" t="str">
        <f>IFERROR(_xlfn.XLOOKUP(A86, PublicHols[Date], PublicHols[PH_Name]),"")</f>
        <v/>
      </c>
      <c r="I86" s="4" t="str">
        <f>IF(COUNTIF(EventsAll[Date], A86)&gt;0, "Y", "N")</f>
        <v>N</v>
      </c>
      <c r="J86" s="11" t="str">
        <f>IFERROR(_xlfn.XLOOKUP(A86, EventsAll[Date], EventsAll[Event]),"")</f>
        <v/>
      </c>
      <c r="K86" s="4" t="str" cm="1">
        <f t="array" ref="K86">IF(SUMPRODUCT((A86&gt;=SchoolHols[Start])*(A86&lt;=SchoolHols[End]))&gt;0,"Y","N")</f>
        <v>Y</v>
      </c>
    </row>
    <row r="87" spans="1:11">
      <c r="A87" s="6">
        <f t="shared" si="11"/>
        <v>43186</v>
      </c>
      <c r="B87" s="4" t="str">
        <f t="shared" si="6"/>
        <v>27</v>
      </c>
      <c r="C87" s="4" t="str">
        <f t="shared" si="7"/>
        <v>03</v>
      </c>
      <c r="D87" s="4" t="str">
        <f t="shared" si="8"/>
        <v>2018</v>
      </c>
      <c r="E87" s="3" t="str">
        <f t="shared" si="9"/>
        <v>Tuesday</v>
      </c>
      <c r="F87" s="4" t="str">
        <f t="shared" si="10"/>
        <v>N</v>
      </c>
      <c r="G87" s="4" t="str">
        <f>IF(COUNTIF(PublicHols[Date], A87)&gt;0, "Y", "N")</f>
        <v>N</v>
      </c>
      <c r="H87" s="3" t="str">
        <f>IFERROR(_xlfn.XLOOKUP(A87, PublicHols[Date], PublicHols[PH_Name]),"")</f>
        <v/>
      </c>
      <c r="I87" s="4" t="str">
        <f>IF(COUNTIF(EventsAll[Date], A87)&gt;0, "Y", "N")</f>
        <v>N</v>
      </c>
      <c r="J87" s="11" t="str">
        <f>IFERROR(_xlfn.XLOOKUP(A87, EventsAll[Date], EventsAll[Event]),"")</f>
        <v/>
      </c>
      <c r="K87" s="4" t="str" cm="1">
        <f t="array" ref="K87">IF(SUMPRODUCT((A87&gt;=SchoolHols[Start])*(A87&lt;=SchoolHols[End]))&gt;0,"Y","N")</f>
        <v>Y</v>
      </c>
    </row>
    <row r="88" spans="1:11">
      <c r="A88" s="6">
        <f t="shared" si="11"/>
        <v>43187</v>
      </c>
      <c r="B88" s="4" t="str">
        <f t="shared" si="6"/>
        <v>28</v>
      </c>
      <c r="C88" s="4" t="str">
        <f t="shared" si="7"/>
        <v>03</v>
      </c>
      <c r="D88" s="4" t="str">
        <f t="shared" si="8"/>
        <v>2018</v>
      </c>
      <c r="E88" s="3" t="str">
        <f t="shared" si="9"/>
        <v>Wednesday</v>
      </c>
      <c r="F88" s="4" t="str">
        <f t="shared" si="10"/>
        <v>N</v>
      </c>
      <c r="G88" s="4" t="str">
        <f>IF(COUNTIF(PublicHols[Date], A88)&gt;0, "Y", "N")</f>
        <v>N</v>
      </c>
      <c r="H88" s="3" t="str">
        <f>IFERROR(_xlfn.XLOOKUP(A88, PublicHols[Date], PublicHols[PH_Name]),"")</f>
        <v/>
      </c>
      <c r="I88" s="4" t="str">
        <f>IF(COUNTIF(EventsAll[Date], A88)&gt;0, "Y", "N")</f>
        <v>N</v>
      </c>
      <c r="J88" s="11" t="str">
        <f>IFERROR(_xlfn.XLOOKUP(A88, EventsAll[Date], EventsAll[Event]),"")</f>
        <v/>
      </c>
      <c r="K88" s="4" t="str" cm="1">
        <f t="array" ref="K88">IF(SUMPRODUCT((A88&gt;=SchoolHols[Start])*(A88&lt;=SchoolHols[End]))&gt;0,"Y","N")</f>
        <v>Y</v>
      </c>
    </row>
    <row r="89" spans="1:11">
      <c r="A89" s="6">
        <f t="shared" si="11"/>
        <v>43188</v>
      </c>
      <c r="B89" s="4" t="str">
        <f t="shared" si="6"/>
        <v>29</v>
      </c>
      <c r="C89" s="4" t="str">
        <f t="shared" si="7"/>
        <v>03</v>
      </c>
      <c r="D89" s="4" t="str">
        <f t="shared" si="8"/>
        <v>2018</v>
      </c>
      <c r="E89" s="3" t="str">
        <f t="shared" si="9"/>
        <v>Thursday</v>
      </c>
      <c r="F89" s="4" t="str">
        <f t="shared" si="10"/>
        <v>N</v>
      </c>
      <c r="G89" s="4" t="str">
        <f>IF(COUNTIF(PublicHols[Date], A89)&gt;0, "Y", "N")</f>
        <v>N</v>
      </c>
      <c r="H89" s="3" t="str">
        <f>IFERROR(_xlfn.XLOOKUP(A89, PublicHols[Date], PublicHols[PH_Name]),"")</f>
        <v/>
      </c>
      <c r="I89" s="4" t="str">
        <f>IF(COUNTIF(EventsAll[Date], A89)&gt;0, "Y", "N")</f>
        <v>N</v>
      </c>
      <c r="J89" s="11" t="str">
        <f>IFERROR(_xlfn.XLOOKUP(A89, EventsAll[Date], EventsAll[Event]),"")</f>
        <v/>
      </c>
      <c r="K89" s="4" t="str" cm="1">
        <f t="array" ref="K89">IF(SUMPRODUCT((A89&gt;=SchoolHols[Start])*(A89&lt;=SchoolHols[End]))&gt;0,"Y","N")</f>
        <v>Y</v>
      </c>
    </row>
    <row r="90" spans="1:11">
      <c r="A90" s="6">
        <f t="shared" si="11"/>
        <v>43189</v>
      </c>
      <c r="B90" s="4" t="str">
        <f t="shared" si="6"/>
        <v>30</v>
      </c>
      <c r="C90" s="4" t="str">
        <f t="shared" si="7"/>
        <v>03</v>
      </c>
      <c r="D90" s="4" t="str">
        <f t="shared" si="8"/>
        <v>2018</v>
      </c>
      <c r="E90" s="3" t="str">
        <f t="shared" si="9"/>
        <v>Friday</v>
      </c>
      <c r="F90" s="4" t="str">
        <f t="shared" si="10"/>
        <v>N</v>
      </c>
      <c r="G90" s="4" t="str">
        <f>IF(COUNTIF(PublicHols[Date], A90)&gt;0, "Y", "N")</f>
        <v>Y</v>
      </c>
      <c r="H90" s="3" t="str">
        <f>IFERROR(_xlfn.XLOOKUP(A90, PublicHols[Date], PublicHols[PH_Name]),"")</f>
        <v>Good Friday</v>
      </c>
      <c r="I90" s="4" t="str">
        <f>IF(COUNTIF(EventsAll[Date], A90)&gt;0, "Y", "N")</f>
        <v>Y</v>
      </c>
      <c r="J90" s="11" t="str">
        <f>IFERROR(_xlfn.XLOOKUP(A90, EventsAll[Date], EventsAll[Event]),"")</f>
        <v xml:space="preserve"> Good Friday</v>
      </c>
      <c r="K90" s="4" t="str" cm="1">
        <f t="array" ref="K90">IF(SUMPRODUCT((A90&gt;=SchoolHols[Start])*(A90&lt;=SchoolHols[End]))&gt;0,"Y","N")</f>
        <v>Y</v>
      </c>
    </row>
    <row r="91" spans="1:11">
      <c r="A91" s="6">
        <f t="shared" si="11"/>
        <v>43190</v>
      </c>
      <c r="B91" s="4" t="str">
        <f t="shared" si="6"/>
        <v>31</v>
      </c>
      <c r="C91" s="4" t="str">
        <f t="shared" si="7"/>
        <v>03</v>
      </c>
      <c r="D91" s="4" t="str">
        <f t="shared" si="8"/>
        <v>2018</v>
      </c>
      <c r="E91" s="3" t="str">
        <f t="shared" si="9"/>
        <v>Saturday</v>
      </c>
      <c r="F91" s="4" t="str">
        <f t="shared" si="10"/>
        <v>N</v>
      </c>
      <c r="G91" s="4" t="str">
        <f>IF(COUNTIF(PublicHols[Date], A91)&gt;0, "Y", "N")</f>
        <v>N</v>
      </c>
      <c r="H91" s="3" t="str">
        <f>IFERROR(_xlfn.XLOOKUP(A91, PublicHols[Date], PublicHols[PH_Name]),"")</f>
        <v/>
      </c>
      <c r="I91" s="4" t="str">
        <f>IF(COUNTIF(EventsAll[Date], A91)&gt;0, "Y", "N")</f>
        <v>N</v>
      </c>
      <c r="J91" s="11" t="str">
        <f>IFERROR(_xlfn.XLOOKUP(A91, EventsAll[Date], EventsAll[Event]),"")</f>
        <v/>
      </c>
      <c r="K91" s="4" t="str" cm="1">
        <f t="array" ref="K91">IF(SUMPRODUCT((A91&gt;=SchoolHols[Start])*(A91&lt;=SchoolHols[End]))&gt;0,"Y","N")</f>
        <v>Y</v>
      </c>
    </row>
    <row r="92" spans="1:11">
      <c r="A92" s="6">
        <f t="shared" si="11"/>
        <v>43191</v>
      </c>
      <c r="B92" s="4" t="str">
        <f t="shared" si="6"/>
        <v>01</v>
      </c>
      <c r="C92" s="4" t="str">
        <f t="shared" si="7"/>
        <v>04</v>
      </c>
      <c r="D92" s="4" t="str">
        <f t="shared" si="8"/>
        <v>2018</v>
      </c>
      <c r="E92" s="3" t="str">
        <f t="shared" si="9"/>
        <v>Sunday</v>
      </c>
      <c r="F92" s="4" t="str">
        <f t="shared" si="10"/>
        <v>Y</v>
      </c>
      <c r="G92" s="4" t="str">
        <f>IF(COUNTIF(PublicHols[Date], A92)&gt;0, "Y", "N")</f>
        <v>N</v>
      </c>
      <c r="H92" s="3" t="str">
        <f>IFERROR(_xlfn.XLOOKUP(A92, PublicHols[Date], PublicHols[PH_Name]),"")</f>
        <v/>
      </c>
      <c r="I92" s="4" t="str">
        <f>IF(COUNTIF(EventsAll[Date], A92)&gt;0, "Y", "N")</f>
        <v>N</v>
      </c>
      <c r="J92" s="11" t="str">
        <f>IFERROR(_xlfn.XLOOKUP(A92, EventsAll[Date], EventsAll[Event]),"")</f>
        <v/>
      </c>
      <c r="K92" s="4" t="str" cm="1">
        <f t="array" ref="K92">IF(SUMPRODUCT((A92&gt;=SchoolHols[Start])*(A92&lt;=SchoolHols[End]))&gt;0,"Y","N")</f>
        <v>Y</v>
      </c>
    </row>
    <row r="93" spans="1:11">
      <c r="A93" s="6">
        <f t="shared" si="11"/>
        <v>43192</v>
      </c>
      <c r="B93" s="4" t="str">
        <f t="shared" si="6"/>
        <v>02</v>
      </c>
      <c r="C93" s="4" t="str">
        <f t="shared" si="7"/>
        <v>04</v>
      </c>
      <c r="D93" s="4" t="str">
        <f t="shared" si="8"/>
        <v>2018</v>
      </c>
      <c r="E93" s="3" t="str">
        <f t="shared" si="9"/>
        <v>Monday</v>
      </c>
      <c r="F93" s="4" t="str">
        <f t="shared" si="10"/>
        <v>N</v>
      </c>
      <c r="G93" s="4" t="str">
        <f>IF(COUNTIF(PublicHols[Date], A93)&gt;0, "Y", "N")</f>
        <v>Y</v>
      </c>
      <c r="H93" s="3" t="str">
        <f>IFERROR(_xlfn.XLOOKUP(A93, PublicHols[Date], PublicHols[PH_Name]),"")</f>
        <v>Family Day</v>
      </c>
      <c r="I93" s="4" t="str">
        <f>IF(COUNTIF(EventsAll[Date], A93)&gt;0, "Y", "N")</f>
        <v>Y</v>
      </c>
      <c r="J93" s="11" t="str">
        <f>IFERROR(_xlfn.XLOOKUP(A93, EventsAll[Date], EventsAll[Event]),"")</f>
        <v xml:space="preserve"> Family Day</v>
      </c>
      <c r="K93" s="4" t="str" cm="1">
        <f t="array" ref="K93">IF(SUMPRODUCT((A93&gt;=SchoolHols[Start])*(A93&lt;=SchoolHols[End]))&gt;0,"Y","N")</f>
        <v>Y</v>
      </c>
    </row>
    <row r="94" spans="1:11">
      <c r="A94" s="6">
        <f t="shared" si="11"/>
        <v>43193</v>
      </c>
      <c r="B94" s="4" t="str">
        <f t="shared" si="6"/>
        <v>03</v>
      </c>
      <c r="C94" s="4" t="str">
        <f t="shared" si="7"/>
        <v>04</v>
      </c>
      <c r="D94" s="4" t="str">
        <f t="shared" si="8"/>
        <v>2018</v>
      </c>
      <c r="E94" s="3" t="str">
        <f t="shared" si="9"/>
        <v>Tuesday</v>
      </c>
      <c r="F94" s="4" t="str">
        <f t="shared" si="10"/>
        <v>N</v>
      </c>
      <c r="G94" s="4" t="str">
        <f>IF(COUNTIF(PublicHols[Date], A94)&gt;0, "Y", "N")</f>
        <v>N</v>
      </c>
      <c r="H94" s="3" t="str">
        <f>IFERROR(_xlfn.XLOOKUP(A94, PublicHols[Date], PublicHols[PH_Name]),"")</f>
        <v/>
      </c>
      <c r="I94" s="4" t="str">
        <f>IF(COUNTIF(EventsAll[Date], A94)&gt;0, "Y", "N")</f>
        <v>N</v>
      </c>
      <c r="J94" s="11" t="str">
        <f>IFERROR(_xlfn.XLOOKUP(A94, EventsAll[Date], EventsAll[Event]),"")</f>
        <v/>
      </c>
      <c r="K94" s="4" t="str" cm="1">
        <f t="array" ref="K94">IF(SUMPRODUCT((A94&gt;=SchoolHols[Start])*(A94&lt;=SchoolHols[End]))&gt;0,"Y","N")</f>
        <v>Y</v>
      </c>
    </row>
    <row r="95" spans="1:11">
      <c r="A95" s="6">
        <f t="shared" si="11"/>
        <v>43194</v>
      </c>
      <c r="B95" s="4" t="str">
        <f t="shared" si="6"/>
        <v>04</v>
      </c>
      <c r="C95" s="4" t="str">
        <f t="shared" si="7"/>
        <v>04</v>
      </c>
      <c r="D95" s="4" t="str">
        <f t="shared" si="8"/>
        <v>2018</v>
      </c>
      <c r="E95" s="3" t="str">
        <f t="shared" si="9"/>
        <v>Wednesday</v>
      </c>
      <c r="F95" s="4" t="str">
        <f t="shared" si="10"/>
        <v>N</v>
      </c>
      <c r="G95" s="4" t="str">
        <f>IF(COUNTIF(PublicHols[Date], A95)&gt;0, "Y", "N")</f>
        <v>N</v>
      </c>
      <c r="H95" s="3" t="str">
        <f>IFERROR(_xlfn.XLOOKUP(A95, PublicHols[Date], PublicHols[PH_Name]),"")</f>
        <v/>
      </c>
      <c r="I95" s="4" t="str">
        <f>IF(COUNTIF(EventsAll[Date], A95)&gt;0, "Y", "N")</f>
        <v>N</v>
      </c>
      <c r="J95" s="11" t="str">
        <f>IFERROR(_xlfn.XLOOKUP(A95, EventsAll[Date], EventsAll[Event]),"")</f>
        <v/>
      </c>
      <c r="K95" s="4" t="str" cm="1">
        <f t="array" ref="K95">IF(SUMPRODUCT((A95&gt;=SchoolHols[Start])*(A95&lt;=SchoolHols[End]))&gt;0,"Y","N")</f>
        <v>N</v>
      </c>
    </row>
    <row r="96" spans="1:11">
      <c r="A96" s="6">
        <f t="shared" si="11"/>
        <v>43195</v>
      </c>
      <c r="B96" s="4" t="str">
        <f t="shared" si="6"/>
        <v>05</v>
      </c>
      <c r="C96" s="4" t="str">
        <f t="shared" si="7"/>
        <v>04</v>
      </c>
      <c r="D96" s="4" t="str">
        <f t="shared" si="8"/>
        <v>2018</v>
      </c>
      <c r="E96" s="3" t="str">
        <f t="shared" si="9"/>
        <v>Thursday</v>
      </c>
      <c r="F96" s="4" t="str">
        <f t="shared" si="10"/>
        <v>N</v>
      </c>
      <c r="G96" s="4" t="str">
        <f>IF(COUNTIF(PublicHols[Date], A96)&gt;0, "Y", "N")</f>
        <v>N</v>
      </c>
      <c r="H96" s="3" t="str">
        <f>IFERROR(_xlfn.XLOOKUP(A96, PublicHols[Date], PublicHols[PH_Name]),"")</f>
        <v/>
      </c>
      <c r="I96" s="4" t="str">
        <f>IF(COUNTIF(EventsAll[Date], A96)&gt;0, "Y", "N")</f>
        <v>N</v>
      </c>
      <c r="J96" s="11" t="str">
        <f>IFERROR(_xlfn.XLOOKUP(A96, EventsAll[Date], EventsAll[Event]),"")</f>
        <v/>
      </c>
      <c r="K96" s="4" t="str" cm="1">
        <f t="array" ref="K96">IF(SUMPRODUCT((A96&gt;=SchoolHols[Start])*(A96&lt;=SchoolHols[End]))&gt;0,"Y","N")</f>
        <v>N</v>
      </c>
    </row>
    <row r="97" spans="1:11">
      <c r="A97" s="6">
        <f t="shared" si="11"/>
        <v>43196</v>
      </c>
      <c r="B97" s="4" t="str">
        <f t="shared" si="6"/>
        <v>06</v>
      </c>
      <c r="C97" s="4" t="str">
        <f t="shared" si="7"/>
        <v>04</v>
      </c>
      <c r="D97" s="4" t="str">
        <f t="shared" si="8"/>
        <v>2018</v>
      </c>
      <c r="E97" s="3" t="str">
        <f t="shared" si="9"/>
        <v>Friday</v>
      </c>
      <c r="F97" s="4" t="str">
        <f t="shared" si="10"/>
        <v>N</v>
      </c>
      <c r="G97" s="4" t="str">
        <f>IF(COUNTIF(PublicHols[Date], A97)&gt;0, "Y", "N")</f>
        <v>N</v>
      </c>
      <c r="H97" s="3" t="str">
        <f>IFERROR(_xlfn.XLOOKUP(A97, PublicHols[Date], PublicHols[PH_Name]),"")</f>
        <v/>
      </c>
      <c r="I97" s="4" t="str">
        <f>IF(COUNTIF(EventsAll[Date], A97)&gt;0, "Y", "N")</f>
        <v>N</v>
      </c>
      <c r="J97" s="11" t="str">
        <f>IFERROR(_xlfn.XLOOKUP(A97, EventsAll[Date], EventsAll[Event]),"")</f>
        <v/>
      </c>
      <c r="K97" s="4" t="str" cm="1">
        <f t="array" ref="K97">IF(SUMPRODUCT((A97&gt;=SchoolHols[Start])*(A97&lt;=SchoolHols[End]))&gt;0,"Y","N")</f>
        <v>N</v>
      </c>
    </row>
    <row r="98" spans="1:11">
      <c r="A98" s="6">
        <f t="shared" si="11"/>
        <v>43197</v>
      </c>
      <c r="B98" s="4" t="str">
        <f t="shared" si="6"/>
        <v>07</v>
      </c>
      <c r="C98" s="4" t="str">
        <f t="shared" si="7"/>
        <v>04</v>
      </c>
      <c r="D98" s="4" t="str">
        <f t="shared" si="8"/>
        <v>2018</v>
      </c>
      <c r="E98" s="3" t="str">
        <f t="shared" si="9"/>
        <v>Saturday</v>
      </c>
      <c r="F98" s="4" t="str">
        <f t="shared" si="10"/>
        <v>N</v>
      </c>
      <c r="G98" s="4" t="str">
        <f>IF(COUNTIF(PublicHols[Date], A98)&gt;0, "Y", "N")</f>
        <v>N</v>
      </c>
      <c r="H98" s="3" t="str">
        <f>IFERROR(_xlfn.XLOOKUP(A98, PublicHols[Date], PublicHols[PH_Name]),"")</f>
        <v/>
      </c>
      <c r="I98" s="4" t="str">
        <f>IF(COUNTIF(EventsAll[Date], A98)&gt;0, "Y", "N")</f>
        <v>N</v>
      </c>
      <c r="J98" s="11" t="str">
        <f>IFERROR(_xlfn.XLOOKUP(A98, EventsAll[Date], EventsAll[Event]),"")</f>
        <v/>
      </c>
      <c r="K98" s="4" t="str" cm="1">
        <f t="array" ref="K98">IF(SUMPRODUCT((A98&gt;=SchoolHols[Start])*(A98&lt;=SchoolHols[End]))&gt;0,"Y","N")</f>
        <v>N</v>
      </c>
    </row>
    <row r="99" spans="1:11">
      <c r="A99" s="6">
        <f t="shared" si="11"/>
        <v>43198</v>
      </c>
      <c r="B99" s="4" t="str">
        <f t="shared" si="6"/>
        <v>08</v>
      </c>
      <c r="C99" s="4" t="str">
        <f t="shared" si="7"/>
        <v>04</v>
      </c>
      <c r="D99" s="4" t="str">
        <f t="shared" si="8"/>
        <v>2018</v>
      </c>
      <c r="E99" s="3" t="str">
        <f t="shared" si="9"/>
        <v>Sunday</v>
      </c>
      <c r="F99" s="4" t="str">
        <f t="shared" si="10"/>
        <v>Y</v>
      </c>
      <c r="G99" s="4" t="str">
        <f>IF(COUNTIF(PublicHols[Date], A99)&gt;0, "Y", "N")</f>
        <v>N</v>
      </c>
      <c r="H99" s="3" t="str">
        <f>IFERROR(_xlfn.XLOOKUP(A99, PublicHols[Date], PublicHols[PH_Name]),"")</f>
        <v/>
      </c>
      <c r="I99" s="4" t="str">
        <f>IF(COUNTIF(EventsAll[Date], A99)&gt;0, "Y", "N")</f>
        <v>N</v>
      </c>
      <c r="J99" s="11" t="str">
        <f>IFERROR(_xlfn.XLOOKUP(A99, EventsAll[Date], EventsAll[Event]),"")</f>
        <v/>
      </c>
      <c r="K99" s="4" t="str" cm="1">
        <f t="array" ref="K99">IF(SUMPRODUCT((A99&gt;=SchoolHols[Start])*(A99&lt;=SchoolHols[End]))&gt;0,"Y","N")</f>
        <v>N</v>
      </c>
    </row>
    <row r="100" spans="1:11">
      <c r="A100" s="6">
        <f t="shared" si="11"/>
        <v>43199</v>
      </c>
      <c r="B100" s="4" t="str">
        <f t="shared" si="6"/>
        <v>09</v>
      </c>
      <c r="C100" s="4" t="str">
        <f t="shared" si="7"/>
        <v>04</v>
      </c>
      <c r="D100" s="4" t="str">
        <f t="shared" si="8"/>
        <v>2018</v>
      </c>
      <c r="E100" s="3" t="str">
        <f t="shared" si="9"/>
        <v>Monday</v>
      </c>
      <c r="F100" s="4" t="str">
        <f t="shared" si="10"/>
        <v>N</v>
      </c>
      <c r="G100" s="4" t="str">
        <f>IF(COUNTIF(PublicHols[Date], A100)&gt;0, "Y", "N")</f>
        <v>N</v>
      </c>
      <c r="H100" s="3" t="str">
        <f>IFERROR(_xlfn.XLOOKUP(A100, PublicHols[Date], PublicHols[PH_Name]),"")</f>
        <v/>
      </c>
      <c r="I100" s="4" t="str">
        <f>IF(COUNTIF(EventsAll[Date], A100)&gt;0, "Y", "N")</f>
        <v>N</v>
      </c>
      <c r="J100" s="11" t="str">
        <f>IFERROR(_xlfn.XLOOKUP(A100, EventsAll[Date], EventsAll[Event]),"")</f>
        <v/>
      </c>
      <c r="K100" s="4" t="str" cm="1">
        <f t="array" ref="K100">IF(SUMPRODUCT((A100&gt;=SchoolHols[Start])*(A100&lt;=SchoolHols[End]))&gt;0,"Y","N")</f>
        <v>N</v>
      </c>
    </row>
    <row r="101" spans="1:11">
      <c r="A101" s="6">
        <f t="shared" si="11"/>
        <v>43200</v>
      </c>
      <c r="B101" s="4" t="str">
        <f t="shared" si="6"/>
        <v>10</v>
      </c>
      <c r="C101" s="4" t="str">
        <f t="shared" si="7"/>
        <v>04</v>
      </c>
      <c r="D101" s="4" t="str">
        <f t="shared" si="8"/>
        <v>2018</v>
      </c>
      <c r="E101" s="3" t="str">
        <f t="shared" si="9"/>
        <v>Tuesday</v>
      </c>
      <c r="F101" s="4" t="str">
        <f t="shared" si="10"/>
        <v>N</v>
      </c>
      <c r="G101" s="4" t="str">
        <f>IF(COUNTIF(PublicHols[Date], A101)&gt;0, "Y", "N")</f>
        <v>N</v>
      </c>
      <c r="H101" s="3" t="str">
        <f>IFERROR(_xlfn.XLOOKUP(A101, PublicHols[Date], PublicHols[PH_Name]),"")</f>
        <v/>
      </c>
      <c r="I101" s="4" t="str">
        <f>IF(COUNTIF(EventsAll[Date], A101)&gt;0, "Y", "N")</f>
        <v>N</v>
      </c>
      <c r="J101" s="11" t="str">
        <f>IFERROR(_xlfn.XLOOKUP(A101, EventsAll[Date], EventsAll[Event]),"")</f>
        <v/>
      </c>
      <c r="K101" s="4" t="str" cm="1">
        <f t="array" ref="K101">IF(SUMPRODUCT((A101&gt;=SchoolHols[Start])*(A101&lt;=SchoolHols[End]))&gt;0,"Y","N")</f>
        <v>N</v>
      </c>
    </row>
    <row r="102" spans="1:11">
      <c r="A102" s="6">
        <f t="shared" si="11"/>
        <v>43201</v>
      </c>
      <c r="B102" s="4" t="str">
        <f t="shared" si="6"/>
        <v>11</v>
      </c>
      <c r="C102" s="4" t="str">
        <f t="shared" si="7"/>
        <v>04</v>
      </c>
      <c r="D102" s="4" t="str">
        <f t="shared" si="8"/>
        <v>2018</v>
      </c>
      <c r="E102" s="3" t="str">
        <f t="shared" si="9"/>
        <v>Wednesday</v>
      </c>
      <c r="F102" s="4" t="str">
        <f t="shared" si="10"/>
        <v>N</v>
      </c>
      <c r="G102" s="4" t="str">
        <f>IF(COUNTIF(PublicHols[Date], A102)&gt;0, "Y", "N")</f>
        <v>N</v>
      </c>
      <c r="H102" s="3" t="str">
        <f>IFERROR(_xlfn.XLOOKUP(A102, PublicHols[Date], PublicHols[PH_Name]),"")</f>
        <v/>
      </c>
      <c r="I102" s="4" t="str">
        <f>IF(COUNTIF(EventsAll[Date], A102)&gt;0, "Y", "N")</f>
        <v>N</v>
      </c>
      <c r="J102" s="11" t="str">
        <f>IFERROR(_xlfn.XLOOKUP(A102, EventsAll[Date], EventsAll[Event]),"")</f>
        <v/>
      </c>
      <c r="K102" s="4" t="str" cm="1">
        <f t="array" ref="K102">IF(SUMPRODUCT((A102&gt;=SchoolHols[Start])*(A102&lt;=SchoolHols[End]))&gt;0,"Y","N")</f>
        <v>N</v>
      </c>
    </row>
    <row r="103" spans="1:11">
      <c r="A103" s="6">
        <f t="shared" si="11"/>
        <v>43202</v>
      </c>
      <c r="B103" s="4" t="str">
        <f t="shared" si="6"/>
        <v>12</v>
      </c>
      <c r="C103" s="4" t="str">
        <f t="shared" si="7"/>
        <v>04</v>
      </c>
      <c r="D103" s="4" t="str">
        <f t="shared" si="8"/>
        <v>2018</v>
      </c>
      <c r="E103" s="3" t="str">
        <f t="shared" si="9"/>
        <v>Thursday</v>
      </c>
      <c r="F103" s="4" t="str">
        <f t="shared" si="10"/>
        <v>N</v>
      </c>
      <c r="G103" s="4" t="str">
        <f>IF(COUNTIF(PublicHols[Date], A103)&gt;0, "Y", "N")</f>
        <v>N</v>
      </c>
      <c r="H103" s="3" t="str">
        <f>IFERROR(_xlfn.XLOOKUP(A103, PublicHols[Date], PublicHols[PH_Name]),"")</f>
        <v/>
      </c>
      <c r="I103" s="4" t="str">
        <f>IF(COUNTIF(EventsAll[Date], A103)&gt;0, "Y", "N")</f>
        <v>N</v>
      </c>
      <c r="J103" s="11" t="str">
        <f>IFERROR(_xlfn.XLOOKUP(A103, EventsAll[Date], EventsAll[Event]),"")</f>
        <v/>
      </c>
      <c r="K103" s="4" t="str" cm="1">
        <f t="array" ref="K103">IF(SUMPRODUCT((A103&gt;=SchoolHols[Start])*(A103&lt;=SchoolHols[End]))&gt;0,"Y","N")</f>
        <v>N</v>
      </c>
    </row>
    <row r="104" spans="1:11">
      <c r="A104" s="6">
        <f t="shared" si="11"/>
        <v>43203</v>
      </c>
      <c r="B104" s="4" t="str">
        <f t="shared" si="6"/>
        <v>13</v>
      </c>
      <c r="C104" s="4" t="str">
        <f t="shared" si="7"/>
        <v>04</v>
      </c>
      <c r="D104" s="4" t="str">
        <f t="shared" si="8"/>
        <v>2018</v>
      </c>
      <c r="E104" s="3" t="str">
        <f t="shared" si="9"/>
        <v>Friday</v>
      </c>
      <c r="F104" s="4" t="str">
        <f t="shared" si="10"/>
        <v>N</v>
      </c>
      <c r="G104" s="4" t="str">
        <f>IF(COUNTIF(PublicHols[Date], A104)&gt;0, "Y", "N")</f>
        <v>N</v>
      </c>
      <c r="H104" s="3" t="str">
        <f>IFERROR(_xlfn.XLOOKUP(A104, PublicHols[Date], PublicHols[PH_Name]),"")</f>
        <v/>
      </c>
      <c r="I104" s="4" t="str">
        <f>IF(COUNTIF(EventsAll[Date], A104)&gt;0, "Y", "N")</f>
        <v>N</v>
      </c>
      <c r="J104" s="11" t="str">
        <f>IFERROR(_xlfn.XLOOKUP(A104, EventsAll[Date], EventsAll[Event]),"")</f>
        <v/>
      </c>
      <c r="K104" s="4" t="str" cm="1">
        <f t="array" ref="K104">IF(SUMPRODUCT((A104&gt;=SchoolHols[Start])*(A104&lt;=SchoolHols[End]))&gt;0,"Y","N")</f>
        <v>N</v>
      </c>
    </row>
    <row r="105" spans="1:11">
      <c r="A105" s="6">
        <f t="shared" si="11"/>
        <v>43204</v>
      </c>
      <c r="B105" s="4" t="str">
        <f t="shared" si="6"/>
        <v>14</v>
      </c>
      <c r="C105" s="4" t="str">
        <f t="shared" si="7"/>
        <v>04</v>
      </c>
      <c r="D105" s="4" t="str">
        <f t="shared" si="8"/>
        <v>2018</v>
      </c>
      <c r="E105" s="3" t="str">
        <f t="shared" si="9"/>
        <v>Saturday</v>
      </c>
      <c r="F105" s="4" t="str">
        <f t="shared" si="10"/>
        <v>N</v>
      </c>
      <c r="G105" s="4" t="str">
        <f>IF(COUNTIF(PublicHols[Date], A105)&gt;0, "Y", "N")</f>
        <v>N</v>
      </c>
      <c r="H105" s="3" t="str">
        <f>IFERROR(_xlfn.XLOOKUP(A105, PublicHols[Date], PublicHols[PH_Name]),"")</f>
        <v/>
      </c>
      <c r="I105" s="4" t="str">
        <f>IF(COUNTIF(EventsAll[Date], A105)&gt;0, "Y", "N")</f>
        <v>N</v>
      </c>
      <c r="J105" s="11" t="str">
        <f>IFERROR(_xlfn.XLOOKUP(A105, EventsAll[Date], EventsAll[Event]),"")</f>
        <v/>
      </c>
      <c r="K105" s="4" t="str" cm="1">
        <f t="array" ref="K105">IF(SUMPRODUCT((A105&gt;=SchoolHols[Start])*(A105&lt;=SchoolHols[End]))&gt;0,"Y","N")</f>
        <v>N</v>
      </c>
    </row>
    <row r="106" spans="1:11">
      <c r="A106" s="6">
        <f t="shared" si="11"/>
        <v>43205</v>
      </c>
      <c r="B106" s="4" t="str">
        <f t="shared" si="6"/>
        <v>15</v>
      </c>
      <c r="C106" s="4" t="str">
        <f t="shared" si="7"/>
        <v>04</v>
      </c>
      <c r="D106" s="4" t="str">
        <f t="shared" si="8"/>
        <v>2018</v>
      </c>
      <c r="E106" s="3" t="str">
        <f t="shared" si="9"/>
        <v>Sunday</v>
      </c>
      <c r="F106" s="4" t="str">
        <f t="shared" si="10"/>
        <v>Y</v>
      </c>
      <c r="G106" s="4" t="str">
        <f>IF(COUNTIF(PublicHols[Date], A106)&gt;0, "Y", "N")</f>
        <v>N</v>
      </c>
      <c r="H106" s="3" t="str">
        <f>IFERROR(_xlfn.XLOOKUP(A106, PublicHols[Date], PublicHols[PH_Name]),"")</f>
        <v/>
      </c>
      <c r="I106" s="4" t="str">
        <f>IF(COUNTIF(EventsAll[Date], A106)&gt;0, "Y", "N")</f>
        <v>N</v>
      </c>
      <c r="J106" s="11" t="str">
        <f>IFERROR(_xlfn.XLOOKUP(A106, EventsAll[Date], EventsAll[Event]),"")</f>
        <v/>
      </c>
      <c r="K106" s="4" t="str" cm="1">
        <f t="array" ref="K106">IF(SUMPRODUCT((A106&gt;=SchoolHols[Start])*(A106&lt;=SchoolHols[End]))&gt;0,"Y","N")</f>
        <v>N</v>
      </c>
    </row>
    <row r="107" spans="1:11">
      <c r="A107" s="6">
        <f t="shared" si="11"/>
        <v>43206</v>
      </c>
      <c r="B107" s="4" t="str">
        <f t="shared" si="6"/>
        <v>16</v>
      </c>
      <c r="C107" s="4" t="str">
        <f t="shared" si="7"/>
        <v>04</v>
      </c>
      <c r="D107" s="4" t="str">
        <f t="shared" si="8"/>
        <v>2018</v>
      </c>
      <c r="E107" s="3" t="str">
        <f t="shared" si="9"/>
        <v>Monday</v>
      </c>
      <c r="F107" s="4" t="str">
        <f t="shared" si="10"/>
        <v>N</v>
      </c>
      <c r="G107" s="4" t="str">
        <f>IF(COUNTIF(PublicHols[Date], A107)&gt;0, "Y", "N")</f>
        <v>N</v>
      </c>
      <c r="H107" s="3" t="str">
        <f>IFERROR(_xlfn.XLOOKUP(A107, PublicHols[Date], PublicHols[PH_Name]),"")</f>
        <v/>
      </c>
      <c r="I107" s="4" t="str">
        <f>IF(COUNTIF(EventsAll[Date], A107)&gt;0, "Y", "N")</f>
        <v>N</v>
      </c>
      <c r="J107" s="11" t="str">
        <f>IFERROR(_xlfn.XLOOKUP(A107, EventsAll[Date], EventsAll[Event]),"")</f>
        <v/>
      </c>
      <c r="K107" s="4" t="str" cm="1">
        <f t="array" ref="K107">IF(SUMPRODUCT((A107&gt;=SchoolHols[Start])*(A107&lt;=SchoolHols[End]))&gt;0,"Y","N")</f>
        <v>N</v>
      </c>
    </row>
    <row r="108" spans="1:11">
      <c r="A108" s="6">
        <f t="shared" si="11"/>
        <v>43207</v>
      </c>
      <c r="B108" s="4" t="str">
        <f t="shared" si="6"/>
        <v>17</v>
      </c>
      <c r="C108" s="4" t="str">
        <f t="shared" si="7"/>
        <v>04</v>
      </c>
      <c r="D108" s="4" t="str">
        <f t="shared" si="8"/>
        <v>2018</v>
      </c>
      <c r="E108" s="3" t="str">
        <f t="shared" si="9"/>
        <v>Tuesday</v>
      </c>
      <c r="F108" s="4" t="str">
        <f t="shared" si="10"/>
        <v>N</v>
      </c>
      <c r="G108" s="4" t="str">
        <f>IF(COUNTIF(PublicHols[Date], A108)&gt;0, "Y", "N")</f>
        <v>N</v>
      </c>
      <c r="H108" s="3" t="str">
        <f>IFERROR(_xlfn.XLOOKUP(A108, PublicHols[Date], PublicHols[PH_Name]),"")</f>
        <v/>
      </c>
      <c r="I108" s="4" t="str">
        <f>IF(COUNTIF(EventsAll[Date], A108)&gt;0, "Y", "N")</f>
        <v>N</v>
      </c>
      <c r="J108" s="11" t="str">
        <f>IFERROR(_xlfn.XLOOKUP(A108, EventsAll[Date], EventsAll[Event]),"")</f>
        <v/>
      </c>
      <c r="K108" s="4" t="str" cm="1">
        <f t="array" ref="K108">IF(SUMPRODUCT((A108&gt;=SchoolHols[Start])*(A108&lt;=SchoolHols[End]))&gt;0,"Y","N")</f>
        <v>N</v>
      </c>
    </row>
    <row r="109" spans="1:11">
      <c r="A109" s="6">
        <f t="shared" si="11"/>
        <v>43208</v>
      </c>
      <c r="B109" s="4" t="str">
        <f t="shared" si="6"/>
        <v>18</v>
      </c>
      <c r="C109" s="4" t="str">
        <f t="shared" si="7"/>
        <v>04</v>
      </c>
      <c r="D109" s="4" t="str">
        <f t="shared" si="8"/>
        <v>2018</v>
      </c>
      <c r="E109" s="3" t="str">
        <f t="shared" si="9"/>
        <v>Wednesday</v>
      </c>
      <c r="F109" s="4" t="str">
        <f t="shared" si="10"/>
        <v>N</v>
      </c>
      <c r="G109" s="4" t="str">
        <f>IF(COUNTIF(PublicHols[Date], A109)&gt;0, "Y", "N")</f>
        <v>N</v>
      </c>
      <c r="H109" s="3" t="str">
        <f>IFERROR(_xlfn.XLOOKUP(A109, PublicHols[Date], PublicHols[PH_Name]),"")</f>
        <v/>
      </c>
      <c r="I109" s="4" t="str">
        <f>IF(COUNTIF(EventsAll[Date], A109)&gt;0, "Y", "N")</f>
        <v>N</v>
      </c>
      <c r="J109" s="11" t="str">
        <f>IFERROR(_xlfn.XLOOKUP(A109, EventsAll[Date], EventsAll[Event]),"")</f>
        <v/>
      </c>
      <c r="K109" s="4" t="str" cm="1">
        <f t="array" ref="K109">IF(SUMPRODUCT((A109&gt;=SchoolHols[Start])*(A109&lt;=SchoolHols[End]))&gt;0,"Y","N")</f>
        <v>N</v>
      </c>
    </row>
    <row r="110" spans="1:11">
      <c r="A110" s="6">
        <f t="shared" si="11"/>
        <v>43209</v>
      </c>
      <c r="B110" s="4" t="str">
        <f t="shared" si="6"/>
        <v>19</v>
      </c>
      <c r="C110" s="4" t="str">
        <f t="shared" si="7"/>
        <v>04</v>
      </c>
      <c r="D110" s="4" t="str">
        <f t="shared" si="8"/>
        <v>2018</v>
      </c>
      <c r="E110" s="3" t="str">
        <f t="shared" si="9"/>
        <v>Thursday</v>
      </c>
      <c r="F110" s="4" t="str">
        <f t="shared" si="10"/>
        <v>N</v>
      </c>
      <c r="G110" s="4" t="str">
        <f>IF(COUNTIF(PublicHols[Date], A110)&gt;0, "Y", "N")</f>
        <v>N</v>
      </c>
      <c r="H110" s="3" t="str">
        <f>IFERROR(_xlfn.XLOOKUP(A110, PublicHols[Date], PublicHols[PH_Name]),"")</f>
        <v/>
      </c>
      <c r="I110" s="4" t="str">
        <f>IF(COUNTIF(EventsAll[Date], A110)&gt;0, "Y", "N")</f>
        <v>N</v>
      </c>
      <c r="J110" s="11" t="str">
        <f>IFERROR(_xlfn.XLOOKUP(A110, EventsAll[Date], EventsAll[Event]),"")</f>
        <v/>
      </c>
      <c r="K110" s="4" t="str" cm="1">
        <f t="array" ref="K110">IF(SUMPRODUCT((A110&gt;=SchoolHols[Start])*(A110&lt;=SchoolHols[End]))&gt;0,"Y","N")</f>
        <v>N</v>
      </c>
    </row>
    <row r="111" spans="1:11">
      <c r="A111" s="6">
        <f t="shared" si="11"/>
        <v>43210</v>
      </c>
      <c r="B111" s="4" t="str">
        <f t="shared" si="6"/>
        <v>20</v>
      </c>
      <c r="C111" s="4" t="str">
        <f t="shared" si="7"/>
        <v>04</v>
      </c>
      <c r="D111" s="4" t="str">
        <f t="shared" si="8"/>
        <v>2018</v>
      </c>
      <c r="E111" s="3" t="str">
        <f t="shared" si="9"/>
        <v>Friday</v>
      </c>
      <c r="F111" s="4" t="str">
        <f t="shared" si="10"/>
        <v>N</v>
      </c>
      <c r="G111" s="4" t="str">
        <f>IF(COUNTIF(PublicHols[Date], A111)&gt;0, "Y", "N")</f>
        <v>N</v>
      </c>
      <c r="H111" s="3" t="str">
        <f>IFERROR(_xlfn.XLOOKUP(A111, PublicHols[Date], PublicHols[PH_Name]),"")</f>
        <v/>
      </c>
      <c r="I111" s="4" t="str">
        <f>IF(COUNTIF(EventsAll[Date], A111)&gt;0, "Y", "N")</f>
        <v>N</v>
      </c>
      <c r="J111" s="11" t="str">
        <f>IFERROR(_xlfn.XLOOKUP(A111, EventsAll[Date], EventsAll[Event]),"")</f>
        <v/>
      </c>
      <c r="K111" s="4" t="str" cm="1">
        <f t="array" ref="K111">IF(SUMPRODUCT((A111&gt;=SchoolHols[Start])*(A111&lt;=SchoolHols[End]))&gt;0,"Y","N")</f>
        <v>N</v>
      </c>
    </row>
    <row r="112" spans="1:11">
      <c r="A112" s="6">
        <f t="shared" si="11"/>
        <v>43211</v>
      </c>
      <c r="B112" s="4" t="str">
        <f t="shared" si="6"/>
        <v>21</v>
      </c>
      <c r="C112" s="4" t="str">
        <f t="shared" si="7"/>
        <v>04</v>
      </c>
      <c r="D112" s="4" t="str">
        <f t="shared" si="8"/>
        <v>2018</v>
      </c>
      <c r="E112" s="3" t="str">
        <f t="shared" si="9"/>
        <v>Saturday</v>
      </c>
      <c r="F112" s="4" t="str">
        <f t="shared" si="10"/>
        <v>N</v>
      </c>
      <c r="G112" s="4" t="str">
        <f>IF(COUNTIF(PublicHols[Date], A112)&gt;0, "Y", "N")</f>
        <v>N</v>
      </c>
      <c r="H112" s="3" t="str">
        <f>IFERROR(_xlfn.XLOOKUP(A112, PublicHols[Date], PublicHols[PH_Name]),"")</f>
        <v/>
      </c>
      <c r="I112" s="4" t="str">
        <f>IF(COUNTIF(EventsAll[Date], A112)&gt;0, "Y", "N")</f>
        <v>N</v>
      </c>
      <c r="J112" s="11" t="str">
        <f>IFERROR(_xlfn.XLOOKUP(A112, EventsAll[Date], EventsAll[Event]),"")</f>
        <v/>
      </c>
      <c r="K112" s="4" t="str" cm="1">
        <f t="array" ref="K112">IF(SUMPRODUCT((A112&gt;=SchoolHols[Start])*(A112&lt;=SchoolHols[End]))&gt;0,"Y","N")</f>
        <v>N</v>
      </c>
    </row>
    <row r="113" spans="1:11">
      <c r="A113" s="6">
        <f t="shared" si="11"/>
        <v>43212</v>
      </c>
      <c r="B113" s="4" t="str">
        <f t="shared" si="6"/>
        <v>22</v>
      </c>
      <c r="C113" s="4" t="str">
        <f t="shared" si="7"/>
        <v>04</v>
      </c>
      <c r="D113" s="4" t="str">
        <f t="shared" si="8"/>
        <v>2018</v>
      </c>
      <c r="E113" s="3" t="str">
        <f t="shared" si="9"/>
        <v>Sunday</v>
      </c>
      <c r="F113" s="4" t="str">
        <f t="shared" si="10"/>
        <v>Y</v>
      </c>
      <c r="G113" s="4" t="str">
        <f>IF(COUNTIF(PublicHols[Date], A113)&gt;0, "Y", "N")</f>
        <v>N</v>
      </c>
      <c r="H113" s="3" t="str">
        <f>IFERROR(_xlfn.XLOOKUP(A113, PublicHols[Date], PublicHols[PH_Name]),"")</f>
        <v/>
      </c>
      <c r="I113" s="4" t="str">
        <f>IF(COUNTIF(EventsAll[Date], A113)&gt;0, "Y", "N")</f>
        <v>N</v>
      </c>
      <c r="J113" s="11" t="str">
        <f>IFERROR(_xlfn.XLOOKUP(A113, EventsAll[Date], EventsAll[Event]),"")</f>
        <v/>
      </c>
      <c r="K113" s="4" t="str" cm="1">
        <f t="array" ref="K113">IF(SUMPRODUCT((A113&gt;=SchoolHols[Start])*(A113&lt;=SchoolHols[End]))&gt;0,"Y","N")</f>
        <v>N</v>
      </c>
    </row>
    <row r="114" spans="1:11">
      <c r="A114" s="6">
        <f t="shared" si="11"/>
        <v>43213</v>
      </c>
      <c r="B114" s="4" t="str">
        <f t="shared" si="6"/>
        <v>23</v>
      </c>
      <c r="C114" s="4" t="str">
        <f t="shared" si="7"/>
        <v>04</v>
      </c>
      <c r="D114" s="4" t="str">
        <f t="shared" si="8"/>
        <v>2018</v>
      </c>
      <c r="E114" s="3" t="str">
        <f t="shared" si="9"/>
        <v>Monday</v>
      </c>
      <c r="F114" s="4" t="str">
        <f t="shared" si="10"/>
        <v>N</v>
      </c>
      <c r="G114" s="4" t="str">
        <f>IF(COUNTIF(PublicHols[Date], A114)&gt;0, "Y", "N")</f>
        <v>N</v>
      </c>
      <c r="H114" s="3" t="str">
        <f>IFERROR(_xlfn.XLOOKUP(A114, PublicHols[Date], PublicHols[PH_Name]),"")</f>
        <v/>
      </c>
      <c r="I114" s="4" t="str">
        <f>IF(COUNTIF(EventsAll[Date], A114)&gt;0, "Y", "N")</f>
        <v>N</v>
      </c>
      <c r="J114" s="11" t="str">
        <f>IFERROR(_xlfn.XLOOKUP(A114, EventsAll[Date], EventsAll[Event]),"")</f>
        <v/>
      </c>
      <c r="K114" s="4" t="str" cm="1">
        <f t="array" ref="K114">IF(SUMPRODUCT((A114&gt;=SchoolHols[Start])*(A114&lt;=SchoolHols[End]))&gt;0,"Y","N")</f>
        <v>N</v>
      </c>
    </row>
    <row r="115" spans="1:11">
      <c r="A115" s="6">
        <f t="shared" si="11"/>
        <v>43214</v>
      </c>
      <c r="B115" s="4" t="str">
        <f t="shared" si="6"/>
        <v>24</v>
      </c>
      <c r="C115" s="4" t="str">
        <f t="shared" si="7"/>
        <v>04</v>
      </c>
      <c r="D115" s="4" t="str">
        <f t="shared" si="8"/>
        <v>2018</v>
      </c>
      <c r="E115" s="3" t="str">
        <f t="shared" si="9"/>
        <v>Tuesday</v>
      </c>
      <c r="F115" s="4" t="str">
        <f t="shared" si="10"/>
        <v>N</v>
      </c>
      <c r="G115" s="4" t="str">
        <f>IF(COUNTIF(PublicHols[Date], A115)&gt;0, "Y", "N")</f>
        <v>N</v>
      </c>
      <c r="H115" s="3" t="str">
        <f>IFERROR(_xlfn.XLOOKUP(A115, PublicHols[Date], PublicHols[PH_Name]),"")</f>
        <v/>
      </c>
      <c r="I115" s="4" t="str">
        <f>IF(COUNTIF(EventsAll[Date], A115)&gt;0, "Y", "N")</f>
        <v>N</v>
      </c>
      <c r="J115" s="11" t="str">
        <f>IFERROR(_xlfn.XLOOKUP(A115, EventsAll[Date], EventsAll[Event]),"")</f>
        <v/>
      </c>
      <c r="K115" s="4" t="str" cm="1">
        <f t="array" ref="K115">IF(SUMPRODUCT((A115&gt;=SchoolHols[Start])*(A115&lt;=SchoolHols[End]))&gt;0,"Y","N")</f>
        <v>N</v>
      </c>
    </row>
    <row r="116" spans="1:11">
      <c r="A116" s="6">
        <f t="shared" si="11"/>
        <v>43215</v>
      </c>
      <c r="B116" s="4" t="str">
        <f t="shared" si="6"/>
        <v>25</v>
      </c>
      <c r="C116" s="4" t="str">
        <f t="shared" si="7"/>
        <v>04</v>
      </c>
      <c r="D116" s="4" t="str">
        <f t="shared" si="8"/>
        <v>2018</v>
      </c>
      <c r="E116" s="3" t="str">
        <f t="shared" si="9"/>
        <v>Wednesday</v>
      </c>
      <c r="F116" s="4" t="str">
        <f t="shared" si="10"/>
        <v>N</v>
      </c>
      <c r="G116" s="4" t="str">
        <f>IF(COUNTIF(PublicHols[Date], A116)&gt;0, "Y", "N")</f>
        <v>N</v>
      </c>
      <c r="H116" s="3" t="str">
        <f>IFERROR(_xlfn.XLOOKUP(A116, PublicHols[Date], PublicHols[PH_Name]),"")</f>
        <v/>
      </c>
      <c r="I116" s="4" t="str">
        <f>IF(COUNTIF(EventsAll[Date], A116)&gt;0, "Y", "N")</f>
        <v>N</v>
      </c>
      <c r="J116" s="11" t="str">
        <f>IFERROR(_xlfn.XLOOKUP(A116, EventsAll[Date], EventsAll[Event]),"")</f>
        <v/>
      </c>
      <c r="K116" s="4" t="str" cm="1">
        <f t="array" ref="K116">IF(SUMPRODUCT((A116&gt;=SchoolHols[Start])*(A116&lt;=SchoolHols[End]))&gt;0,"Y","N")</f>
        <v>N</v>
      </c>
    </row>
    <row r="117" spans="1:11">
      <c r="A117" s="6">
        <f t="shared" si="11"/>
        <v>43216</v>
      </c>
      <c r="B117" s="4" t="str">
        <f t="shared" si="6"/>
        <v>26</v>
      </c>
      <c r="C117" s="4" t="str">
        <f t="shared" si="7"/>
        <v>04</v>
      </c>
      <c r="D117" s="4" t="str">
        <f t="shared" si="8"/>
        <v>2018</v>
      </c>
      <c r="E117" s="3" t="str">
        <f t="shared" si="9"/>
        <v>Thursday</v>
      </c>
      <c r="F117" s="4" t="str">
        <f t="shared" si="10"/>
        <v>N</v>
      </c>
      <c r="G117" s="4" t="str">
        <f>IF(COUNTIF(PublicHols[Date], A117)&gt;0, "Y", "N")</f>
        <v>N</v>
      </c>
      <c r="H117" s="3" t="str">
        <f>IFERROR(_xlfn.XLOOKUP(A117, PublicHols[Date], PublicHols[PH_Name]),"")</f>
        <v/>
      </c>
      <c r="I117" s="4" t="str">
        <f>IF(COUNTIF(EventsAll[Date], A117)&gt;0, "Y", "N")</f>
        <v>N</v>
      </c>
      <c r="J117" s="11" t="str">
        <f>IFERROR(_xlfn.XLOOKUP(A117, EventsAll[Date], EventsAll[Event]),"")</f>
        <v/>
      </c>
      <c r="K117" s="4" t="str" cm="1">
        <f t="array" ref="K117">IF(SUMPRODUCT((A117&gt;=SchoolHols[Start])*(A117&lt;=SchoolHols[End]))&gt;0,"Y","N")</f>
        <v>N</v>
      </c>
    </row>
    <row r="118" spans="1:11">
      <c r="A118" s="6">
        <f t="shared" si="11"/>
        <v>43217</v>
      </c>
      <c r="B118" s="4" t="str">
        <f t="shared" si="6"/>
        <v>27</v>
      </c>
      <c r="C118" s="4" t="str">
        <f t="shared" si="7"/>
        <v>04</v>
      </c>
      <c r="D118" s="4" t="str">
        <f t="shared" si="8"/>
        <v>2018</v>
      </c>
      <c r="E118" s="3" t="str">
        <f t="shared" si="9"/>
        <v>Friday</v>
      </c>
      <c r="F118" s="4" t="str">
        <f t="shared" si="10"/>
        <v>N</v>
      </c>
      <c r="G118" s="4" t="str">
        <f>IF(COUNTIF(PublicHols[Date], A118)&gt;0, "Y", "N")</f>
        <v>Y</v>
      </c>
      <c r="H118" s="3" t="str">
        <f>IFERROR(_xlfn.XLOOKUP(A118, PublicHols[Date], PublicHols[PH_Name]),"")</f>
        <v>Freedom Day</v>
      </c>
      <c r="I118" s="4" t="str">
        <f>IF(COUNTIF(EventsAll[Date], A118)&gt;0, "Y", "N")</f>
        <v>N</v>
      </c>
      <c r="J118" s="11" t="str">
        <f>IFERROR(_xlfn.XLOOKUP(A118, EventsAll[Date], EventsAll[Event]),"")</f>
        <v/>
      </c>
      <c r="K118" s="4" t="str" cm="1">
        <f t="array" ref="K118">IF(SUMPRODUCT((A118&gt;=SchoolHols[Start])*(A118&lt;=SchoolHols[End]))&gt;0,"Y","N")</f>
        <v>N</v>
      </c>
    </row>
    <row r="119" spans="1:11">
      <c r="A119" s="6">
        <f t="shared" si="11"/>
        <v>43218</v>
      </c>
      <c r="B119" s="4" t="str">
        <f t="shared" si="6"/>
        <v>28</v>
      </c>
      <c r="C119" s="4" t="str">
        <f t="shared" si="7"/>
        <v>04</v>
      </c>
      <c r="D119" s="4" t="str">
        <f t="shared" si="8"/>
        <v>2018</v>
      </c>
      <c r="E119" s="3" t="str">
        <f t="shared" si="9"/>
        <v>Saturday</v>
      </c>
      <c r="F119" s="4" t="str">
        <f t="shared" si="10"/>
        <v>N</v>
      </c>
      <c r="G119" s="4" t="str">
        <f>IF(COUNTIF(PublicHols[Date], A119)&gt;0, "Y", "N")</f>
        <v>N</v>
      </c>
      <c r="H119" s="3" t="str">
        <f>IFERROR(_xlfn.XLOOKUP(A119, PublicHols[Date], PublicHols[PH_Name]),"")</f>
        <v/>
      </c>
      <c r="I119" s="4" t="str">
        <f>IF(COUNTIF(EventsAll[Date], A119)&gt;0, "Y", "N")</f>
        <v>N</v>
      </c>
      <c r="J119" s="11" t="str">
        <f>IFERROR(_xlfn.XLOOKUP(A119, EventsAll[Date], EventsAll[Event]),"")</f>
        <v/>
      </c>
      <c r="K119" s="4" t="str" cm="1">
        <f t="array" ref="K119">IF(SUMPRODUCT((A119&gt;=SchoolHols[Start])*(A119&lt;=SchoolHols[End]))&gt;0,"Y","N")</f>
        <v>N</v>
      </c>
    </row>
    <row r="120" spans="1:11">
      <c r="A120" s="6">
        <f t="shared" si="11"/>
        <v>43219</v>
      </c>
      <c r="B120" s="4" t="str">
        <f t="shared" si="6"/>
        <v>29</v>
      </c>
      <c r="C120" s="4" t="str">
        <f t="shared" si="7"/>
        <v>04</v>
      </c>
      <c r="D120" s="4" t="str">
        <f t="shared" si="8"/>
        <v>2018</v>
      </c>
      <c r="E120" s="3" t="str">
        <f t="shared" si="9"/>
        <v>Sunday</v>
      </c>
      <c r="F120" s="4" t="str">
        <f t="shared" si="10"/>
        <v>Y</v>
      </c>
      <c r="G120" s="4" t="str">
        <f>IF(COUNTIF(PublicHols[Date], A120)&gt;0, "Y", "N")</f>
        <v>N</v>
      </c>
      <c r="H120" s="3" t="str">
        <f>IFERROR(_xlfn.XLOOKUP(A120, PublicHols[Date], PublicHols[PH_Name]),"")</f>
        <v/>
      </c>
      <c r="I120" s="4" t="str">
        <f>IF(COUNTIF(EventsAll[Date], A120)&gt;0, "Y", "N")</f>
        <v>N</v>
      </c>
      <c r="J120" s="11" t="str">
        <f>IFERROR(_xlfn.XLOOKUP(A120, EventsAll[Date], EventsAll[Event]),"")</f>
        <v/>
      </c>
      <c r="K120" s="4" t="str" cm="1">
        <f t="array" ref="K120">IF(SUMPRODUCT((A120&gt;=SchoolHols[Start])*(A120&lt;=SchoolHols[End]))&gt;0,"Y","N")</f>
        <v>N</v>
      </c>
    </row>
    <row r="121" spans="1:11">
      <c r="A121" s="6">
        <f t="shared" si="11"/>
        <v>43220</v>
      </c>
      <c r="B121" s="4" t="str">
        <f t="shared" si="6"/>
        <v>30</v>
      </c>
      <c r="C121" s="4" t="str">
        <f t="shared" si="7"/>
        <v>04</v>
      </c>
      <c r="D121" s="4" t="str">
        <f t="shared" si="8"/>
        <v>2018</v>
      </c>
      <c r="E121" s="3" t="str">
        <f t="shared" si="9"/>
        <v>Monday</v>
      </c>
      <c r="F121" s="4" t="str">
        <f t="shared" si="10"/>
        <v>N</v>
      </c>
      <c r="G121" s="4" t="str">
        <f>IF(COUNTIF(PublicHols[Date], A121)&gt;0, "Y", "N")</f>
        <v>N</v>
      </c>
      <c r="H121" s="3" t="str">
        <f>IFERROR(_xlfn.XLOOKUP(A121, PublicHols[Date], PublicHols[PH_Name]),"")</f>
        <v/>
      </c>
      <c r="I121" s="4" t="str">
        <f>IF(COUNTIF(EventsAll[Date], A121)&gt;0, "Y", "N")</f>
        <v>N</v>
      </c>
      <c r="J121" s="11" t="str">
        <f>IFERROR(_xlfn.XLOOKUP(A121, EventsAll[Date], EventsAll[Event]),"")</f>
        <v/>
      </c>
      <c r="K121" s="4" t="str" cm="1">
        <f t="array" ref="K121">IF(SUMPRODUCT((A121&gt;=SchoolHols[Start])*(A121&lt;=SchoolHols[End]))&gt;0,"Y","N")</f>
        <v>N</v>
      </c>
    </row>
    <row r="122" spans="1:11">
      <c r="A122" s="6">
        <f t="shared" si="11"/>
        <v>43221</v>
      </c>
      <c r="B122" s="4" t="str">
        <f t="shared" si="6"/>
        <v>01</v>
      </c>
      <c r="C122" s="4" t="str">
        <f t="shared" si="7"/>
        <v>05</v>
      </c>
      <c r="D122" s="4" t="str">
        <f t="shared" si="8"/>
        <v>2018</v>
      </c>
      <c r="E122" s="3" t="str">
        <f t="shared" si="9"/>
        <v>Tuesday</v>
      </c>
      <c r="F122" s="4" t="str">
        <f t="shared" si="10"/>
        <v>N</v>
      </c>
      <c r="G122" s="4" t="str">
        <f>IF(COUNTIF(PublicHols[Date], A122)&gt;0, "Y", "N")</f>
        <v>Y</v>
      </c>
      <c r="H122" s="3" t="str">
        <f>IFERROR(_xlfn.XLOOKUP(A122, PublicHols[Date], PublicHols[PH_Name]),"")</f>
        <v>Workers' Day</v>
      </c>
      <c r="I122" s="4" t="str">
        <f>IF(COUNTIF(EventsAll[Date], A122)&gt;0, "Y", "N")</f>
        <v>N</v>
      </c>
      <c r="J122" s="11" t="str">
        <f>IFERROR(_xlfn.XLOOKUP(A122, EventsAll[Date], EventsAll[Event]),"")</f>
        <v/>
      </c>
      <c r="K122" s="4" t="str" cm="1">
        <f t="array" ref="K122">IF(SUMPRODUCT((A122&gt;=SchoolHols[Start])*(A122&lt;=SchoolHols[End]))&gt;0,"Y","N")</f>
        <v>N</v>
      </c>
    </row>
    <row r="123" spans="1:11">
      <c r="A123" s="6">
        <f t="shared" si="11"/>
        <v>43222</v>
      </c>
      <c r="B123" s="4" t="str">
        <f t="shared" si="6"/>
        <v>02</v>
      </c>
      <c r="C123" s="4" t="str">
        <f t="shared" si="7"/>
        <v>05</v>
      </c>
      <c r="D123" s="4" t="str">
        <f t="shared" si="8"/>
        <v>2018</v>
      </c>
      <c r="E123" s="3" t="str">
        <f t="shared" si="9"/>
        <v>Wednesday</v>
      </c>
      <c r="F123" s="4" t="str">
        <f t="shared" si="10"/>
        <v>N</v>
      </c>
      <c r="G123" s="4" t="str">
        <f>IF(COUNTIF(PublicHols[Date], A123)&gt;0, "Y", "N")</f>
        <v>N</v>
      </c>
      <c r="H123" s="3" t="str">
        <f>IFERROR(_xlfn.XLOOKUP(A123, PublicHols[Date], PublicHols[PH_Name]),"")</f>
        <v/>
      </c>
      <c r="I123" s="4" t="str">
        <f>IF(COUNTIF(EventsAll[Date], A123)&gt;0, "Y", "N")</f>
        <v>N</v>
      </c>
      <c r="J123" s="11" t="str">
        <f>IFERROR(_xlfn.XLOOKUP(A123, EventsAll[Date], EventsAll[Event]),"")</f>
        <v/>
      </c>
      <c r="K123" s="4" t="str" cm="1">
        <f t="array" ref="K123">IF(SUMPRODUCT((A123&gt;=SchoolHols[Start])*(A123&lt;=SchoolHols[End]))&gt;0,"Y","N")</f>
        <v>N</v>
      </c>
    </row>
    <row r="124" spans="1:11">
      <c r="A124" s="6">
        <f t="shared" si="11"/>
        <v>43223</v>
      </c>
      <c r="B124" s="4" t="str">
        <f t="shared" si="6"/>
        <v>03</v>
      </c>
      <c r="C124" s="4" t="str">
        <f t="shared" si="7"/>
        <v>05</v>
      </c>
      <c r="D124" s="4" t="str">
        <f t="shared" si="8"/>
        <v>2018</v>
      </c>
      <c r="E124" s="3" t="str">
        <f t="shared" si="9"/>
        <v>Thursday</v>
      </c>
      <c r="F124" s="4" t="str">
        <f t="shared" si="10"/>
        <v>N</v>
      </c>
      <c r="G124" s="4" t="str">
        <f>IF(COUNTIF(PublicHols[Date], A124)&gt;0, "Y", "N")</f>
        <v>N</v>
      </c>
      <c r="H124" s="3" t="str">
        <f>IFERROR(_xlfn.XLOOKUP(A124, PublicHols[Date], PublicHols[PH_Name]),"")</f>
        <v/>
      </c>
      <c r="I124" s="4" t="str">
        <f>IF(COUNTIF(EventsAll[Date], A124)&gt;0, "Y", "N")</f>
        <v>N</v>
      </c>
      <c r="J124" s="11" t="str">
        <f>IFERROR(_xlfn.XLOOKUP(A124, EventsAll[Date], EventsAll[Event]),"")</f>
        <v/>
      </c>
      <c r="K124" s="4" t="str" cm="1">
        <f t="array" ref="K124">IF(SUMPRODUCT((A124&gt;=SchoolHols[Start])*(A124&lt;=SchoolHols[End]))&gt;0,"Y","N")</f>
        <v>N</v>
      </c>
    </row>
    <row r="125" spans="1:11">
      <c r="A125" s="6">
        <f t="shared" si="11"/>
        <v>43224</v>
      </c>
      <c r="B125" s="4" t="str">
        <f t="shared" si="6"/>
        <v>04</v>
      </c>
      <c r="C125" s="4" t="str">
        <f t="shared" si="7"/>
        <v>05</v>
      </c>
      <c r="D125" s="4" t="str">
        <f t="shared" si="8"/>
        <v>2018</v>
      </c>
      <c r="E125" s="3" t="str">
        <f t="shared" si="9"/>
        <v>Friday</v>
      </c>
      <c r="F125" s="4" t="str">
        <f t="shared" si="10"/>
        <v>N</v>
      </c>
      <c r="G125" s="4" t="str">
        <f>IF(COUNTIF(PublicHols[Date], A125)&gt;0, "Y", "N")</f>
        <v>N</v>
      </c>
      <c r="H125" s="3" t="str">
        <f>IFERROR(_xlfn.XLOOKUP(A125, PublicHols[Date], PublicHols[PH_Name]),"")</f>
        <v/>
      </c>
      <c r="I125" s="4" t="str">
        <f>IF(COUNTIF(EventsAll[Date], A125)&gt;0, "Y", "N")</f>
        <v>N</v>
      </c>
      <c r="J125" s="11" t="str">
        <f>IFERROR(_xlfn.XLOOKUP(A125, EventsAll[Date], EventsAll[Event]),"")</f>
        <v/>
      </c>
      <c r="K125" s="4" t="str" cm="1">
        <f t="array" ref="K125">IF(SUMPRODUCT((A125&gt;=SchoolHols[Start])*(A125&lt;=SchoolHols[End]))&gt;0,"Y","N")</f>
        <v>N</v>
      </c>
    </row>
    <row r="126" spans="1:11">
      <c r="A126" s="6">
        <f t="shared" si="11"/>
        <v>43225</v>
      </c>
      <c r="B126" s="4" t="str">
        <f t="shared" si="6"/>
        <v>05</v>
      </c>
      <c r="C126" s="4" t="str">
        <f t="shared" si="7"/>
        <v>05</v>
      </c>
      <c r="D126" s="4" t="str">
        <f t="shared" si="8"/>
        <v>2018</v>
      </c>
      <c r="E126" s="3" t="str">
        <f t="shared" si="9"/>
        <v>Saturday</v>
      </c>
      <c r="F126" s="4" t="str">
        <f t="shared" si="10"/>
        <v>N</v>
      </c>
      <c r="G126" s="4" t="str">
        <f>IF(COUNTIF(PublicHols[Date], A126)&gt;0, "Y", "N")</f>
        <v>N</v>
      </c>
      <c r="H126" s="3" t="str">
        <f>IFERROR(_xlfn.XLOOKUP(A126, PublicHols[Date], PublicHols[PH_Name]),"")</f>
        <v/>
      </c>
      <c r="I126" s="4" t="str">
        <f>IF(COUNTIF(EventsAll[Date], A126)&gt;0, "Y", "N")</f>
        <v>N</v>
      </c>
      <c r="J126" s="11" t="str">
        <f>IFERROR(_xlfn.XLOOKUP(A126, EventsAll[Date], EventsAll[Event]),"")</f>
        <v/>
      </c>
      <c r="K126" s="4" t="str" cm="1">
        <f t="array" ref="K126">IF(SUMPRODUCT((A126&gt;=SchoolHols[Start])*(A126&lt;=SchoolHols[End]))&gt;0,"Y","N")</f>
        <v>N</v>
      </c>
    </row>
    <row r="127" spans="1:11">
      <c r="A127" s="6">
        <f t="shared" si="11"/>
        <v>43226</v>
      </c>
      <c r="B127" s="4" t="str">
        <f t="shared" si="6"/>
        <v>06</v>
      </c>
      <c r="C127" s="4" t="str">
        <f t="shared" si="7"/>
        <v>05</v>
      </c>
      <c r="D127" s="4" t="str">
        <f t="shared" si="8"/>
        <v>2018</v>
      </c>
      <c r="E127" s="3" t="str">
        <f t="shared" si="9"/>
        <v>Sunday</v>
      </c>
      <c r="F127" s="4" t="str">
        <f t="shared" si="10"/>
        <v>Y</v>
      </c>
      <c r="G127" s="4" t="str">
        <f>IF(COUNTIF(PublicHols[Date], A127)&gt;0, "Y", "N")</f>
        <v>N</v>
      </c>
      <c r="H127" s="3" t="str">
        <f>IFERROR(_xlfn.XLOOKUP(A127, PublicHols[Date], PublicHols[PH_Name]),"")</f>
        <v/>
      </c>
      <c r="I127" s="4" t="str">
        <f>IF(COUNTIF(EventsAll[Date], A127)&gt;0, "Y", "N")</f>
        <v>N</v>
      </c>
      <c r="J127" s="11" t="str">
        <f>IFERROR(_xlfn.XLOOKUP(A127, EventsAll[Date], EventsAll[Event]),"")</f>
        <v/>
      </c>
      <c r="K127" s="4" t="str" cm="1">
        <f t="array" ref="K127">IF(SUMPRODUCT((A127&gt;=SchoolHols[Start])*(A127&lt;=SchoolHols[End]))&gt;0,"Y","N")</f>
        <v>N</v>
      </c>
    </row>
    <row r="128" spans="1:11">
      <c r="A128" s="6">
        <f t="shared" si="11"/>
        <v>43227</v>
      </c>
      <c r="B128" s="4" t="str">
        <f t="shared" si="6"/>
        <v>07</v>
      </c>
      <c r="C128" s="4" t="str">
        <f t="shared" si="7"/>
        <v>05</v>
      </c>
      <c r="D128" s="4" t="str">
        <f t="shared" si="8"/>
        <v>2018</v>
      </c>
      <c r="E128" s="3" t="str">
        <f t="shared" si="9"/>
        <v>Monday</v>
      </c>
      <c r="F128" s="4" t="str">
        <f t="shared" si="10"/>
        <v>N</v>
      </c>
      <c r="G128" s="4" t="str">
        <f>IF(COUNTIF(PublicHols[Date], A128)&gt;0, "Y", "N")</f>
        <v>N</v>
      </c>
      <c r="H128" s="3" t="str">
        <f>IFERROR(_xlfn.XLOOKUP(A128, PublicHols[Date], PublicHols[PH_Name]),"")</f>
        <v/>
      </c>
      <c r="I128" s="4" t="str">
        <f>IF(COUNTIF(EventsAll[Date], A128)&gt;0, "Y", "N")</f>
        <v>N</v>
      </c>
      <c r="J128" s="11" t="str">
        <f>IFERROR(_xlfn.XLOOKUP(A128, EventsAll[Date], EventsAll[Event]),"")</f>
        <v/>
      </c>
      <c r="K128" s="4" t="str" cm="1">
        <f t="array" ref="K128">IF(SUMPRODUCT((A128&gt;=SchoolHols[Start])*(A128&lt;=SchoolHols[End]))&gt;0,"Y","N")</f>
        <v>N</v>
      </c>
    </row>
    <row r="129" spans="1:11">
      <c r="A129" s="6">
        <f t="shared" si="11"/>
        <v>43228</v>
      </c>
      <c r="B129" s="4" t="str">
        <f t="shared" si="6"/>
        <v>08</v>
      </c>
      <c r="C129" s="4" t="str">
        <f t="shared" si="7"/>
        <v>05</v>
      </c>
      <c r="D129" s="4" t="str">
        <f t="shared" si="8"/>
        <v>2018</v>
      </c>
      <c r="E129" s="3" t="str">
        <f t="shared" si="9"/>
        <v>Tuesday</v>
      </c>
      <c r="F129" s="4" t="str">
        <f t="shared" si="10"/>
        <v>N</v>
      </c>
      <c r="G129" s="4" t="str">
        <f>IF(COUNTIF(PublicHols[Date], A129)&gt;0, "Y", "N")</f>
        <v>N</v>
      </c>
      <c r="H129" s="3" t="str">
        <f>IFERROR(_xlfn.XLOOKUP(A129, PublicHols[Date], PublicHols[PH_Name]),"")</f>
        <v/>
      </c>
      <c r="I129" s="4" t="str">
        <f>IF(COUNTIF(EventsAll[Date], A129)&gt;0, "Y", "N")</f>
        <v>N</v>
      </c>
      <c r="J129" s="11" t="str">
        <f>IFERROR(_xlfn.XLOOKUP(A129, EventsAll[Date], EventsAll[Event]),"")</f>
        <v/>
      </c>
      <c r="K129" s="4" t="str" cm="1">
        <f t="array" ref="K129">IF(SUMPRODUCT((A129&gt;=SchoolHols[Start])*(A129&lt;=SchoolHols[End]))&gt;0,"Y","N")</f>
        <v>N</v>
      </c>
    </row>
    <row r="130" spans="1:11">
      <c r="A130" s="6">
        <f t="shared" si="11"/>
        <v>43229</v>
      </c>
      <c r="B130" s="4" t="str">
        <f t="shared" si="6"/>
        <v>09</v>
      </c>
      <c r="C130" s="4" t="str">
        <f t="shared" si="7"/>
        <v>05</v>
      </c>
      <c r="D130" s="4" t="str">
        <f t="shared" si="8"/>
        <v>2018</v>
      </c>
      <c r="E130" s="3" t="str">
        <f t="shared" si="9"/>
        <v>Wednesday</v>
      </c>
      <c r="F130" s="4" t="str">
        <f t="shared" si="10"/>
        <v>N</v>
      </c>
      <c r="G130" s="4" t="str">
        <f>IF(COUNTIF(PublicHols[Date], A130)&gt;0, "Y", "N")</f>
        <v>N</v>
      </c>
      <c r="H130" s="3" t="str">
        <f>IFERROR(_xlfn.XLOOKUP(A130, PublicHols[Date], PublicHols[PH_Name]),"")</f>
        <v/>
      </c>
      <c r="I130" s="4" t="str">
        <f>IF(COUNTIF(EventsAll[Date], A130)&gt;0, "Y", "N")</f>
        <v>N</v>
      </c>
      <c r="J130" s="11" t="str">
        <f>IFERROR(_xlfn.XLOOKUP(A130, EventsAll[Date], EventsAll[Event]),"")</f>
        <v/>
      </c>
      <c r="K130" s="4" t="str" cm="1">
        <f t="array" ref="K130">IF(SUMPRODUCT((A130&gt;=SchoolHols[Start])*(A130&lt;=SchoolHols[End]))&gt;0,"Y","N")</f>
        <v>N</v>
      </c>
    </row>
    <row r="131" spans="1:11">
      <c r="A131" s="6">
        <f t="shared" si="11"/>
        <v>43230</v>
      </c>
      <c r="B131" s="4" t="str">
        <f t="shared" ref="B131:B194" si="12">TEXT($A131, "dd")</f>
        <v>10</v>
      </c>
      <c r="C131" s="4" t="str">
        <f t="shared" ref="C131:C194" si="13">TEXT($A131, "mm")</f>
        <v>05</v>
      </c>
      <c r="D131" s="4" t="str">
        <f t="shared" ref="D131:D194" si="14">TEXT($A131, "yyyy")</f>
        <v>2018</v>
      </c>
      <c r="E131" s="3" t="str">
        <f t="shared" ref="E131:E194" si="15">TEXT($A131, "dddd")</f>
        <v>Thursday</v>
      </c>
      <c r="F131" s="4" t="str">
        <f t="shared" ref="F131:F194" si="16">IF($E131="Sunday", "Y", "N")</f>
        <v>N</v>
      </c>
      <c r="G131" s="4" t="str">
        <f>IF(COUNTIF(PublicHols[Date], A131)&gt;0, "Y", "N")</f>
        <v>N</v>
      </c>
      <c r="H131" s="3" t="str">
        <f>IFERROR(_xlfn.XLOOKUP(A131, PublicHols[Date], PublicHols[PH_Name]),"")</f>
        <v/>
      </c>
      <c r="I131" s="4" t="str">
        <f>IF(COUNTIF(EventsAll[Date], A131)&gt;0, "Y", "N")</f>
        <v>N</v>
      </c>
      <c r="J131" s="11" t="str">
        <f>IFERROR(_xlfn.XLOOKUP(A131, EventsAll[Date], EventsAll[Event]),"")</f>
        <v/>
      </c>
      <c r="K131" s="4" t="str" cm="1">
        <f t="array" ref="K131">IF(SUMPRODUCT((A131&gt;=SchoolHols[Start])*(A131&lt;=SchoolHols[End]))&gt;0,"Y","N")</f>
        <v>N</v>
      </c>
    </row>
    <row r="132" spans="1:11">
      <c r="A132" s="6">
        <f t="shared" ref="A132:A195" si="17">$A131+1</f>
        <v>43231</v>
      </c>
      <c r="B132" s="4" t="str">
        <f t="shared" si="12"/>
        <v>11</v>
      </c>
      <c r="C132" s="4" t="str">
        <f t="shared" si="13"/>
        <v>05</v>
      </c>
      <c r="D132" s="4" t="str">
        <f t="shared" si="14"/>
        <v>2018</v>
      </c>
      <c r="E132" s="3" t="str">
        <f t="shared" si="15"/>
        <v>Friday</v>
      </c>
      <c r="F132" s="4" t="str">
        <f t="shared" si="16"/>
        <v>N</v>
      </c>
      <c r="G132" s="4" t="str">
        <f>IF(COUNTIF(PublicHols[Date], A132)&gt;0, "Y", "N")</f>
        <v>N</v>
      </c>
      <c r="H132" s="3" t="str">
        <f>IFERROR(_xlfn.XLOOKUP(A132, PublicHols[Date], PublicHols[PH_Name]),"")</f>
        <v/>
      </c>
      <c r="I132" s="4" t="str">
        <f>IF(COUNTIF(EventsAll[Date], A132)&gt;0, "Y", "N")</f>
        <v>N</v>
      </c>
      <c r="J132" s="11" t="str">
        <f>IFERROR(_xlfn.XLOOKUP(A132, EventsAll[Date], EventsAll[Event]),"")</f>
        <v/>
      </c>
      <c r="K132" s="4" t="str" cm="1">
        <f t="array" ref="K132">IF(SUMPRODUCT((A132&gt;=SchoolHols[Start])*(A132&lt;=SchoolHols[End]))&gt;0,"Y","N")</f>
        <v>N</v>
      </c>
    </row>
    <row r="133" spans="1:11">
      <c r="A133" s="6">
        <f t="shared" si="17"/>
        <v>43232</v>
      </c>
      <c r="B133" s="4" t="str">
        <f t="shared" si="12"/>
        <v>12</v>
      </c>
      <c r="C133" s="4" t="str">
        <f t="shared" si="13"/>
        <v>05</v>
      </c>
      <c r="D133" s="4" t="str">
        <f t="shared" si="14"/>
        <v>2018</v>
      </c>
      <c r="E133" s="3" t="str">
        <f t="shared" si="15"/>
        <v>Saturday</v>
      </c>
      <c r="F133" s="4" t="str">
        <f t="shared" si="16"/>
        <v>N</v>
      </c>
      <c r="G133" s="4" t="str">
        <f>IF(COUNTIF(PublicHols[Date], A133)&gt;0, "Y", "N")</f>
        <v>N</v>
      </c>
      <c r="H133" s="3" t="str">
        <f>IFERROR(_xlfn.XLOOKUP(A133, PublicHols[Date], PublicHols[PH_Name]),"")</f>
        <v/>
      </c>
      <c r="I133" s="4" t="str">
        <f>IF(COUNTIF(EventsAll[Date], A133)&gt;0, "Y", "N")</f>
        <v>N</v>
      </c>
      <c r="J133" s="11" t="str">
        <f>IFERROR(_xlfn.XLOOKUP(A133, EventsAll[Date], EventsAll[Event]),"")</f>
        <v/>
      </c>
      <c r="K133" s="4" t="str" cm="1">
        <f t="array" ref="K133">IF(SUMPRODUCT((A133&gt;=SchoolHols[Start])*(A133&lt;=SchoolHols[End]))&gt;0,"Y","N")</f>
        <v>N</v>
      </c>
    </row>
    <row r="134" spans="1:11">
      <c r="A134" s="6">
        <f t="shared" si="17"/>
        <v>43233</v>
      </c>
      <c r="B134" s="4" t="str">
        <f t="shared" si="12"/>
        <v>13</v>
      </c>
      <c r="C134" s="4" t="str">
        <f t="shared" si="13"/>
        <v>05</v>
      </c>
      <c r="D134" s="4" t="str">
        <f t="shared" si="14"/>
        <v>2018</v>
      </c>
      <c r="E134" s="3" t="str">
        <f t="shared" si="15"/>
        <v>Sunday</v>
      </c>
      <c r="F134" s="4" t="str">
        <f t="shared" si="16"/>
        <v>Y</v>
      </c>
      <c r="G134" s="4" t="str">
        <f>IF(COUNTIF(PublicHols[Date], A134)&gt;0, "Y", "N")</f>
        <v>N</v>
      </c>
      <c r="H134" s="3" t="str">
        <f>IFERROR(_xlfn.XLOOKUP(A134, PublicHols[Date], PublicHols[PH_Name]),"")</f>
        <v/>
      </c>
      <c r="I134" s="4" t="str">
        <f>IF(COUNTIF(EventsAll[Date], A134)&gt;0, "Y", "N")</f>
        <v>Y</v>
      </c>
      <c r="J134" s="11" t="str">
        <f>IFERROR(_xlfn.XLOOKUP(A134, EventsAll[Date], EventsAll[Event]),"")</f>
        <v xml:space="preserve"> Mother's Day</v>
      </c>
      <c r="K134" s="4" t="str" cm="1">
        <f t="array" ref="K134">IF(SUMPRODUCT((A134&gt;=SchoolHols[Start])*(A134&lt;=SchoolHols[End]))&gt;0,"Y","N")</f>
        <v>N</v>
      </c>
    </row>
    <row r="135" spans="1:11">
      <c r="A135" s="6">
        <f t="shared" si="17"/>
        <v>43234</v>
      </c>
      <c r="B135" s="4" t="str">
        <f t="shared" si="12"/>
        <v>14</v>
      </c>
      <c r="C135" s="4" t="str">
        <f t="shared" si="13"/>
        <v>05</v>
      </c>
      <c r="D135" s="4" t="str">
        <f t="shared" si="14"/>
        <v>2018</v>
      </c>
      <c r="E135" s="3" t="str">
        <f t="shared" si="15"/>
        <v>Monday</v>
      </c>
      <c r="F135" s="4" t="str">
        <f t="shared" si="16"/>
        <v>N</v>
      </c>
      <c r="G135" s="4" t="str">
        <f>IF(COUNTIF(PublicHols[Date], A135)&gt;0, "Y", "N")</f>
        <v>N</v>
      </c>
      <c r="H135" s="3" t="str">
        <f>IFERROR(_xlfn.XLOOKUP(A135, PublicHols[Date], PublicHols[PH_Name]),"")</f>
        <v/>
      </c>
      <c r="I135" s="4" t="str">
        <f>IF(COUNTIF(EventsAll[Date], A135)&gt;0, "Y", "N")</f>
        <v>N</v>
      </c>
      <c r="J135" s="11" t="str">
        <f>IFERROR(_xlfn.XLOOKUP(A135, EventsAll[Date], EventsAll[Event]),"")</f>
        <v/>
      </c>
      <c r="K135" s="4" t="str" cm="1">
        <f t="array" ref="K135">IF(SUMPRODUCT((A135&gt;=SchoolHols[Start])*(A135&lt;=SchoolHols[End]))&gt;0,"Y","N")</f>
        <v>N</v>
      </c>
    </row>
    <row r="136" spans="1:11">
      <c r="A136" s="6">
        <f t="shared" si="17"/>
        <v>43235</v>
      </c>
      <c r="B136" s="4" t="str">
        <f t="shared" si="12"/>
        <v>15</v>
      </c>
      <c r="C136" s="4" t="str">
        <f t="shared" si="13"/>
        <v>05</v>
      </c>
      <c r="D136" s="4" t="str">
        <f t="shared" si="14"/>
        <v>2018</v>
      </c>
      <c r="E136" s="3" t="str">
        <f t="shared" si="15"/>
        <v>Tuesday</v>
      </c>
      <c r="F136" s="4" t="str">
        <f t="shared" si="16"/>
        <v>N</v>
      </c>
      <c r="G136" s="4" t="str">
        <f>IF(COUNTIF(PublicHols[Date], A136)&gt;0, "Y", "N")</f>
        <v>N</v>
      </c>
      <c r="H136" s="3" t="str">
        <f>IFERROR(_xlfn.XLOOKUP(A136, PublicHols[Date], PublicHols[PH_Name]),"")</f>
        <v/>
      </c>
      <c r="I136" s="4" t="str">
        <f>IF(COUNTIF(EventsAll[Date], A136)&gt;0, "Y", "N")</f>
        <v>N</v>
      </c>
      <c r="J136" s="11" t="str">
        <f>IFERROR(_xlfn.XLOOKUP(A136, EventsAll[Date], EventsAll[Event]),"")</f>
        <v/>
      </c>
      <c r="K136" s="4" t="str" cm="1">
        <f t="array" ref="K136">IF(SUMPRODUCT((A136&gt;=SchoolHols[Start])*(A136&lt;=SchoolHols[End]))&gt;0,"Y","N")</f>
        <v>N</v>
      </c>
    </row>
    <row r="137" spans="1:11">
      <c r="A137" s="6">
        <f t="shared" si="17"/>
        <v>43236</v>
      </c>
      <c r="B137" s="4" t="str">
        <f t="shared" si="12"/>
        <v>16</v>
      </c>
      <c r="C137" s="4" t="str">
        <f t="shared" si="13"/>
        <v>05</v>
      </c>
      <c r="D137" s="4" t="str">
        <f t="shared" si="14"/>
        <v>2018</v>
      </c>
      <c r="E137" s="3" t="str">
        <f t="shared" si="15"/>
        <v>Wednesday</v>
      </c>
      <c r="F137" s="4" t="str">
        <f t="shared" si="16"/>
        <v>N</v>
      </c>
      <c r="G137" s="4" t="str">
        <f>IF(COUNTIF(PublicHols[Date], A137)&gt;0, "Y", "N")</f>
        <v>N</v>
      </c>
      <c r="H137" s="3" t="str">
        <f>IFERROR(_xlfn.XLOOKUP(A137, PublicHols[Date], PublicHols[PH_Name]),"")</f>
        <v/>
      </c>
      <c r="I137" s="4" t="str">
        <f>IF(COUNTIF(EventsAll[Date], A137)&gt;0, "Y", "N")</f>
        <v>N</v>
      </c>
      <c r="J137" s="11" t="str">
        <f>IFERROR(_xlfn.XLOOKUP(A137, EventsAll[Date], EventsAll[Event]),"")</f>
        <v/>
      </c>
      <c r="K137" s="4" t="str" cm="1">
        <f t="array" ref="K137">IF(SUMPRODUCT((A137&gt;=SchoolHols[Start])*(A137&lt;=SchoolHols[End]))&gt;0,"Y","N")</f>
        <v>N</v>
      </c>
    </row>
    <row r="138" spans="1:11">
      <c r="A138" s="6">
        <f t="shared" si="17"/>
        <v>43237</v>
      </c>
      <c r="B138" s="4" t="str">
        <f t="shared" si="12"/>
        <v>17</v>
      </c>
      <c r="C138" s="4" t="str">
        <f t="shared" si="13"/>
        <v>05</v>
      </c>
      <c r="D138" s="4" t="str">
        <f t="shared" si="14"/>
        <v>2018</v>
      </c>
      <c r="E138" s="3" t="str">
        <f t="shared" si="15"/>
        <v>Thursday</v>
      </c>
      <c r="F138" s="4" t="str">
        <f t="shared" si="16"/>
        <v>N</v>
      </c>
      <c r="G138" s="4" t="str">
        <f>IF(COUNTIF(PublicHols[Date], A138)&gt;0, "Y", "N")</f>
        <v>N</v>
      </c>
      <c r="H138" s="3" t="str">
        <f>IFERROR(_xlfn.XLOOKUP(A138, PublicHols[Date], PublicHols[PH_Name]),"")</f>
        <v/>
      </c>
      <c r="I138" s="4" t="str">
        <f>IF(COUNTIF(EventsAll[Date], A138)&gt;0, "Y", "N")</f>
        <v>N</v>
      </c>
      <c r="J138" s="11" t="str">
        <f>IFERROR(_xlfn.XLOOKUP(A138, EventsAll[Date], EventsAll[Event]),"")</f>
        <v/>
      </c>
      <c r="K138" s="4" t="str" cm="1">
        <f t="array" ref="K138">IF(SUMPRODUCT((A138&gt;=SchoolHols[Start])*(A138&lt;=SchoolHols[End]))&gt;0,"Y","N")</f>
        <v>N</v>
      </c>
    </row>
    <row r="139" spans="1:11">
      <c r="A139" s="6">
        <f t="shared" si="17"/>
        <v>43238</v>
      </c>
      <c r="B139" s="4" t="str">
        <f t="shared" si="12"/>
        <v>18</v>
      </c>
      <c r="C139" s="4" t="str">
        <f t="shared" si="13"/>
        <v>05</v>
      </c>
      <c r="D139" s="4" t="str">
        <f t="shared" si="14"/>
        <v>2018</v>
      </c>
      <c r="E139" s="3" t="str">
        <f t="shared" si="15"/>
        <v>Friday</v>
      </c>
      <c r="F139" s="4" t="str">
        <f t="shared" si="16"/>
        <v>N</v>
      </c>
      <c r="G139" s="4" t="str">
        <f>IF(COUNTIF(PublicHols[Date], A139)&gt;0, "Y", "N")</f>
        <v>N</v>
      </c>
      <c r="H139" s="3" t="str">
        <f>IFERROR(_xlfn.XLOOKUP(A139, PublicHols[Date], PublicHols[PH_Name]),"")</f>
        <v/>
      </c>
      <c r="I139" s="4" t="str">
        <f>IF(COUNTIF(EventsAll[Date], A139)&gt;0, "Y", "N")</f>
        <v>N</v>
      </c>
      <c r="J139" s="11" t="str">
        <f>IFERROR(_xlfn.XLOOKUP(A139, EventsAll[Date], EventsAll[Event]),"")</f>
        <v/>
      </c>
      <c r="K139" s="4" t="str" cm="1">
        <f t="array" ref="K139">IF(SUMPRODUCT((A139&gt;=SchoolHols[Start])*(A139&lt;=SchoolHols[End]))&gt;0,"Y","N")</f>
        <v>N</v>
      </c>
    </row>
    <row r="140" spans="1:11">
      <c r="A140" s="6">
        <f t="shared" si="17"/>
        <v>43239</v>
      </c>
      <c r="B140" s="4" t="str">
        <f t="shared" si="12"/>
        <v>19</v>
      </c>
      <c r="C140" s="4" t="str">
        <f t="shared" si="13"/>
        <v>05</v>
      </c>
      <c r="D140" s="4" t="str">
        <f t="shared" si="14"/>
        <v>2018</v>
      </c>
      <c r="E140" s="3" t="str">
        <f t="shared" si="15"/>
        <v>Saturday</v>
      </c>
      <c r="F140" s="4" t="str">
        <f t="shared" si="16"/>
        <v>N</v>
      </c>
      <c r="G140" s="4" t="str">
        <f>IF(COUNTIF(PublicHols[Date], A140)&gt;0, "Y", "N")</f>
        <v>N</v>
      </c>
      <c r="H140" s="3" t="str">
        <f>IFERROR(_xlfn.XLOOKUP(A140, PublicHols[Date], PublicHols[PH_Name]),"")</f>
        <v/>
      </c>
      <c r="I140" s="4" t="str">
        <f>IF(COUNTIF(EventsAll[Date], A140)&gt;0, "Y", "N")</f>
        <v>N</v>
      </c>
      <c r="J140" s="11" t="str">
        <f>IFERROR(_xlfn.XLOOKUP(A140, EventsAll[Date], EventsAll[Event]),"")</f>
        <v/>
      </c>
      <c r="K140" s="4" t="str" cm="1">
        <f t="array" ref="K140">IF(SUMPRODUCT((A140&gt;=SchoolHols[Start])*(A140&lt;=SchoolHols[End]))&gt;0,"Y","N")</f>
        <v>N</v>
      </c>
    </row>
    <row r="141" spans="1:11">
      <c r="A141" s="6">
        <f t="shared" si="17"/>
        <v>43240</v>
      </c>
      <c r="B141" s="4" t="str">
        <f t="shared" si="12"/>
        <v>20</v>
      </c>
      <c r="C141" s="4" t="str">
        <f t="shared" si="13"/>
        <v>05</v>
      </c>
      <c r="D141" s="4" t="str">
        <f t="shared" si="14"/>
        <v>2018</v>
      </c>
      <c r="E141" s="3" t="str">
        <f t="shared" si="15"/>
        <v>Sunday</v>
      </c>
      <c r="F141" s="4" t="str">
        <f t="shared" si="16"/>
        <v>Y</v>
      </c>
      <c r="G141" s="4" t="str">
        <f>IF(COUNTIF(PublicHols[Date], A141)&gt;0, "Y", "N")</f>
        <v>N</v>
      </c>
      <c r="H141" s="3" t="str">
        <f>IFERROR(_xlfn.XLOOKUP(A141, PublicHols[Date], PublicHols[PH_Name]),"")</f>
        <v/>
      </c>
      <c r="I141" s="4" t="str">
        <f>IF(COUNTIF(EventsAll[Date], A141)&gt;0, "Y", "N")</f>
        <v>N</v>
      </c>
      <c r="J141" s="11" t="str">
        <f>IFERROR(_xlfn.XLOOKUP(A141, EventsAll[Date], EventsAll[Event]),"")</f>
        <v/>
      </c>
      <c r="K141" s="4" t="str" cm="1">
        <f t="array" ref="K141">IF(SUMPRODUCT((A141&gt;=SchoolHols[Start])*(A141&lt;=SchoolHols[End]))&gt;0,"Y","N")</f>
        <v>N</v>
      </c>
    </row>
    <row r="142" spans="1:11">
      <c r="A142" s="6">
        <f t="shared" si="17"/>
        <v>43241</v>
      </c>
      <c r="B142" s="4" t="str">
        <f t="shared" si="12"/>
        <v>21</v>
      </c>
      <c r="C142" s="4" t="str">
        <f t="shared" si="13"/>
        <v>05</v>
      </c>
      <c r="D142" s="4" t="str">
        <f t="shared" si="14"/>
        <v>2018</v>
      </c>
      <c r="E142" s="3" t="str">
        <f t="shared" si="15"/>
        <v>Monday</v>
      </c>
      <c r="F142" s="4" t="str">
        <f t="shared" si="16"/>
        <v>N</v>
      </c>
      <c r="G142" s="4" t="str">
        <f>IF(COUNTIF(PublicHols[Date], A142)&gt;0, "Y", "N")</f>
        <v>N</v>
      </c>
      <c r="H142" s="3" t="str">
        <f>IFERROR(_xlfn.XLOOKUP(A142, PublicHols[Date], PublicHols[PH_Name]),"")</f>
        <v/>
      </c>
      <c r="I142" s="4" t="str">
        <f>IF(COUNTIF(EventsAll[Date], A142)&gt;0, "Y", "N")</f>
        <v>N</v>
      </c>
      <c r="J142" s="11" t="str">
        <f>IFERROR(_xlfn.XLOOKUP(A142, EventsAll[Date], EventsAll[Event]),"")</f>
        <v/>
      </c>
      <c r="K142" s="4" t="str" cm="1">
        <f t="array" ref="K142">IF(SUMPRODUCT((A142&gt;=SchoolHols[Start])*(A142&lt;=SchoolHols[End]))&gt;0,"Y","N")</f>
        <v>N</v>
      </c>
    </row>
    <row r="143" spans="1:11">
      <c r="A143" s="6">
        <f t="shared" si="17"/>
        <v>43242</v>
      </c>
      <c r="B143" s="4" t="str">
        <f t="shared" si="12"/>
        <v>22</v>
      </c>
      <c r="C143" s="4" t="str">
        <f t="shared" si="13"/>
        <v>05</v>
      </c>
      <c r="D143" s="4" t="str">
        <f t="shared" si="14"/>
        <v>2018</v>
      </c>
      <c r="E143" s="3" t="str">
        <f t="shared" si="15"/>
        <v>Tuesday</v>
      </c>
      <c r="F143" s="4" t="str">
        <f t="shared" si="16"/>
        <v>N</v>
      </c>
      <c r="G143" s="4" t="str">
        <f>IF(COUNTIF(PublicHols[Date], A143)&gt;0, "Y", "N")</f>
        <v>N</v>
      </c>
      <c r="H143" s="3" t="str">
        <f>IFERROR(_xlfn.XLOOKUP(A143, PublicHols[Date], PublicHols[PH_Name]),"")</f>
        <v/>
      </c>
      <c r="I143" s="4" t="str">
        <f>IF(COUNTIF(EventsAll[Date], A143)&gt;0, "Y", "N")</f>
        <v>N</v>
      </c>
      <c r="J143" s="11" t="str">
        <f>IFERROR(_xlfn.XLOOKUP(A143, EventsAll[Date], EventsAll[Event]),"")</f>
        <v/>
      </c>
      <c r="K143" s="4" t="str" cm="1">
        <f t="array" ref="K143">IF(SUMPRODUCT((A143&gt;=SchoolHols[Start])*(A143&lt;=SchoolHols[End]))&gt;0,"Y","N")</f>
        <v>N</v>
      </c>
    </row>
    <row r="144" spans="1:11">
      <c r="A144" s="6">
        <f t="shared" si="17"/>
        <v>43243</v>
      </c>
      <c r="B144" s="4" t="str">
        <f t="shared" si="12"/>
        <v>23</v>
      </c>
      <c r="C144" s="4" t="str">
        <f t="shared" si="13"/>
        <v>05</v>
      </c>
      <c r="D144" s="4" t="str">
        <f t="shared" si="14"/>
        <v>2018</v>
      </c>
      <c r="E144" s="3" t="str">
        <f t="shared" si="15"/>
        <v>Wednesday</v>
      </c>
      <c r="F144" s="4" t="str">
        <f t="shared" si="16"/>
        <v>N</v>
      </c>
      <c r="G144" s="4" t="str">
        <f>IF(COUNTIF(PublicHols[Date], A144)&gt;0, "Y", "N")</f>
        <v>N</v>
      </c>
      <c r="H144" s="3" t="str">
        <f>IFERROR(_xlfn.XLOOKUP(A144, PublicHols[Date], PublicHols[PH_Name]),"")</f>
        <v/>
      </c>
      <c r="I144" s="4" t="str">
        <f>IF(COUNTIF(EventsAll[Date], A144)&gt;0, "Y", "N")</f>
        <v>N</v>
      </c>
      <c r="J144" s="11" t="str">
        <f>IFERROR(_xlfn.XLOOKUP(A144, EventsAll[Date], EventsAll[Event]),"")</f>
        <v/>
      </c>
      <c r="K144" s="4" t="str" cm="1">
        <f t="array" ref="K144">IF(SUMPRODUCT((A144&gt;=SchoolHols[Start])*(A144&lt;=SchoolHols[End]))&gt;0,"Y","N")</f>
        <v>N</v>
      </c>
    </row>
    <row r="145" spans="1:11">
      <c r="A145" s="6">
        <f t="shared" si="17"/>
        <v>43244</v>
      </c>
      <c r="B145" s="4" t="str">
        <f t="shared" si="12"/>
        <v>24</v>
      </c>
      <c r="C145" s="4" t="str">
        <f t="shared" si="13"/>
        <v>05</v>
      </c>
      <c r="D145" s="4" t="str">
        <f t="shared" si="14"/>
        <v>2018</v>
      </c>
      <c r="E145" s="3" t="str">
        <f t="shared" si="15"/>
        <v>Thursday</v>
      </c>
      <c r="F145" s="4" t="str">
        <f t="shared" si="16"/>
        <v>N</v>
      </c>
      <c r="G145" s="4" t="str">
        <f>IF(COUNTIF(PublicHols[Date], A145)&gt;0, "Y", "N")</f>
        <v>N</v>
      </c>
      <c r="H145" s="3" t="str">
        <f>IFERROR(_xlfn.XLOOKUP(A145, PublicHols[Date], PublicHols[PH_Name]),"")</f>
        <v/>
      </c>
      <c r="I145" s="4" t="str">
        <f>IF(COUNTIF(EventsAll[Date], A145)&gt;0, "Y", "N")</f>
        <v>N</v>
      </c>
      <c r="J145" s="11" t="str">
        <f>IFERROR(_xlfn.XLOOKUP(A145, EventsAll[Date], EventsAll[Event]),"")</f>
        <v/>
      </c>
      <c r="K145" s="4" t="str" cm="1">
        <f t="array" ref="K145">IF(SUMPRODUCT((A145&gt;=SchoolHols[Start])*(A145&lt;=SchoolHols[End]))&gt;0,"Y","N")</f>
        <v>N</v>
      </c>
    </row>
    <row r="146" spans="1:11">
      <c r="A146" s="6">
        <f t="shared" si="17"/>
        <v>43245</v>
      </c>
      <c r="B146" s="4" t="str">
        <f t="shared" si="12"/>
        <v>25</v>
      </c>
      <c r="C146" s="4" t="str">
        <f t="shared" si="13"/>
        <v>05</v>
      </c>
      <c r="D146" s="4" t="str">
        <f t="shared" si="14"/>
        <v>2018</v>
      </c>
      <c r="E146" s="3" t="str">
        <f t="shared" si="15"/>
        <v>Friday</v>
      </c>
      <c r="F146" s="4" t="str">
        <f t="shared" si="16"/>
        <v>N</v>
      </c>
      <c r="G146" s="4" t="str">
        <f>IF(COUNTIF(PublicHols[Date], A146)&gt;0, "Y", "N")</f>
        <v>N</v>
      </c>
      <c r="H146" s="3" t="str">
        <f>IFERROR(_xlfn.XLOOKUP(A146, PublicHols[Date], PublicHols[PH_Name]),"")</f>
        <v/>
      </c>
      <c r="I146" s="4" t="str">
        <f>IF(COUNTIF(EventsAll[Date], A146)&gt;0, "Y", "N")</f>
        <v>N</v>
      </c>
      <c r="J146" s="11" t="str">
        <f>IFERROR(_xlfn.XLOOKUP(A146, EventsAll[Date], EventsAll[Event]),"")</f>
        <v/>
      </c>
      <c r="K146" s="4" t="str" cm="1">
        <f t="array" ref="K146">IF(SUMPRODUCT((A146&gt;=SchoolHols[Start])*(A146&lt;=SchoolHols[End]))&gt;0,"Y","N")</f>
        <v>N</v>
      </c>
    </row>
    <row r="147" spans="1:11">
      <c r="A147" s="6">
        <f t="shared" si="17"/>
        <v>43246</v>
      </c>
      <c r="B147" s="4" t="str">
        <f t="shared" si="12"/>
        <v>26</v>
      </c>
      <c r="C147" s="4" t="str">
        <f t="shared" si="13"/>
        <v>05</v>
      </c>
      <c r="D147" s="4" t="str">
        <f t="shared" si="14"/>
        <v>2018</v>
      </c>
      <c r="E147" s="3" t="str">
        <f t="shared" si="15"/>
        <v>Saturday</v>
      </c>
      <c r="F147" s="4" t="str">
        <f t="shared" si="16"/>
        <v>N</v>
      </c>
      <c r="G147" s="4" t="str">
        <f>IF(COUNTIF(PublicHols[Date], A147)&gt;0, "Y", "N")</f>
        <v>N</v>
      </c>
      <c r="H147" s="3" t="str">
        <f>IFERROR(_xlfn.XLOOKUP(A147, PublicHols[Date], PublicHols[PH_Name]),"")</f>
        <v/>
      </c>
      <c r="I147" s="4" t="str">
        <f>IF(COUNTIF(EventsAll[Date], A147)&gt;0, "Y", "N")</f>
        <v>N</v>
      </c>
      <c r="J147" s="11" t="str">
        <f>IFERROR(_xlfn.XLOOKUP(A147, EventsAll[Date], EventsAll[Event]),"")</f>
        <v/>
      </c>
      <c r="K147" s="4" t="str" cm="1">
        <f t="array" ref="K147">IF(SUMPRODUCT((A147&gt;=SchoolHols[Start])*(A147&lt;=SchoolHols[End]))&gt;0,"Y","N")</f>
        <v>N</v>
      </c>
    </row>
    <row r="148" spans="1:11">
      <c r="A148" s="6">
        <f t="shared" si="17"/>
        <v>43247</v>
      </c>
      <c r="B148" s="4" t="str">
        <f t="shared" si="12"/>
        <v>27</v>
      </c>
      <c r="C148" s="4" t="str">
        <f t="shared" si="13"/>
        <v>05</v>
      </c>
      <c r="D148" s="4" t="str">
        <f t="shared" si="14"/>
        <v>2018</v>
      </c>
      <c r="E148" s="3" t="str">
        <f t="shared" si="15"/>
        <v>Sunday</v>
      </c>
      <c r="F148" s="4" t="str">
        <f t="shared" si="16"/>
        <v>Y</v>
      </c>
      <c r="G148" s="4" t="str">
        <f>IF(COUNTIF(PublicHols[Date], A148)&gt;0, "Y", "N")</f>
        <v>N</v>
      </c>
      <c r="H148" s="3" t="str">
        <f>IFERROR(_xlfn.XLOOKUP(A148, PublicHols[Date], PublicHols[PH_Name]),"")</f>
        <v/>
      </c>
      <c r="I148" s="4" t="str">
        <f>IF(COUNTIF(EventsAll[Date], A148)&gt;0, "Y", "N")</f>
        <v>N</v>
      </c>
      <c r="J148" s="11" t="str">
        <f>IFERROR(_xlfn.XLOOKUP(A148, EventsAll[Date], EventsAll[Event]),"")</f>
        <v/>
      </c>
      <c r="K148" s="4" t="str" cm="1">
        <f t="array" ref="K148">IF(SUMPRODUCT((A148&gt;=SchoolHols[Start])*(A148&lt;=SchoolHols[End]))&gt;0,"Y","N")</f>
        <v>N</v>
      </c>
    </row>
    <row r="149" spans="1:11">
      <c r="A149" s="6">
        <f t="shared" si="17"/>
        <v>43248</v>
      </c>
      <c r="B149" s="4" t="str">
        <f t="shared" si="12"/>
        <v>28</v>
      </c>
      <c r="C149" s="4" t="str">
        <f t="shared" si="13"/>
        <v>05</v>
      </c>
      <c r="D149" s="4" t="str">
        <f t="shared" si="14"/>
        <v>2018</v>
      </c>
      <c r="E149" s="3" t="str">
        <f t="shared" si="15"/>
        <v>Monday</v>
      </c>
      <c r="F149" s="4" t="str">
        <f t="shared" si="16"/>
        <v>N</v>
      </c>
      <c r="G149" s="4" t="str">
        <f>IF(COUNTIF(PublicHols[Date], A149)&gt;0, "Y", "N")</f>
        <v>N</v>
      </c>
      <c r="H149" s="3" t="str">
        <f>IFERROR(_xlfn.XLOOKUP(A149, PublicHols[Date], PublicHols[PH_Name]),"")</f>
        <v/>
      </c>
      <c r="I149" s="4" t="str">
        <f>IF(COUNTIF(EventsAll[Date], A149)&gt;0, "Y", "N")</f>
        <v>N</v>
      </c>
      <c r="J149" s="11" t="str">
        <f>IFERROR(_xlfn.XLOOKUP(A149, EventsAll[Date], EventsAll[Event]),"")</f>
        <v/>
      </c>
      <c r="K149" s="4" t="str" cm="1">
        <f t="array" ref="K149">IF(SUMPRODUCT((A149&gt;=SchoolHols[Start])*(A149&lt;=SchoolHols[End]))&gt;0,"Y","N")</f>
        <v>N</v>
      </c>
    </row>
    <row r="150" spans="1:11">
      <c r="A150" s="6">
        <f t="shared" si="17"/>
        <v>43249</v>
      </c>
      <c r="B150" s="4" t="str">
        <f t="shared" si="12"/>
        <v>29</v>
      </c>
      <c r="C150" s="4" t="str">
        <f t="shared" si="13"/>
        <v>05</v>
      </c>
      <c r="D150" s="4" t="str">
        <f t="shared" si="14"/>
        <v>2018</v>
      </c>
      <c r="E150" s="3" t="str">
        <f t="shared" si="15"/>
        <v>Tuesday</v>
      </c>
      <c r="F150" s="4" t="str">
        <f t="shared" si="16"/>
        <v>N</v>
      </c>
      <c r="G150" s="4" t="str">
        <f>IF(COUNTIF(PublicHols[Date], A150)&gt;0, "Y", "N")</f>
        <v>N</v>
      </c>
      <c r="H150" s="3" t="str">
        <f>IFERROR(_xlfn.XLOOKUP(A150, PublicHols[Date], PublicHols[PH_Name]),"")</f>
        <v/>
      </c>
      <c r="I150" s="4" t="str">
        <f>IF(COUNTIF(EventsAll[Date], A150)&gt;0, "Y", "N")</f>
        <v>N</v>
      </c>
      <c r="J150" s="11" t="str">
        <f>IFERROR(_xlfn.XLOOKUP(A150, EventsAll[Date], EventsAll[Event]),"")</f>
        <v/>
      </c>
      <c r="K150" s="4" t="str" cm="1">
        <f t="array" ref="K150">IF(SUMPRODUCT((A150&gt;=SchoolHols[Start])*(A150&lt;=SchoolHols[End]))&gt;0,"Y","N")</f>
        <v>N</v>
      </c>
    </row>
    <row r="151" spans="1:11">
      <c r="A151" s="6">
        <f t="shared" si="17"/>
        <v>43250</v>
      </c>
      <c r="B151" s="4" t="str">
        <f t="shared" si="12"/>
        <v>30</v>
      </c>
      <c r="C151" s="4" t="str">
        <f t="shared" si="13"/>
        <v>05</v>
      </c>
      <c r="D151" s="4" t="str">
        <f t="shared" si="14"/>
        <v>2018</v>
      </c>
      <c r="E151" s="3" t="str">
        <f t="shared" si="15"/>
        <v>Wednesday</v>
      </c>
      <c r="F151" s="4" t="str">
        <f t="shared" si="16"/>
        <v>N</v>
      </c>
      <c r="G151" s="4" t="str">
        <f>IF(COUNTIF(PublicHols[Date], A151)&gt;0, "Y", "N")</f>
        <v>N</v>
      </c>
      <c r="H151" s="3" t="str">
        <f>IFERROR(_xlfn.XLOOKUP(A151, PublicHols[Date], PublicHols[PH_Name]),"")</f>
        <v/>
      </c>
      <c r="I151" s="4" t="str">
        <f>IF(COUNTIF(EventsAll[Date], A151)&gt;0, "Y", "N")</f>
        <v>N</v>
      </c>
      <c r="J151" s="11" t="str">
        <f>IFERROR(_xlfn.XLOOKUP(A151, EventsAll[Date], EventsAll[Event]),"")</f>
        <v/>
      </c>
      <c r="K151" s="4" t="str" cm="1">
        <f t="array" ref="K151">IF(SUMPRODUCT((A151&gt;=SchoolHols[Start])*(A151&lt;=SchoolHols[End]))&gt;0,"Y","N")</f>
        <v>N</v>
      </c>
    </row>
    <row r="152" spans="1:11">
      <c r="A152" s="6">
        <f t="shared" si="17"/>
        <v>43251</v>
      </c>
      <c r="B152" s="4" t="str">
        <f t="shared" si="12"/>
        <v>31</v>
      </c>
      <c r="C152" s="4" t="str">
        <f t="shared" si="13"/>
        <v>05</v>
      </c>
      <c r="D152" s="4" t="str">
        <f t="shared" si="14"/>
        <v>2018</v>
      </c>
      <c r="E152" s="3" t="str">
        <f t="shared" si="15"/>
        <v>Thursday</v>
      </c>
      <c r="F152" s="4" t="str">
        <f t="shared" si="16"/>
        <v>N</v>
      </c>
      <c r="G152" s="4" t="str">
        <f>IF(COUNTIF(PublicHols[Date], A152)&gt;0, "Y", "N")</f>
        <v>N</v>
      </c>
      <c r="H152" s="3" t="str">
        <f>IFERROR(_xlfn.XLOOKUP(A152, PublicHols[Date], PublicHols[PH_Name]),"")</f>
        <v/>
      </c>
      <c r="I152" s="4" t="str">
        <f>IF(COUNTIF(EventsAll[Date], A152)&gt;0, "Y", "N")</f>
        <v>N</v>
      </c>
      <c r="J152" s="11" t="str">
        <f>IFERROR(_xlfn.XLOOKUP(A152, EventsAll[Date], EventsAll[Event]),"")</f>
        <v/>
      </c>
      <c r="K152" s="4" t="str" cm="1">
        <f t="array" ref="K152">IF(SUMPRODUCT((A152&gt;=SchoolHols[Start])*(A152&lt;=SchoolHols[End]))&gt;0,"Y","N")</f>
        <v>N</v>
      </c>
    </row>
    <row r="153" spans="1:11">
      <c r="A153" s="6">
        <f t="shared" si="17"/>
        <v>43252</v>
      </c>
      <c r="B153" s="4" t="str">
        <f t="shared" si="12"/>
        <v>01</v>
      </c>
      <c r="C153" s="4" t="str">
        <f t="shared" si="13"/>
        <v>06</v>
      </c>
      <c r="D153" s="4" t="str">
        <f t="shared" si="14"/>
        <v>2018</v>
      </c>
      <c r="E153" s="3" t="str">
        <f t="shared" si="15"/>
        <v>Friday</v>
      </c>
      <c r="F153" s="4" t="str">
        <f t="shared" si="16"/>
        <v>N</v>
      </c>
      <c r="G153" s="4" t="str">
        <f>IF(COUNTIF(PublicHols[Date], A153)&gt;0, "Y", "N")</f>
        <v>N</v>
      </c>
      <c r="H153" s="3" t="str">
        <f>IFERROR(_xlfn.XLOOKUP(A153, PublicHols[Date], PublicHols[PH_Name]),"")</f>
        <v/>
      </c>
      <c r="I153" s="4" t="str">
        <f>IF(COUNTIF(EventsAll[Date], A153)&gt;0, "Y", "N")</f>
        <v>N</v>
      </c>
      <c r="J153" s="11" t="str">
        <f>IFERROR(_xlfn.XLOOKUP(A153, EventsAll[Date], EventsAll[Event]),"")</f>
        <v/>
      </c>
      <c r="K153" s="4" t="str" cm="1">
        <f t="array" ref="K153">IF(SUMPRODUCT((A153&gt;=SchoolHols[Start])*(A153&lt;=SchoolHols[End]))&gt;0,"Y","N")</f>
        <v>N</v>
      </c>
    </row>
    <row r="154" spans="1:11">
      <c r="A154" s="6">
        <f t="shared" si="17"/>
        <v>43253</v>
      </c>
      <c r="B154" s="4" t="str">
        <f t="shared" si="12"/>
        <v>02</v>
      </c>
      <c r="C154" s="4" t="str">
        <f t="shared" si="13"/>
        <v>06</v>
      </c>
      <c r="D154" s="4" t="str">
        <f t="shared" si="14"/>
        <v>2018</v>
      </c>
      <c r="E154" s="3" t="str">
        <f t="shared" si="15"/>
        <v>Saturday</v>
      </c>
      <c r="F154" s="4" t="str">
        <f t="shared" si="16"/>
        <v>N</v>
      </c>
      <c r="G154" s="4" t="str">
        <f>IF(COUNTIF(PublicHols[Date], A154)&gt;0, "Y", "N")</f>
        <v>N</v>
      </c>
      <c r="H154" s="3" t="str">
        <f>IFERROR(_xlfn.XLOOKUP(A154, PublicHols[Date], PublicHols[PH_Name]),"")</f>
        <v/>
      </c>
      <c r="I154" s="4" t="str">
        <f>IF(COUNTIF(EventsAll[Date], A154)&gt;0, "Y", "N")</f>
        <v>N</v>
      </c>
      <c r="J154" s="11" t="str">
        <f>IFERROR(_xlfn.XLOOKUP(A154, EventsAll[Date], EventsAll[Event]),"")</f>
        <v/>
      </c>
      <c r="K154" s="4" t="str" cm="1">
        <f t="array" ref="K154">IF(SUMPRODUCT((A154&gt;=SchoolHols[Start])*(A154&lt;=SchoolHols[End]))&gt;0,"Y","N")</f>
        <v>N</v>
      </c>
    </row>
    <row r="155" spans="1:11">
      <c r="A155" s="6">
        <f t="shared" si="17"/>
        <v>43254</v>
      </c>
      <c r="B155" s="4" t="str">
        <f t="shared" si="12"/>
        <v>03</v>
      </c>
      <c r="C155" s="4" t="str">
        <f t="shared" si="13"/>
        <v>06</v>
      </c>
      <c r="D155" s="4" t="str">
        <f t="shared" si="14"/>
        <v>2018</v>
      </c>
      <c r="E155" s="3" t="str">
        <f t="shared" si="15"/>
        <v>Sunday</v>
      </c>
      <c r="F155" s="4" t="str">
        <f t="shared" si="16"/>
        <v>Y</v>
      </c>
      <c r="G155" s="4" t="str">
        <f>IF(COUNTIF(PublicHols[Date], A155)&gt;0, "Y", "N")</f>
        <v>N</v>
      </c>
      <c r="H155" s="3" t="str">
        <f>IFERROR(_xlfn.XLOOKUP(A155, PublicHols[Date], PublicHols[PH_Name]),"")</f>
        <v/>
      </c>
      <c r="I155" s="4" t="str">
        <f>IF(COUNTIF(EventsAll[Date], A155)&gt;0, "Y", "N")</f>
        <v>N</v>
      </c>
      <c r="J155" s="11" t="str">
        <f>IFERROR(_xlfn.XLOOKUP(A155, EventsAll[Date], EventsAll[Event]),"")</f>
        <v/>
      </c>
      <c r="K155" s="4" t="str" cm="1">
        <f t="array" ref="K155">IF(SUMPRODUCT((A155&gt;=SchoolHols[Start])*(A155&lt;=SchoolHols[End]))&gt;0,"Y","N")</f>
        <v>N</v>
      </c>
    </row>
    <row r="156" spans="1:11">
      <c r="A156" s="6">
        <f t="shared" si="17"/>
        <v>43255</v>
      </c>
      <c r="B156" s="4" t="str">
        <f t="shared" si="12"/>
        <v>04</v>
      </c>
      <c r="C156" s="4" t="str">
        <f t="shared" si="13"/>
        <v>06</v>
      </c>
      <c r="D156" s="4" t="str">
        <f t="shared" si="14"/>
        <v>2018</v>
      </c>
      <c r="E156" s="3" t="str">
        <f t="shared" si="15"/>
        <v>Monday</v>
      </c>
      <c r="F156" s="4" t="str">
        <f t="shared" si="16"/>
        <v>N</v>
      </c>
      <c r="G156" s="4" t="str">
        <f>IF(COUNTIF(PublicHols[Date], A156)&gt;0, "Y", "N")</f>
        <v>N</v>
      </c>
      <c r="H156" s="3" t="str">
        <f>IFERROR(_xlfn.XLOOKUP(A156, PublicHols[Date], PublicHols[PH_Name]),"")</f>
        <v/>
      </c>
      <c r="I156" s="4" t="str">
        <f>IF(COUNTIF(EventsAll[Date], A156)&gt;0, "Y", "N")</f>
        <v>N</v>
      </c>
      <c r="J156" s="11" t="str">
        <f>IFERROR(_xlfn.XLOOKUP(A156, EventsAll[Date], EventsAll[Event]),"")</f>
        <v/>
      </c>
      <c r="K156" s="4" t="str" cm="1">
        <f t="array" ref="K156">IF(SUMPRODUCT((A156&gt;=SchoolHols[Start])*(A156&lt;=SchoolHols[End]))&gt;0,"Y","N")</f>
        <v>N</v>
      </c>
    </row>
    <row r="157" spans="1:11">
      <c r="A157" s="6">
        <f t="shared" si="17"/>
        <v>43256</v>
      </c>
      <c r="B157" s="4" t="str">
        <f t="shared" si="12"/>
        <v>05</v>
      </c>
      <c r="C157" s="4" t="str">
        <f t="shared" si="13"/>
        <v>06</v>
      </c>
      <c r="D157" s="4" t="str">
        <f t="shared" si="14"/>
        <v>2018</v>
      </c>
      <c r="E157" s="3" t="str">
        <f t="shared" si="15"/>
        <v>Tuesday</v>
      </c>
      <c r="F157" s="4" t="str">
        <f t="shared" si="16"/>
        <v>N</v>
      </c>
      <c r="G157" s="4" t="str">
        <f>IF(COUNTIF(PublicHols[Date], A157)&gt;0, "Y", "N")</f>
        <v>N</v>
      </c>
      <c r="H157" s="3" t="str">
        <f>IFERROR(_xlfn.XLOOKUP(A157, PublicHols[Date], PublicHols[PH_Name]),"")</f>
        <v/>
      </c>
      <c r="I157" s="4" t="str">
        <f>IF(COUNTIF(EventsAll[Date], A157)&gt;0, "Y", "N")</f>
        <v>N</v>
      </c>
      <c r="J157" s="11" t="str">
        <f>IFERROR(_xlfn.XLOOKUP(A157, EventsAll[Date], EventsAll[Event]),"")</f>
        <v/>
      </c>
      <c r="K157" s="4" t="str" cm="1">
        <f t="array" ref="K157">IF(SUMPRODUCT((A157&gt;=SchoolHols[Start])*(A157&lt;=SchoolHols[End]))&gt;0,"Y","N")</f>
        <v>N</v>
      </c>
    </row>
    <row r="158" spans="1:11">
      <c r="A158" s="6">
        <f t="shared" si="17"/>
        <v>43257</v>
      </c>
      <c r="B158" s="4" t="str">
        <f t="shared" si="12"/>
        <v>06</v>
      </c>
      <c r="C158" s="4" t="str">
        <f t="shared" si="13"/>
        <v>06</v>
      </c>
      <c r="D158" s="4" t="str">
        <f t="shared" si="14"/>
        <v>2018</v>
      </c>
      <c r="E158" s="3" t="str">
        <f t="shared" si="15"/>
        <v>Wednesday</v>
      </c>
      <c r="F158" s="4" t="str">
        <f t="shared" si="16"/>
        <v>N</v>
      </c>
      <c r="G158" s="4" t="str">
        <f>IF(COUNTIF(PublicHols[Date], A158)&gt;0, "Y", "N")</f>
        <v>N</v>
      </c>
      <c r="H158" s="3" t="str">
        <f>IFERROR(_xlfn.XLOOKUP(A158, PublicHols[Date], PublicHols[PH_Name]),"")</f>
        <v/>
      </c>
      <c r="I158" s="4" t="str">
        <f>IF(COUNTIF(EventsAll[Date], A158)&gt;0, "Y", "N")</f>
        <v>N</v>
      </c>
      <c r="J158" s="11" t="str">
        <f>IFERROR(_xlfn.XLOOKUP(A158, EventsAll[Date], EventsAll[Event]),"")</f>
        <v/>
      </c>
      <c r="K158" s="4" t="str" cm="1">
        <f t="array" ref="K158">IF(SUMPRODUCT((A158&gt;=SchoolHols[Start])*(A158&lt;=SchoolHols[End]))&gt;0,"Y","N")</f>
        <v>N</v>
      </c>
    </row>
    <row r="159" spans="1:11">
      <c r="A159" s="6">
        <f t="shared" si="17"/>
        <v>43258</v>
      </c>
      <c r="B159" s="4" t="str">
        <f t="shared" si="12"/>
        <v>07</v>
      </c>
      <c r="C159" s="4" t="str">
        <f t="shared" si="13"/>
        <v>06</v>
      </c>
      <c r="D159" s="4" t="str">
        <f t="shared" si="14"/>
        <v>2018</v>
      </c>
      <c r="E159" s="3" t="str">
        <f t="shared" si="15"/>
        <v>Thursday</v>
      </c>
      <c r="F159" s="4" t="str">
        <f t="shared" si="16"/>
        <v>N</v>
      </c>
      <c r="G159" s="4" t="str">
        <f>IF(COUNTIF(PublicHols[Date], A159)&gt;0, "Y", "N")</f>
        <v>N</v>
      </c>
      <c r="H159" s="3" t="str">
        <f>IFERROR(_xlfn.XLOOKUP(A159, PublicHols[Date], PublicHols[PH_Name]),"")</f>
        <v/>
      </c>
      <c r="I159" s="4" t="str">
        <f>IF(COUNTIF(EventsAll[Date], A159)&gt;0, "Y", "N")</f>
        <v>N</v>
      </c>
      <c r="J159" s="11" t="str">
        <f>IFERROR(_xlfn.XLOOKUP(A159, EventsAll[Date], EventsAll[Event]),"")</f>
        <v/>
      </c>
      <c r="K159" s="4" t="str" cm="1">
        <f t="array" ref="K159">IF(SUMPRODUCT((A159&gt;=SchoolHols[Start])*(A159&lt;=SchoolHols[End]))&gt;0,"Y","N")</f>
        <v>N</v>
      </c>
    </row>
    <row r="160" spans="1:11">
      <c r="A160" s="6">
        <f t="shared" si="17"/>
        <v>43259</v>
      </c>
      <c r="B160" s="4" t="str">
        <f t="shared" si="12"/>
        <v>08</v>
      </c>
      <c r="C160" s="4" t="str">
        <f t="shared" si="13"/>
        <v>06</v>
      </c>
      <c r="D160" s="4" t="str">
        <f t="shared" si="14"/>
        <v>2018</v>
      </c>
      <c r="E160" s="3" t="str">
        <f t="shared" si="15"/>
        <v>Friday</v>
      </c>
      <c r="F160" s="4" t="str">
        <f t="shared" si="16"/>
        <v>N</v>
      </c>
      <c r="G160" s="4" t="str">
        <f>IF(COUNTIF(PublicHols[Date], A160)&gt;0, "Y", "N")</f>
        <v>N</v>
      </c>
      <c r="H160" s="3" t="str">
        <f>IFERROR(_xlfn.XLOOKUP(A160, PublicHols[Date], PublicHols[PH_Name]),"")</f>
        <v/>
      </c>
      <c r="I160" s="4" t="str">
        <f>IF(COUNTIF(EventsAll[Date], A160)&gt;0, "Y", "N")</f>
        <v>N</v>
      </c>
      <c r="J160" s="11" t="str">
        <f>IFERROR(_xlfn.XLOOKUP(A160, EventsAll[Date], EventsAll[Event]),"")</f>
        <v/>
      </c>
      <c r="K160" s="4" t="str" cm="1">
        <f t="array" ref="K160">IF(SUMPRODUCT((A160&gt;=SchoolHols[Start])*(A160&lt;=SchoolHols[End]))&gt;0,"Y","N")</f>
        <v>N</v>
      </c>
    </row>
    <row r="161" spans="1:11">
      <c r="A161" s="6">
        <f t="shared" si="17"/>
        <v>43260</v>
      </c>
      <c r="B161" s="4" t="str">
        <f t="shared" si="12"/>
        <v>09</v>
      </c>
      <c r="C161" s="4" t="str">
        <f t="shared" si="13"/>
        <v>06</v>
      </c>
      <c r="D161" s="4" t="str">
        <f t="shared" si="14"/>
        <v>2018</v>
      </c>
      <c r="E161" s="3" t="str">
        <f t="shared" si="15"/>
        <v>Saturday</v>
      </c>
      <c r="F161" s="4" t="str">
        <f t="shared" si="16"/>
        <v>N</v>
      </c>
      <c r="G161" s="4" t="str">
        <f>IF(COUNTIF(PublicHols[Date], A161)&gt;0, "Y", "N")</f>
        <v>N</v>
      </c>
      <c r="H161" s="3" t="str">
        <f>IFERROR(_xlfn.XLOOKUP(A161, PublicHols[Date], PublicHols[PH_Name]),"")</f>
        <v/>
      </c>
      <c r="I161" s="4" t="str">
        <f>IF(COUNTIF(EventsAll[Date], A161)&gt;0, "Y", "N")</f>
        <v>N</v>
      </c>
      <c r="J161" s="11" t="str">
        <f>IFERROR(_xlfn.XLOOKUP(A161, EventsAll[Date], EventsAll[Event]),"")</f>
        <v/>
      </c>
      <c r="K161" s="4" t="str" cm="1">
        <f t="array" ref="K161">IF(SUMPRODUCT((A161&gt;=SchoolHols[Start])*(A161&lt;=SchoolHols[End]))&gt;0,"Y","N")</f>
        <v>N</v>
      </c>
    </row>
    <row r="162" spans="1:11">
      <c r="A162" s="6">
        <f t="shared" si="17"/>
        <v>43261</v>
      </c>
      <c r="B162" s="4" t="str">
        <f t="shared" si="12"/>
        <v>10</v>
      </c>
      <c r="C162" s="4" t="str">
        <f t="shared" si="13"/>
        <v>06</v>
      </c>
      <c r="D162" s="4" t="str">
        <f t="shared" si="14"/>
        <v>2018</v>
      </c>
      <c r="E162" s="3" t="str">
        <f t="shared" si="15"/>
        <v>Sunday</v>
      </c>
      <c r="F162" s="4" t="str">
        <f t="shared" si="16"/>
        <v>Y</v>
      </c>
      <c r="G162" s="4" t="str">
        <f>IF(COUNTIF(PublicHols[Date], A162)&gt;0, "Y", "N")</f>
        <v>N</v>
      </c>
      <c r="H162" s="3" t="str">
        <f>IFERROR(_xlfn.XLOOKUP(A162, PublicHols[Date], PublicHols[PH_Name]),"")</f>
        <v/>
      </c>
      <c r="I162" s="4" t="str">
        <f>IF(COUNTIF(EventsAll[Date], A162)&gt;0, "Y", "N")</f>
        <v>N</v>
      </c>
      <c r="J162" s="11" t="str">
        <f>IFERROR(_xlfn.XLOOKUP(A162, EventsAll[Date], EventsAll[Event]),"")</f>
        <v/>
      </c>
      <c r="K162" s="4" t="str" cm="1">
        <f t="array" ref="K162">IF(SUMPRODUCT((A162&gt;=SchoolHols[Start])*(A162&lt;=SchoolHols[End]))&gt;0,"Y","N")</f>
        <v>N</v>
      </c>
    </row>
    <row r="163" spans="1:11">
      <c r="A163" s="6">
        <f t="shared" si="17"/>
        <v>43262</v>
      </c>
      <c r="B163" s="4" t="str">
        <f t="shared" si="12"/>
        <v>11</v>
      </c>
      <c r="C163" s="4" t="str">
        <f t="shared" si="13"/>
        <v>06</v>
      </c>
      <c r="D163" s="4" t="str">
        <f t="shared" si="14"/>
        <v>2018</v>
      </c>
      <c r="E163" s="3" t="str">
        <f t="shared" si="15"/>
        <v>Monday</v>
      </c>
      <c r="F163" s="4" t="str">
        <f t="shared" si="16"/>
        <v>N</v>
      </c>
      <c r="G163" s="4" t="str">
        <f>IF(COUNTIF(PublicHols[Date], A163)&gt;0, "Y", "N")</f>
        <v>N</v>
      </c>
      <c r="H163" s="3" t="str">
        <f>IFERROR(_xlfn.XLOOKUP(A163, PublicHols[Date], PublicHols[PH_Name]),"")</f>
        <v/>
      </c>
      <c r="I163" s="4" t="str">
        <f>IF(COUNTIF(EventsAll[Date], A163)&gt;0, "Y", "N")</f>
        <v>N</v>
      </c>
      <c r="J163" s="11" t="str">
        <f>IFERROR(_xlfn.XLOOKUP(A163, EventsAll[Date], EventsAll[Event]),"")</f>
        <v/>
      </c>
      <c r="K163" s="4" t="str" cm="1">
        <f t="array" ref="K163">IF(SUMPRODUCT((A163&gt;=SchoolHols[Start])*(A163&lt;=SchoolHols[End]))&gt;0,"Y","N")</f>
        <v>N</v>
      </c>
    </row>
    <row r="164" spans="1:11">
      <c r="A164" s="6">
        <f t="shared" si="17"/>
        <v>43263</v>
      </c>
      <c r="B164" s="4" t="str">
        <f t="shared" si="12"/>
        <v>12</v>
      </c>
      <c r="C164" s="4" t="str">
        <f t="shared" si="13"/>
        <v>06</v>
      </c>
      <c r="D164" s="4" t="str">
        <f t="shared" si="14"/>
        <v>2018</v>
      </c>
      <c r="E164" s="3" t="str">
        <f t="shared" si="15"/>
        <v>Tuesday</v>
      </c>
      <c r="F164" s="4" t="str">
        <f t="shared" si="16"/>
        <v>N</v>
      </c>
      <c r="G164" s="4" t="str">
        <f>IF(COUNTIF(PublicHols[Date], A164)&gt;0, "Y", "N")</f>
        <v>N</v>
      </c>
      <c r="H164" s="3" t="str">
        <f>IFERROR(_xlfn.XLOOKUP(A164, PublicHols[Date], PublicHols[PH_Name]),"")</f>
        <v/>
      </c>
      <c r="I164" s="4" t="str">
        <f>IF(COUNTIF(EventsAll[Date], A164)&gt;0, "Y", "N")</f>
        <v>N</v>
      </c>
      <c r="J164" s="11" t="str">
        <f>IFERROR(_xlfn.XLOOKUP(A164, EventsAll[Date], EventsAll[Event]),"")</f>
        <v/>
      </c>
      <c r="K164" s="4" t="str" cm="1">
        <f t="array" ref="K164">IF(SUMPRODUCT((A164&gt;=SchoolHols[Start])*(A164&lt;=SchoolHols[End]))&gt;0,"Y","N")</f>
        <v>N</v>
      </c>
    </row>
    <row r="165" spans="1:11">
      <c r="A165" s="6">
        <f t="shared" si="17"/>
        <v>43264</v>
      </c>
      <c r="B165" s="4" t="str">
        <f t="shared" si="12"/>
        <v>13</v>
      </c>
      <c r="C165" s="4" t="str">
        <f t="shared" si="13"/>
        <v>06</v>
      </c>
      <c r="D165" s="4" t="str">
        <f t="shared" si="14"/>
        <v>2018</v>
      </c>
      <c r="E165" s="3" t="str">
        <f t="shared" si="15"/>
        <v>Wednesday</v>
      </c>
      <c r="F165" s="4" t="str">
        <f t="shared" si="16"/>
        <v>N</v>
      </c>
      <c r="G165" s="4" t="str">
        <f>IF(COUNTIF(PublicHols[Date], A165)&gt;0, "Y", "N")</f>
        <v>N</v>
      </c>
      <c r="H165" s="3" t="str">
        <f>IFERROR(_xlfn.XLOOKUP(A165, PublicHols[Date], PublicHols[PH_Name]),"")</f>
        <v/>
      </c>
      <c r="I165" s="4" t="str">
        <f>IF(COUNTIF(EventsAll[Date], A165)&gt;0, "Y", "N")</f>
        <v>N</v>
      </c>
      <c r="J165" s="11" t="str">
        <f>IFERROR(_xlfn.XLOOKUP(A165, EventsAll[Date], EventsAll[Event]),"")</f>
        <v/>
      </c>
      <c r="K165" s="4" t="str" cm="1">
        <f t="array" ref="K165">IF(SUMPRODUCT((A165&gt;=SchoolHols[Start])*(A165&lt;=SchoolHols[End]))&gt;0,"Y","N")</f>
        <v>N</v>
      </c>
    </row>
    <row r="166" spans="1:11">
      <c r="A166" s="6">
        <f t="shared" si="17"/>
        <v>43265</v>
      </c>
      <c r="B166" s="4" t="str">
        <f t="shared" si="12"/>
        <v>14</v>
      </c>
      <c r="C166" s="4" t="str">
        <f t="shared" si="13"/>
        <v>06</v>
      </c>
      <c r="D166" s="4" t="str">
        <f t="shared" si="14"/>
        <v>2018</v>
      </c>
      <c r="E166" s="3" t="str">
        <f t="shared" si="15"/>
        <v>Thursday</v>
      </c>
      <c r="F166" s="4" t="str">
        <f t="shared" si="16"/>
        <v>N</v>
      </c>
      <c r="G166" s="4" t="str">
        <f>IF(COUNTIF(PublicHols[Date], A166)&gt;0, "Y", "N")</f>
        <v>N</v>
      </c>
      <c r="H166" s="3" t="str">
        <f>IFERROR(_xlfn.XLOOKUP(A166, PublicHols[Date], PublicHols[PH_Name]),"")</f>
        <v/>
      </c>
      <c r="I166" s="4" t="str">
        <f>IF(COUNTIF(EventsAll[Date], A166)&gt;0, "Y", "N")</f>
        <v>N</v>
      </c>
      <c r="J166" s="11" t="str">
        <f>IFERROR(_xlfn.XLOOKUP(A166, EventsAll[Date], EventsAll[Event]),"")</f>
        <v/>
      </c>
      <c r="K166" s="4" t="str" cm="1">
        <f t="array" ref="K166">IF(SUMPRODUCT((A166&gt;=SchoolHols[Start])*(A166&lt;=SchoolHols[End]))&gt;0,"Y","N")</f>
        <v>N</v>
      </c>
    </row>
    <row r="167" spans="1:11">
      <c r="A167" s="6">
        <f t="shared" si="17"/>
        <v>43266</v>
      </c>
      <c r="B167" s="4" t="str">
        <f t="shared" si="12"/>
        <v>15</v>
      </c>
      <c r="C167" s="4" t="str">
        <f t="shared" si="13"/>
        <v>06</v>
      </c>
      <c r="D167" s="4" t="str">
        <f t="shared" si="14"/>
        <v>2018</v>
      </c>
      <c r="E167" s="3" t="str">
        <f t="shared" si="15"/>
        <v>Friday</v>
      </c>
      <c r="F167" s="4" t="str">
        <f t="shared" si="16"/>
        <v>N</v>
      </c>
      <c r="G167" s="4" t="str">
        <f>IF(COUNTIF(PublicHols[Date], A167)&gt;0, "Y", "N")</f>
        <v>N</v>
      </c>
      <c r="H167" s="3" t="str">
        <f>IFERROR(_xlfn.XLOOKUP(A167, PublicHols[Date], PublicHols[PH_Name]),"")</f>
        <v/>
      </c>
      <c r="I167" s="4" t="str">
        <f>IF(COUNTIF(EventsAll[Date], A167)&gt;0, "Y", "N")</f>
        <v>N</v>
      </c>
      <c r="J167" s="11" t="str">
        <f>IFERROR(_xlfn.XLOOKUP(A167, EventsAll[Date], EventsAll[Event]),"")</f>
        <v/>
      </c>
      <c r="K167" s="4" t="str" cm="1">
        <f t="array" ref="K167">IF(SUMPRODUCT((A167&gt;=SchoolHols[Start])*(A167&lt;=SchoolHols[End]))&gt;0,"Y","N")</f>
        <v>N</v>
      </c>
    </row>
    <row r="168" spans="1:11">
      <c r="A168" s="6">
        <f t="shared" si="17"/>
        <v>43267</v>
      </c>
      <c r="B168" s="4" t="str">
        <f t="shared" si="12"/>
        <v>16</v>
      </c>
      <c r="C168" s="4" t="str">
        <f t="shared" si="13"/>
        <v>06</v>
      </c>
      <c r="D168" s="4" t="str">
        <f t="shared" si="14"/>
        <v>2018</v>
      </c>
      <c r="E168" s="3" t="str">
        <f t="shared" si="15"/>
        <v>Saturday</v>
      </c>
      <c r="F168" s="4" t="str">
        <f t="shared" si="16"/>
        <v>N</v>
      </c>
      <c r="G168" s="4" t="str">
        <f>IF(COUNTIF(PublicHols[Date], A168)&gt;0, "Y", "N")</f>
        <v>Y</v>
      </c>
      <c r="H168" s="3" t="str">
        <f>IFERROR(_xlfn.XLOOKUP(A168, PublicHols[Date], PublicHols[PH_Name]),"")</f>
        <v>Youth Day</v>
      </c>
      <c r="I168" s="4" t="str">
        <f>IF(COUNTIF(EventsAll[Date], A168)&gt;0, "Y", "N")</f>
        <v>N</v>
      </c>
      <c r="J168" s="11" t="str">
        <f>IFERROR(_xlfn.XLOOKUP(A168, EventsAll[Date], EventsAll[Event]),"")</f>
        <v/>
      </c>
      <c r="K168" s="4" t="str" cm="1">
        <f t="array" ref="K168">IF(SUMPRODUCT((A168&gt;=SchoolHols[Start])*(A168&lt;=SchoolHols[End]))&gt;0,"Y","N")</f>
        <v>N</v>
      </c>
    </row>
    <row r="169" spans="1:11">
      <c r="A169" s="6">
        <f t="shared" si="17"/>
        <v>43268</v>
      </c>
      <c r="B169" s="4" t="str">
        <f t="shared" si="12"/>
        <v>17</v>
      </c>
      <c r="C169" s="4" t="str">
        <f t="shared" si="13"/>
        <v>06</v>
      </c>
      <c r="D169" s="4" t="str">
        <f t="shared" si="14"/>
        <v>2018</v>
      </c>
      <c r="E169" s="3" t="str">
        <f t="shared" si="15"/>
        <v>Sunday</v>
      </c>
      <c r="F169" s="4" t="str">
        <f t="shared" si="16"/>
        <v>Y</v>
      </c>
      <c r="G169" s="4" t="str">
        <f>IF(COUNTIF(PublicHols[Date], A169)&gt;0, "Y", "N")</f>
        <v>N</v>
      </c>
      <c r="H169" s="3" t="str">
        <f>IFERROR(_xlfn.XLOOKUP(A169, PublicHols[Date], PublicHols[PH_Name]),"")</f>
        <v/>
      </c>
      <c r="I169" s="4" t="str">
        <f>IF(COUNTIF(EventsAll[Date], A169)&gt;0, "Y", "N")</f>
        <v>Y</v>
      </c>
      <c r="J169" s="11" t="str">
        <f>IFERROR(_xlfn.XLOOKUP(A169, EventsAll[Date], EventsAll[Event]),"")</f>
        <v xml:space="preserve"> Father's Day</v>
      </c>
      <c r="K169" s="4" t="str" cm="1">
        <f t="array" ref="K169">IF(SUMPRODUCT((A169&gt;=SchoolHols[Start])*(A169&lt;=SchoolHols[End]))&gt;0,"Y","N")</f>
        <v>N</v>
      </c>
    </row>
    <row r="170" spans="1:11">
      <c r="A170" s="6">
        <f t="shared" si="17"/>
        <v>43269</v>
      </c>
      <c r="B170" s="4" t="str">
        <f t="shared" si="12"/>
        <v>18</v>
      </c>
      <c r="C170" s="4" t="str">
        <f t="shared" si="13"/>
        <v>06</v>
      </c>
      <c r="D170" s="4" t="str">
        <f t="shared" si="14"/>
        <v>2018</v>
      </c>
      <c r="E170" s="3" t="str">
        <f t="shared" si="15"/>
        <v>Monday</v>
      </c>
      <c r="F170" s="4" t="str">
        <f t="shared" si="16"/>
        <v>N</v>
      </c>
      <c r="G170" s="4" t="str">
        <f>IF(COUNTIF(PublicHols[Date], A170)&gt;0, "Y", "N")</f>
        <v>N</v>
      </c>
      <c r="H170" s="3" t="str">
        <f>IFERROR(_xlfn.XLOOKUP(A170, PublicHols[Date], PublicHols[PH_Name]),"")</f>
        <v/>
      </c>
      <c r="I170" s="4" t="str">
        <f>IF(COUNTIF(EventsAll[Date], A170)&gt;0, "Y", "N")</f>
        <v>N</v>
      </c>
      <c r="J170" s="11" t="str">
        <f>IFERROR(_xlfn.XLOOKUP(A170, EventsAll[Date], EventsAll[Event]),"")</f>
        <v/>
      </c>
      <c r="K170" s="4" t="str" cm="1">
        <f t="array" ref="K170">IF(SUMPRODUCT((A170&gt;=SchoolHols[Start])*(A170&lt;=SchoolHols[End]))&gt;0,"Y","N")</f>
        <v>N</v>
      </c>
    </row>
    <row r="171" spans="1:11">
      <c r="A171" s="6">
        <f t="shared" si="17"/>
        <v>43270</v>
      </c>
      <c r="B171" s="4" t="str">
        <f t="shared" si="12"/>
        <v>19</v>
      </c>
      <c r="C171" s="4" t="str">
        <f t="shared" si="13"/>
        <v>06</v>
      </c>
      <c r="D171" s="4" t="str">
        <f t="shared" si="14"/>
        <v>2018</v>
      </c>
      <c r="E171" s="3" t="str">
        <f t="shared" si="15"/>
        <v>Tuesday</v>
      </c>
      <c r="F171" s="4" t="str">
        <f t="shared" si="16"/>
        <v>N</v>
      </c>
      <c r="G171" s="4" t="str">
        <f>IF(COUNTIF(PublicHols[Date], A171)&gt;0, "Y", "N")</f>
        <v>N</v>
      </c>
      <c r="H171" s="3" t="str">
        <f>IFERROR(_xlfn.XLOOKUP(A171, PublicHols[Date], PublicHols[PH_Name]),"")</f>
        <v/>
      </c>
      <c r="I171" s="4" t="str">
        <f>IF(COUNTIF(EventsAll[Date], A171)&gt;0, "Y", "N")</f>
        <v>N</v>
      </c>
      <c r="J171" s="11" t="str">
        <f>IFERROR(_xlfn.XLOOKUP(A171, EventsAll[Date], EventsAll[Event]),"")</f>
        <v/>
      </c>
      <c r="K171" s="4" t="str" cm="1">
        <f t="array" ref="K171">IF(SUMPRODUCT((A171&gt;=SchoolHols[Start])*(A171&lt;=SchoolHols[End]))&gt;0,"Y","N")</f>
        <v>N</v>
      </c>
    </row>
    <row r="172" spans="1:11">
      <c r="A172" s="6">
        <f t="shared" si="17"/>
        <v>43271</v>
      </c>
      <c r="B172" s="4" t="str">
        <f t="shared" si="12"/>
        <v>20</v>
      </c>
      <c r="C172" s="4" t="str">
        <f t="shared" si="13"/>
        <v>06</v>
      </c>
      <c r="D172" s="4" t="str">
        <f t="shared" si="14"/>
        <v>2018</v>
      </c>
      <c r="E172" s="3" t="str">
        <f t="shared" si="15"/>
        <v>Wednesday</v>
      </c>
      <c r="F172" s="4" t="str">
        <f t="shared" si="16"/>
        <v>N</v>
      </c>
      <c r="G172" s="4" t="str">
        <f>IF(COUNTIF(PublicHols[Date], A172)&gt;0, "Y", "N")</f>
        <v>N</v>
      </c>
      <c r="H172" s="3" t="str">
        <f>IFERROR(_xlfn.XLOOKUP(A172, PublicHols[Date], PublicHols[PH_Name]),"")</f>
        <v/>
      </c>
      <c r="I172" s="4" t="str">
        <f>IF(COUNTIF(EventsAll[Date], A172)&gt;0, "Y", "N")</f>
        <v>N</v>
      </c>
      <c r="J172" s="11" t="str">
        <f>IFERROR(_xlfn.XLOOKUP(A172, EventsAll[Date], EventsAll[Event]),"")</f>
        <v/>
      </c>
      <c r="K172" s="4" t="str" cm="1">
        <f t="array" ref="K172">IF(SUMPRODUCT((A172&gt;=SchoolHols[Start])*(A172&lt;=SchoolHols[End]))&gt;0,"Y","N")</f>
        <v>N</v>
      </c>
    </row>
    <row r="173" spans="1:11">
      <c r="A173" s="6">
        <f t="shared" si="17"/>
        <v>43272</v>
      </c>
      <c r="B173" s="4" t="str">
        <f t="shared" si="12"/>
        <v>21</v>
      </c>
      <c r="C173" s="4" t="str">
        <f t="shared" si="13"/>
        <v>06</v>
      </c>
      <c r="D173" s="4" t="str">
        <f t="shared" si="14"/>
        <v>2018</v>
      </c>
      <c r="E173" s="3" t="str">
        <f t="shared" si="15"/>
        <v>Thursday</v>
      </c>
      <c r="F173" s="4" t="str">
        <f t="shared" si="16"/>
        <v>N</v>
      </c>
      <c r="G173" s="4" t="str">
        <f>IF(COUNTIF(PublicHols[Date], A173)&gt;0, "Y", "N")</f>
        <v>N</v>
      </c>
      <c r="H173" s="3" t="str">
        <f>IFERROR(_xlfn.XLOOKUP(A173, PublicHols[Date], PublicHols[PH_Name]),"")</f>
        <v/>
      </c>
      <c r="I173" s="4" t="str">
        <f>IF(COUNTIF(EventsAll[Date], A173)&gt;0, "Y", "N")</f>
        <v>N</v>
      </c>
      <c r="J173" s="11" t="str">
        <f>IFERROR(_xlfn.XLOOKUP(A173, EventsAll[Date], EventsAll[Event]),"")</f>
        <v/>
      </c>
      <c r="K173" s="4" t="str" cm="1">
        <f t="array" ref="K173">IF(SUMPRODUCT((A173&gt;=SchoolHols[Start])*(A173&lt;=SchoolHols[End]))&gt;0,"Y","N")</f>
        <v>N</v>
      </c>
    </row>
    <row r="174" spans="1:11">
      <c r="A174" s="6">
        <f t="shared" si="17"/>
        <v>43273</v>
      </c>
      <c r="B174" s="4" t="str">
        <f t="shared" si="12"/>
        <v>22</v>
      </c>
      <c r="C174" s="4" t="str">
        <f t="shared" si="13"/>
        <v>06</v>
      </c>
      <c r="D174" s="4" t="str">
        <f t="shared" si="14"/>
        <v>2018</v>
      </c>
      <c r="E174" s="3" t="str">
        <f t="shared" si="15"/>
        <v>Friday</v>
      </c>
      <c r="F174" s="4" t="str">
        <f t="shared" si="16"/>
        <v>N</v>
      </c>
      <c r="G174" s="4" t="str">
        <f>IF(COUNTIF(PublicHols[Date], A174)&gt;0, "Y", "N")</f>
        <v>N</v>
      </c>
      <c r="H174" s="3" t="str">
        <f>IFERROR(_xlfn.XLOOKUP(A174, PublicHols[Date], PublicHols[PH_Name]),"")</f>
        <v/>
      </c>
      <c r="I174" s="4" t="str">
        <f>IF(COUNTIF(EventsAll[Date], A174)&gt;0, "Y", "N")</f>
        <v>N</v>
      </c>
      <c r="J174" s="11" t="str">
        <f>IFERROR(_xlfn.XLOOKUP(A174, EventsAll[Date], EventsAll[Event]),"")</f>
        <v/>
      </c>
      <c r="K174" s="4" t="str" cm="1">
        <f t="array" ref="K174">IF(SUMPRODUCT((A174&gt;=SchoolHols[Start])*(A174&lt;=SchoolHols[End]))&gt;0,"Y","N")</f>
        <v>Y</v>
      </c>
    </row>
    <row r="175" spans="1:11">
      <c r="A175" s="6">
        <f t="shared" si="17"/>
        <v>43274</v>
      </c>
      <c r="B175" s="4" t="str">
        <f t="shared" si="12"/>
        <v>23</v>
      </c>
      <c r="C175" s="4" t="str">
        <f t="shared" si="13"/>
        <v>06</v>
      </c>
      <c r="D175" s="4" t="str">
        <f t="shared" si="14"/>
        <v>2018</v>
      </c>
      <c r="E175" s="3" t="str">
        <f t="shared" si="15"/>
        <v>Saturday</v>
      </c>
      <c r="F175" s="4" t="str">
        <f t="shared" si="16"/>
        <v>N</v>
      </c>
      <c r="G175" s="4" t="str">
        <f>IF(COUNTIF(PublicHols[Date], A175)&gt;0, "Y", "N")</f>
        <v>N</v>
      </c>
      <c r="H175" s="3" t="str">
        <f>IFERROR(_xlfn.XLOOKUP(A175, PublicHols[Date], PublicHols[PH_Name]),"")</f>
        <v/>
      </c>
      <c r="I175" s="4" t="str">
        <f>IF(COUNTIF(EventsAll[Date], A175)&gt;0, "Y", "N")</f>
        <v>N</v>
      </c>
      <c r="J175" s="11" t="str">
        <f>IFERROR(_xlfn.XLOOKUP(A175, EventsAll[Date], EventsAll[Event]),"")</f>
        <v/>
      </c>
      <c r="K175" s="4" t="str" cm="1">
        <f t="array" ref="K175">IF(SUMPRODUCT((A175&gt;=SchoolHols[Start])*(A175&lt;=SchoolHols[End]))&gt;0,"Y","N")</f>
        <v>Y</v>
      </c>
    </row>
    <row r="176" spans="1:11">
      <c r="A176" s="6">
        <f t="shared" si="17"/>
        <v>43275</v>
      </c>
      <c r="B176" s="4" t="str">
        <f t="shared" si="12"/>
        <v>24</v>
      </c>
      <c r="C176" s="4" t="str">
        <f t="shared" si="13"/>
        <v>06</v>
      </c>
      <c r="D176" s="4" t="str">
        <f t="shared" si="14"/>
        <v>2018</v>
      </c>
      <c r="E176" s="3" t="str">
        <f t="shared" si="15"/>
        <v>Sunday</v>
      </c>
      <c r="F176" s="4" t="str">
        <f t="shared" si="16"/>
        <v>Y</v>
      </c>
      <c r="G176" s="4" t="str">
        <f>IF(COUNTIF(PublicHols[Date], A176)&gt;0, "Y", "N")</f>
        <v>N</v>
      </c>
      <c r="H176" s="3" t="str">
        <f>IFERROR(_xlfn.XLOOKUP(A176, PublicHols[Date], PublicHols[PH_Name]),"")</f>
        <v/>
      </c>
      <c r="I176" s="4" t="str">
        <f>IF(COUNTIF(EventsAll[Date], A176)&gt;0, "Y", "N")</f>
        <v>N</v>
      </c>
      <c r="J176" s="11" t="str">
        <f>IFERROR(_xlfn.XLOOKUP(A176, EventsAll[Date], EventsAll[Event]),"")</f>
        <v/>
      </c>
      <c r="K176" s="4" t="str" cm="1">
        <f t="array" ref="K176">IF(SUMPRODUCT((A176&gt;=SchoolHols[Start])*(A176&lt;=SchoolHols[End]))&gt;0,"Y","N")</f>
        <v>Y</v>
      </c>
    </row>
    <row r="177" spans="1:11">
      <c r="A177" s="6">
        <f t="shared" si="17"/>
        <v>43276</v>
      </c>
      <c r="B177" s="4" t="str">
        <f t="shared" si="12"/>
        <v>25</v>
      </c>
      <c r="C177" s="4" t="str">
        <f t="shared" si="13"/>
        <v>06</v>
      </c>
      <c r="D177" s="4" t="str">
        <f t="shared" si="14"/>
        <v>2018</v>
      </c>
      <c r="E177" s="3" t="str">
        <f t="shared" si="15"/>
        <v>Monday</v>
      </c>
      <c r="F177" s="4" t="str">
        <f t="shared" si="16"/>
        <v>N</v>
      </c>
      <c r="G177" s="4" t="str">
        <f>IF(COUNTIF(PublicHols[Date], A177)&gt;0, "Y", "N")</f>
        <v>N</v>
      </c>
      <c r="H177" s="3" t="str">
        <f>IFERROR(_xlfn.XLOOKUP(A177, PublicHols[Date], PublicHols[PH_Name]),"")</f>
        <v/>
      </c>
      <c r="I177" s="4" t="str">
        <f>IF(COUNTIF(EventsAll[Date], A177)&gt;0, "Y", "N")</f>
        <v>N</v>
      </c>
      <c r="J177" s="11" t="str">
        <f>IFERROR(_xlfn.XLOOKUP(A177, EventsAll[Date], EventsAll[Event]),"")</f>
        <v/>
      </c>
      <c r="K177" s="4" t="str" cm="1">
        <f t="array" ref="K177">IF(SUMPRODUCT((A177&gt;=SchoolHols[Start])*(A177&lt;=SchoolHols[End]))&gt;0,"Y","N")</f>
        <v>Y</v>
      </c>
    </row>
    <row r="178" spans="1:11">
      <c r="A178" s="6">
        <f t="shared" si="17"/>
        <v>43277</v>
      </c>
      <c r="B178" s="4" t="str">
        <f t="shared" si="12"/>
        <v>26</v>
      </c>
      <c r="C178" s="4" t="str">
        <f t="shared" si="13"/>
        <v>06</v>
      </c>
      <c r="D178" s="4" t="str">
        <f t="shared" si="14"/>
        <v>2018</v>
      </c>
      <c r="E178" s="3" t="str">
        <f t="shared" si="15"/>
        <v>Tuesday</v>
      </c>
      <c r="F178" s="4" t="str">
        <f t="shared" si="16"/>
        <v>N</v>
      </c>
      <c r="G178" s="4" t="str">
        <f>IF(COUNTIF(PublicHols[Date], A178)&gt;0, "Y", "N")</f>
        <v>N</v>
      </c>
      <c r="H178" s="3" t="str">
        <f>IFERROR(_xlfn.XLOOKUP(A178, PublicHols[Date], PublicHols[PH_Name]),"")</f>
        <v/>
      </c>
      <c r="I178" s="4" t="str">
        <f>IF(COUNTIF(EventsAll[Date], A178)&gt;0, "Y", "N")</f>
        <v>N</v>
      </c>
      <c r="J178" s="11" t="str">
        <f>IFERROR(_xlfn.XLOOKUP(A178, EventsAll[Date], EventsAll[Event]),"")</f>
        <v/>
      </c>
      <c r="K178" s="4" t="str" cm="1">
        <f t="array" ref="K178">IF(SUMPRODUCT((A178&gt;=SchoolHols[Start])*(A178&lt;=SchoolHols[End]))&gt;0,"Y","N")</f>
        <v>Y</v>
      </c>
    </row>
    <row r="179" spans="1:11">
      <c r="A179" s="6">
        <f t="shared" si="17"/>
        <v>43278</v>
      </c>
      <c r="B179" s="4" t="str">
        <f t="shared" si="12"/>
        <v>27</v>
      </c>
      <c r="C179" s="4" t="str">
        <f t="shared" si="13"/>
        <v>06</v>
      </c>
      <c r="D179" s="4" t="str">
        <f t="shared" si="14"/>
        <v>2018</v>
      </c>
      <c r="E179" s="3" t="str">
        <f t="shared" si="15"/>
        <v>Wednesday</v>
      </c>
      <c r="F179" s="4" t="str">
        <f t="shared" si="16"/>
        <v>N</v>
      </c>
      <c r="G179" s="4" t="str">
        <f>IF(COUNTIF(PublicHols[Date], A179)&gt;0, "Y", "N")</f>
        <v>N</v>
      </c>
      <c r="H179" s="3" t="str">
        <f>IFERROR(_xlfn.XLOOKUP(A179, PublicHols[Date], PublicHols[PH_Name]),"")</f>
        <v/>
      </c>
      <c r="I179" s="4" t="str">
        <f>IF(COUNTIF(EventsAll[Date], A179)&gt;0, "Y", "N")</f>
        <v>N</v>
      </c>
      <c r="J179" s="11" t="str">
        <f>IFERROR(_xlfn.XLOOKUP(A179, EventsAll[Date], EventsAll[Event]),"")</f>
        <v/>
      </c>
      <c r="K179" s="4" t="str" cm="1">
        <f t="array" ref="K179">IF(SUMPRODUCT((A179&gt;=SchoolHols[Start])*(A179&lt;=SchoolHols[End]))&gt;0,"Y","N")</f>
        <v>Y</v>
      </c>
    </row>
    <row r="180" spans="1:11">
      <c r="A180" s="6">
        <f t="shared" si="17"/>
        <v>43279</v>
      </c>
      <c r="B180" s="4" t="str">
        <f t="shared" si="12"/>
        <v>28</v>
      </c>
      <c r="C180" s="4" t="str">
        <f t="shared" si="13"/>
        <v>06</v>
      </c>
      <c r="D180" s="4" t="str">
        <f t="shared" si="14"/>
        <v>2018</v>
      </c>
      <c r="E180" s="3" t="str">
        <f t="shared" si="15"/>
        <v>Thursday</v>
      </c>
      <c r="F180" s="4" t="str">
        <f t="shared" si="16"/>
        <v>N</v>
      </c>
      <c r="G180" s="4" t="str">
        <f>IF(COUNTIF(PublicHols[Date], A180)&gt;0, "Y", "N")</f>
        <v>N</v>
      </c>
      <c r="H180" s="3" t="str">
        <f>IFERROR(_xlfn.XLOOKUP(A180, PublicHols[Date], PublicHols[PH_Name]),"")</f>
        <v/>
      </c>
      <c r="I180" s="4" t="str">
        <f>IF(COUNTIF(EventsAll[Date], A180)&gt;0, "Y", "N")</f>
        <v>N</v>
      </c>
      <c r="J180" s="11" t="str">
        <f>IFERROR(_xlfn.XLOOKUP(A180, EventsAll[Date], EventsAll[Event]),"")</f>
        <v/>
      </c>
      <c r="K180" s="4" t="str" cm="1">
        <f t="array" ref="K180">IF(SUMPRODUCT((A180&gt;=SchoolHols[Start])*(A180&lt;=SchoolHols[End]))&gt;0,"Y","N")</f>
        <v>Y</v>
      </c>
    </row>
    <row r="181" spans="1:11">
      <c r="A181" s="6">
        <f t="shared" si="17"/>
        <v>43280</v>
      </c>
      <c r="B181" s="4" t="str">
        <f t="shared" si="12"/>
        <v>29</v>
      </c>
      <c r="C181" s="4" t="str">
        <f t="shared" si="13"/>
        <v>06</v>
      </c>
      <c r="D181" s="4" t="str">
        <f t="shared" si="14"/>
        <v>2018</v>
      </c>
      <c r="E181" s="3" t="str">
        <f t="shared" si="15"/>
        <v>Friday</v>
      </c>
      <c r="F181" s="4" t="str">
        <f t="shared" si="16"/>
        <v>N</v>
      </c>
      <c r="G181" s="4" t="str">
        <f>IF(COUNTIF(PublicHols[Date], A181)&gt;0, "Y", "N")</f>
        <v>N</v>
      </c>
      <c r="H181" s="3" t="str">
        <f>IFERROR(_xlfn.XLOOKUP(A181, PublicHols[Date], PublicHols[PH_Name]),"")</f>
        <v/>
      </c>
      <c r="I181" s="4" t="str">
        <f>IF(COUNTIF(EventsAll[Date], A181)&gt;0, "Y", "N")</f>
        <v>N</v>
      </c>
      <c r="J181" s="11" t="str">
        <f>IFERROR(_xlfn.XLOOKUP(A181, EventsAll[Date], EventsAll[Event]),"")</f>
        <v/>
      </c>
      <c r="K181" s="4" t="str" cm="1">
        <f t="array" ref="K181">IF(SUMPRODUCT((A181&gt;=SchoolHols[Start])*(A181&lt;=SchoolHols[End]))&gt;0,"Y","N")</f>
        <v>Y</v>
      </c>
    </row>
    <row r="182" spans="1:11">
      <c r="A182" s="6">
        <f t="shared" si="17"/>
        <v>43281</v>
      </c>
      <c r="B182" s="4" t="str">
        <f t="shared" si="12"/>
        <v>30</v>
      </c>
      <c r="C182" s="4" t="str">
        <f t="shared" si="13"/>
        <v>06</v>
      </c>
      <c r="D182" s="4" t="str">
        <f t="shared" si="14"/>
        <v>2018</v>
      </c>
      <c r="E182" s="3" t="str">
        <f t="shared" si="15"/>
        <v>Saturday</v>
      </c>
      <c r="F182" s="4" t="str">
        <f t="shared" si="16"/>
        <v>N</v>
      </c>
      <c r="G182" s="4" t="str">
        <f>IF(COUNTIF(PublicHols[Date], A182)&gt;0, "Y", "N")</f>
        <v>N</v>
      </c>
      <c r="H182" s="3" t="str">
        <f>IFERROR(_xlfn.XLOOKUP(A182, PublicHols[Date], PublicHols[PH_Name]),"")</f>
        <v/>
      </c>
      <c r="I182" s="4" t="str">
        <f>IF(COUNTIF(EventsAll[Date], A182)&gt;0, "Y", "N")</f>
        <v>N</v>
      </c>
      <c r="J182" s="11" t="str">
        <f>IFERROR(_xlfn.XLOOKUP(A182, EventsAll[Date], EventsAll[Event]),"")</f>
        <v/>
      </c>
      <c r="K182" s="4" t="str" cm="1">
        <f t="array" ref="K182">IF(SUMPRODUCT((A182&gt;=SchoolHols[Start])*(A182&lt;=SchoolHols[End]))&gt;0,"Y","N")</f>
        <v>Y</v>
      </c>
    </row>
    <row r="183" spans="1:11">
      <c r="A183" s="6">
        <f t="shared" si="17"/>
        <v>43282</v>
      </c>
      <c r="B183" s="4" t="str">
        <f t="shared" si="12"/>
        <v>01</v>
      </c>
      <c r="C183" s="4" t="str">
        <f t="shared" si="13"/>
        <v>07</v>
      </c>
      <c r="D183" s="4" t="str">
        <f t="shared" si="14"/>
        <v>2018</v>
      </c>
      <c r="E183" s="3" t="str">
        <f t="shared" si="15"/>
        <v>Sunday</v>
      </c>
      <c r="F183" s="4" t="str">
        <f t="shared" si="16"/>
        <v>Y</v>
      </c>
      <c r="G183" s="4" t="str">
        <f>IF(COUNTIF(PublicHols[Date], A183)&gt;0, "Y", "N")</f>
        <v>N</v>
      </c>
      <c r="H183" s="3" t="str">
        <f>IFERROR(_xlfn.XLOOKUP(A183, PublicHols[Date], PublicHols[PH_Name]),"")</f>
        <v/>
      </c>
      <c r="I183" s="4" t="str">
        <f>IF(COUNTIF(EventsAll[Date], A183)&gt;0, "Y", "N")</f>
        <v>N</v>
      </c>
      <c r="J183" s="11" t="str">
        <f>IFERROR(_xlfn.XLOOKUP(A183, EventsAll[Date], EventsAll[Event]),"")</f>
        <v/>
      </c>
      <c r="K183" s="4" t="str" cm="1">
        <f t="array" ref="K183">IF(SUMPRODUCT((A183&gt;=SchoolHols[Start])*(A183&lt;=SchoolHols[End]))&gt;0,"Y","N")</f>
        <v>Y</v>
      </c>
    </row>
    <row r="184" spans="1:11">
      <c r="A184" s="6">
        <f t="shared" si="17"/>
        <v>43283</v>
      </c>
      <c r="B184" s="4" t="str">
        <f t="shared" si="12"/>
        <v>02</v>
      </c>
      <c r="C184" s="4" t="str">
        <f t="shared" si="13"/>
        <v>07</v>
      </c>
      <c r="D184" s="4" t="str">
        <f t="shared" si="14"/>
        <v>2018</v>
      </c>
      <c r="E184" s="3" t="str">
        <f t="shared" si="15"/>
        <v>Monday</v>
      </c>
      <c r="F184" s="4" t="str">
        <f t="shared" si="16"/>
        <v>N</v>
      </c>
      <c r="G184" s="4" t="str">
        <f>IF(COUNTIF(PublicHols[Date], A184)&gt;0, "Y", "N")</f>
        <v>N</v>
      </c>
      <c r="H184" s="3" t="str">
        <f>IFERROR(_xlfn.XLOOKUP(A184, PublicHols[Date], PublicHols[PH_Name]),"")</f>
        <v/>
      </c>
      <c r="I184" s="4" t="str">
        <f>IF(COUNTIF(EventsAll[Date], A184)&gt;0, "Y", "N")</f>
        <v>N</v>
      </c>
      <c r="J184" s="11" t="str">
        <f>IFERROR(_xlfn.XLOOKUP(A184, EventsAll[Date], EventsAll[Event]),"")</f>
        <v/>
      </c>
      <c r="K184" s="4" t="str" cm="1">
        <f t="array" ref="K184">IF(SUMPRODUCT((A184&gt;=SchoolHols[Start])*(A184&lt;=SchoolHols[End]))&gt;0,"Y","N")</f>
        <v>Y</v>
      </c>
    </row>
    <row r="185" spans="1:11">
      <c r="A185" s="6">
        <f t="shared" si="17"/>
        <v>43284</v>
      </c>
      <c r="B185" s="4" t="str">
        <f t="shared" si="12"/>
        <v>03</v>
      </c>
      <c r="C185" s="4" t="str">
        <f t="shared" si="13"/>
        <v>07</v>
      </c>
      <c r="D185" s="4" t="str">
        <f t="shared" si="14"/>
        <v>2018</v>
      </c>
      <c r="E185" s="3" t="str">
        <f t="shared" si="15"/>
        <v>Tuesday</v>
      </c>
      <c r="F185" s="4" t="str">
        <f t="shared" si="16"/>
        <v>N</v>
      </c>
      <c r="G185" s="4" t="str">
        <f>IF(COUNTIF(PublicHols[Date], A185)&gt;0, "Y", "N")</f>
        <v>N</v>
      </c>
      <c r="H185" s="3" t="str">
        <f>IFERROR(_xlfn.XLOOKUP(A185, PublicHols[Date], PublicHols[PH_Name]),"")</f>
        <v/>
      </c>
      <c r="I185" s="4" t="str">
        <f>IF(COUNTIF(EventsAll[Date], A185)&gt;0, "Y", "N")</f>
        <v>N</v>
      </c>
      <c r="J185" s="11" t="str">
        <f>IFERROR(_xlfn.XLOOKUP(A185, EventsAll[Date], EventsAll[Event]),"")</f>
        <v/>
      </c>
      <c r="K185" s="4" t="str" cm="1">
        <f t="array" ref="K185">IF(SUMPRODUCT((A185&gt;=SchoolHols[Start])*(A185&lt;=SchoolHols[End]))&gt;0,"Y","N")</f>
        <v>Y</v>
      </c>
    </row>
    <row r="186" spans="1:11">
      <c r="A186" s="6">
        <f t="shared" si="17"/>
        <v>43285</v>
      </c>
      <c r="B186" s="4" t="str">
        <f t="shared" si="12"/>
        <v>04</v>
      </c>
      <c r="C186" s="4" t="str">
        <f t="shared" si="13"/>
        <v>07</v>
      </c>
      <c r="D186" s="4" t="str">
        <f t="shared" si="14"/>
        <v>2018</v>
      </c>
      <c r="E186" s="3" t="str">
        <f t="shared" si="15"/>
        <v>Wednesday</v>
      </c>
      <c r="F186" s="4" t="str">
        <f t="shared" si="16"/>
        <v>N</v>
      </c>
      <c r="G186" s="4" t="str">
        <f>IF(COUNTIF(PublicHols[Date], A186)&gt;0, "Y", "N")</f>
        <v>N</v>
      </c>
      <c r="H186" s="3" t="str">
        <f>IFERROR(_xlfn.XLOOKUP(A186, PublicHols[Date], PublicHols[PH_Name]),"")</f>
        <v/>
      </c>
      <c r="I186" s="4" t="str">
        <f>IF(COUNTIF(EventsAll[Date], A186)&gt;0, "Y", "N")</f>
        <v>N</v>
      </c>
      <c r="J186" s="11" t="str">
        <f>IFERROR(_xlfn.XLOOKUP(A186, EventsAll[Date], EventsAll[Event]),"")</f>
        <v/>
      </c>
      <c r="K186" s="4" t="str" cm="1">
        <f t="array" ref="K186">IF(SUMPRODUCT((A186&gt;=SchoolHols[Start])*(A186&lt;=SchoolHols[End]))&gt;0,"Y","N")</f>
        <v>Y</v>
      </c>
    </row>
    <row r="187" spans="1:11">
      <c r="A187" s="6">
        <f t="shared" si="17"/>
        <v>43286</v>
      </c>
      <c r="B187" s="4" t="str">
        <f t="shared" si="12"/>
        <v>05</v>
      </c>
      <c r="C187" s="4" t="str">
        <f t="shared" si="13"/>
        <v>07</v>
      </c>
      <c r="D187" s="4" t="str">
        <f t="shared" si="14"/>
        <v>2018</v>
      </c>
      <c r="E187" s="3" t="str">
        <f t="shared" si="15"/>
        <v>Thursday</v>
      </c>
      <c r="F187" s="4" t="str">
        <f t="shared" si="16"/>
        <v>N</v>
      </c>
      <c r="G187" s="4" t="str">
        <f>IF(COUNTIF(PublicHols[Date], A187)&gt;0, "Y", "N")</f>
        <v>N</v>
      </c>
      <c r="H187" s="3" t="str">
        <f>IFERROR(_xlfn.XLOOKUP(A187, PublicHols[Date], PublicHols[PH_Name]),"")</f>
        <v/>
      </c>
      <c r="I187" s="4" t="str">
        <f>IF(COUNTIF(EventsAll[Date], A187)&gt;0, "Y", "N")</f>
        <v>N</v>
      </c>
      <c r="J187" s="11" t="str">
        <f>IFERROR(_xlfn.XLOOKUP(A187, EventsAll[Date], EventsAll[Event]),"")</f>
        <v/>
      </c>
      <c r="K187" s="4" t="str" cm="1">
        <f t="array" ref="K187">IF(SUMPRODUCT((A187&gt;=SchoolHols[Start])*(A187&lt;=SchoolHols[End]))&gt;0,"Y","N")</f>
        <v>Y</v>
      </c>
    </row>
    <row r="188" spans="1:11">
      <c r="A188" s="6">
        <f t="shared" si="17"/>
        <v>43287</v>
      </c>
      <c r="B188" s="4" t="str">
        <f t="shared" si="12"/>
        <v>06</v>
      </c>
      <c r="C188" s="4" t="str">
        <f t="shared" si="13"/>
        <v>07</v>
      </c>
      <c r="D188" s="4" t="str">
        <f t="shared" si="14"/>
        <v>2018</v>
      </c>
      <c r="E188" s="3" t="str">
        <f t="shared" si="15"/>
        <v>Friday</v>
      </c>
      <c r="F188" s="4" t="str">
        <f t="shared" si="16"/>
        <v>N</v>
      </c>
      <c r="G188" s="4" t="str">
        <f>IF(COUNTIF(PublicHols[Date], A188)&gt;0, "Y", "N")</f>
        <v>N</v>
      </c>
      <c r="H188" s="3" t="str">
        <f>IFERROR(_xlfn.XLOOKUP(A188, PublicHols[Date], PublicHols[PH_Name]),"")</f>
        <v/>
      </c>
      <c r="I188" s="4" t="str">
        <f>IF(COUNTIF(EventsAll[Date], A188)&gt;0, "Y", "N")</f>
        <v>N</v>
      </c>
      <c r="J188" s="11" t="str">
        <f>IFERROR(_xlfn.XLOOKUP(A188, EventsAll[Date], EventsAll[Event]),"")</f>
        <v/>
      </c>
      <c r="K188" s="4" t="str" cm="1">
        <f t="array" ref="K188">IF(SUMPRODUCT((A188&gt;=SchoolHols[Start])*(A188&lt;=SchoolHols[End]))&gt;0,"Y","N")</f>
        <v>Y</v>
      </c>
    </row>
    <row r="189" spans="1:11">
      <c r="A189" s="6">
        <f t="shared" si="17"/>
        <v>43288</v>
      </c>
      <c r="B189" s="4" t="str">
        <f t="shared" si="12"/>
        <v>07</v>
      </c>
      <c r="C189" s="4" t="str">
        <f t="shared" si="13"/>
        <v>07</v>
      </c>
      <c r="D189" s="4" t="str">
        <f t="shared" si="14"/>
        <v>2018</v>
      </c>
      <c r="E189" s="3" t="str">
        <f t="shared" si="15"/>
        <v>Saturday</v>
      </c>
      <c r="F189" s="4" t="str">
        <f t="shared" si="16"/>
        <v>N</v>
      </c>
      <c r="G189" s="4" t="str">
        <f>IF(COUNTIF(PublicHols[Date], A189)&gt;0, "Y", "N")</f>
        <v>N</v>
      </c>
      <c r="H189" s="3" t="str">
        <f>IFERROR(_xlfn.XLOOKUP(A189, PublicHols[Date], PublicHols[PH_Name]),"")</f>
        <v/>
      </c>
      <c r="I189" s="4" t="str">
        <f>IF(COUNTIF(EventsAll[Date], A189)&gt;0, "Y", "N")</f>
        <v>N</v>
      </c>
      <c r="J189" s="11" t="str">
        <f>IFERROR(_xlfn.XLOOKUP(A189, EventsAll[Date], EventsAll[Event]),"")</f>
        <v/>
      </c>
      <c r="K189" s="4" t="str" cm="1">
        <f t="array" ref="K189">IF(SUMPRODUCT((A189&gt;=SchoolHols[Start])*(A189&lt;=SchoolHols[End]))&gt;0,"Y","N")</f>
        <v>Y</v>
      </c>
    </row>
    <row r="190" spans="1:11">
      <c r="A190" s="6">
        <f t="shared" si="17"/>
        <v>43289</v>
      </c>
      <c r="B190" s="4" t="str">
        <f t="shared" si="12"/>
        <v>08</v>
      </c>
      <c r="C190" s="4" t="str">
        <f t="shared" si="13"/>
        <v>07</v>
      </c>
      <c r="D190" s="4" t="str">
        <f t="shared" si="14"/>
        <v>2018</v>
      </c>
      <c r="E190" s="3" t="str">
        <f t="shared" si="15"/>
        <v>Sunday</v>
      </c>
      <c r="F190" s="4" t="str">
        <f t="shared" si="16"/>
        <v>Y</v>
      </c>
      <c r="G190" s="4" t="str">
        <f>IF(COUNTIF(PublicHols[Date], A190)&gt;0, "Y", "N")</f>
        <v>N</v>
      </c>
      <c r="H190" s="3" t="str">
        <f>IFERROR(_xlfn.XLOOKUP(A190, PublicHols[Date], PublicHols[PH_Name]),"")</f>
        <v/>
      </c>
      <c r="I190" s="4" t="str">
        <f>IF(COUNTIF(EventsAll[Date], A190)&gt;0, "Y", "N")</f>
        <v>N</v>
      </c>
      <c r="J190" s="11" t="str">
        <f>IFERROR(_xlfn.XLOOKUP(A190, EventsAll[Date], EventsAll[Event]),"")</f>
        <v/>
      </c>
      <c r="K190" s="4" t="str" cm="1">
        <f t="array" ref="K190">IF(SUMPRODUCT((A190&gt;=SchoolHols[Start])*(A190&lt;=SchoolHols[End]))&gt;0,"Y","N")</f>
        <v>Y</v>
      </c>
    </row>
    <row r="191" spans="1:11">
      <c r="A191" s="6">
        <f t="shared" si="17"/>
        <v>43290</v>
      </c>
      <c r="B191" s="4" t="str">
        <f t="shared" si="12"/>
        <v>09</v>
      </c>
      <c r="C191" s="4" t="str">
        <f t="shared" si="13"/>
        <v>07</v>
      </c>
      <c r="D191" s="4" t="str">
        <f t="shared" si="14"/>
        <v>2018</v>
      </c>
      <c r="E191" s="3" t="str">
        <f t="shared" si="15"/>
        <v>Monday</v>
      </c>
      <c r="F191" s="4" t="str">
        <f t="shared" si="16"/>
        <v>N</v>
      </c>
      <c r="G191" s="4" t="str">
        <f>IF(COUNTIF(PublicHols[Date], A191)&gt;0, "Y", "N")</f>
        <v>N</v>
      </c>
      <c r="H191" s="3" t="str">
        <f>IFERROR(_xlfn.XLOOKUP(A191, PublicHols[Date], PublicHols[PH_Name]),"")</f>
        <v/>
      </c>
      <c r="I191" s="4" t="str">
        <f>IF(COUNTIF(EventsAll[Date], A191)&gt;0, "Y", "N")</f>
        <v>Y</v>
      </c>
      <c r="J191" s="11" t="str">
        <f>IFERROR(_xlfn.XLOOKUP(A191, EventsAll[Date], EventsAll[Event]),"")</f>
        <v xml:space="preserve"> Back to School (Term 3)</v>
      </c>
      <c r="K191" s="4" t="str" cm="1">
        <f t="array" ref="K191">IF(SUMPRODUCT((A191&gt;=SchoolHols[Start])*(A191&lt;=SchoolHols[End]))&gt;0,"Y","N")</f>
        <v>Y</v>
      </c>
    </row>
    <row r="192" spans="1:11">
      <c r="A192" s="6">
        <f t="shared" si="17"/>
        <v>43291</v>
      </c>
      <c r="B192" s="4" t="str">
        <f t="shared" si="12"/>
        <v>10</v>
      </c>
      <c r="C192" s="4" t="str">
        <f t="shared" si="13"/>
        <v>07</v>
      </c>
      <c r="D192" s="4" t="str">
        <f t="shared" si="14"/>
        <v>2018</v>
      </c>
      <c r="E192" s="3" t="str">
        <f t="shared" si="15"/>
        <v>Tuesday</v>
      </c>
      <c r="F192" s="4" t="str">
        <f t="shared" si="16"/>
        <v>N</v>
      </c>
      <c r="G192" s="4" t="str">
        <f>IF(COUNTIF(PublicHols[Date], A192)&gt;0, "Y", "N")</f>
        <v>N</v>
      </c>
      <c r="H192" s="3" t="str">
        <f>IFERROR(_xlfn.XLOOKUP(A192, PublicHols[Date], PublicHols[PH_Name]),"")</f>
        <v/>
      </c>
      <c r="I192" s="4" t="str">
        <f>IF(COUNTIF(EventsAll[Date], A192)&gt;0, "Y", "N")</f>
        <v>N</v>
      </c>
      <c r="J192" s="11" t="str">
        <f>IFERROR(_xlfn.XLOOKUP(A192, EventsAll[Date], EventsAll[Event]),"")</f>
        <v/>
      </c>
      <c r="K192" s="4" t="str" cm="1">
        <f t="array" ref="K192">IF(SUMPRODUCT((A192&gt;=SchoolHols[Start])*(A192&lt;=SchoolHols[End]))&gt;0,"Y","N")</f>
        <v>Y</v>
      </c>
    </row>
    <row r="193" spans="1:11">
      <c r="A193" s="6">
        <f t="shared" si="17"/>
        <v>43292</v>
      </c>
      <c r="B193" s="4" t="str">
        <f t="shared" si="12"/>
        <v>11</v>
      </c>
      <c r="C193" s="4" t="str">
        <f t="shared" si="13"/>
        <v>07</v>
      </c>
      <c r="D193" s="4" t="str">
        <f t="shared" si="14"/>
        <v>2018</v>
      </c>
      <c r="E193" s="3" t="str">
        <f t="shared" si="15"/>
        <v>Wednesday</v>
      </c>
      <c r="F193" s="4" t="str">
        <f t="shared" si="16"/>
        <v>N</v>
      </c>
      <c r="G193" s="4" t="str">
        <f>IF(COUNTIF(PublicHols[Date], A193)&gt;0, "Y", "N")</f>
        <v>N</v>
      </c>
      <c r="H193" s="3" t="str">
        <f>IFERROR(_xlfn.XLOOKUP(A193, PublicHols[Date], PublicHols[PH_Name]),"")</f>
        <v/>
      </c>
      <c r="I193" s="4" t="str">
        <f>IF(COUNTIF(EventsAll[Date], A193)&gt;0, "Y", "N")</f>
        <v>N</v>
      </c>
      <c r="J193" s="11" t="str">
        <f>IFERROR(_xlfn.XLOOKUP(A193, EventsAll[Date], EventsAll[Event]),"")</f>
        <v/>
      </c>
      <c r="K193" s="4" t="str" cm="1">
        <f t="array" ref="K193">IF(SUMPRODUCT((A193&gt;=SchoolHols[Start])*(A193&lt;=SchoolHols[End]))&gt;0,"Y","N")</f>
        <v>Y</v>
      </c>
    </row>
    <row r="194" spans="1:11">
      <c r="A194" s="6">
        <f t="shared" si="17"/>
        <v>43293</v>
      </c>
      <c r="B194" s="4" t="str">
        <f t="shared" si="12"/>
        <v>12</v>
      </c>
      <c r="C194" s="4" t="str">
        <f t="shared" si="13"/>
        <v>07</v>
      </c>
      <c r="D194" s="4" t="str">
        <f t="shared" si="14"/>
        <v>2018</v>
      </c>
      <c r="E194" s="3" t="str">
        <f t="shared" si="15"/>
        <v>Thursday</v>
      </c>
      <c r="F194" s="4" t="str">
        <f t="shared" si="16"/>
        <v>N</v>
      </c>
      <c r="G194" s="4" t="str">
        <f>IF(COUNTIF(PublicHols[Date], A194)&gt;0, "Y", "N")</f>
        <v>N</v>
      </c>
      <c r="H194" s="3" t="str">
        <f>IFERROR(_xlfn.XLOOKUP(A194, PublicHols[Date], PublicHols[PH_Name]),"")</f>
        <v/>
      </c>
      <c r="I194" s="4" t="str">
        <f>IF(COUNTIF(EventsAll[Date], A194)&gt;0, "Y", "N")</f>
        <v>N</v>
      </c>
      <c r="J194" s="11" t="str">
        <f>IFERROR(_xlfn.XLOOKUP(A194, EventsAll[Date], EventsAll[Event]),"")</f>
        <v/>
      </c>
      <c r="K194" s="4" t="str" cm="1">
        <f t="array" ref="K194">IF(SUMPRODUCT((A194&gt;=SchoolHols[Start])*(A194&lt;=SchoolHols[End]))&gt;0,"Y","N")</f>
        <v>Y</v>
      </c>
    </row>
    <row r="195" spans="1:11">
      <c r="A195" s="6">
        <f t="shared" si="17"/>
        <v>43294</v>
      </c>
      <c r="B195" s="4" t="str">
        <f t="shared" ref="B195:B258" si="18">TEXT($A195, "dd")</f>
        <v>13</v>
      </c>
      <c r="C195" s="4" t="str">
        <f t="shared" ref="C195:C258" si="19">TEXT($A195, "mm")</f>
        <v>07</v>
      </c>
      <c r="D195" s="4" t="str">
        <f t="shared" ref="D195:D258" si="20">TEXT($A195, "yyyy")</f>
        <v>2018</v>
      </c>
      <c r="E195" s="3" t="str">
        <f t="shared" ref="E195:E258" si="21">TEXT($A195, "dddd")</f>
        <v>Friday</v>
      </c>
      <c r="F195" s="4" t="str">
        <f t="shared" ref="F195:F258" si="22">IF($E195="Sunday", "Y", "N")</f>
        <v>N</v>
      </c>
      <c r="G195" s="4" t="str">
        <f>IF(COUNTIF(PublicHols[Date], A195)&gt;0, "Y", "N")</f>
        <v>N</v>
      </c>
      <c r="H195" s="3" t="str">
        <f>IFERROR(_xlfn.XLOOKUP(A195, PublicHols[Date], PublicHols[PH_Name]),"")</f>
        <v/>
      </c>
      <c r="I195" s="4" t="str">
        <f>IF(COUNTIF(EventsAll[Date], A195)&gt;0, "Y", "N")</f>
        <v>N</v>
      </c>
      <c r="J195" s="11" t="str">
        <f>IFERROR(_xlfn.XLOOKUP(A195, EventsAll[Date], EventsAll[Event]),"")</f>
        <v/>
      </c>
      <c r="K195" s="4" t="str" cm="1">
        <f t="array" ref="K195">IF(SUMPRODUCT((A195&gt;=SchoolHols[Start])*(A195&lt;=SchoolHols[End]))&gt;0,"Y","N")</f>
        <v>Y</v>
      </c>
    </row>
    <row r="196" spans="1:11">
      <c r="A196" s="6">
        <f t="shared" ref="A196:A259" si="23">$A195+1</f>
        <v>43295</v>
      </c>
      <c r="B196" s="4" t="str">
        <f t="shared" si="18"/>
        <v>14</v>
      </c>
      <c r="C196" s="4" t="str">
        <f t="shared" si="19"/>
        <v>07</v>
      </c>
      <c r="D196" s="4" t="str">
        <f t="shared" si="20"/>
        <v>2018</v>
      </c>
      <c r="E196" s="3" t="str">
        <f t="shared" si="21"/>
        <v>Saturday</v>
      </c>
      <c r="F196" s="4" t="str">
        <f t="shared" si="22"/>
        <v>N</v>
      </c>
      <c r="G196" s="4" t="str">
        <f>IF(COUNTIF(PublicHols[Date], A196)&gt;0, "Y", "N")</f>
        <v>N</v>
      </c>
      <c r="H196" s="3" t="str">
        <f>IFERROR(_xlfn.XLOOKUP(A196, PublicHols[Date], PublicHols[PH_Name]),"")</f>
        <v/>
      </c>
      <c r="I196" s="4" t="str">
        <f>IF(COUNTIF(EventsAll[Date], A196)&gt;0, "Y", "N")</f>
        <v>N</v>
      </c>
      <c r="J196" s="11" t="str">
        <f>IFERROR(_xlfn.XLOOKUP(A196, EventsAll[Date], EventsAll[Event]),"")</f>
        <v/>
      </c>
      <c r="K196" s="4" t="str" cm="1">
        <f t="array" ref="K196">IF(SUMPRODUCT((A196&gt;=SchoolHols[Start])*(A196&lt;=SchoolHols[End]))&gt;0,"Y","N")</f>
        <v>Y</v>
      </c>
    </row>
    <row r="197" spans="1:11">
      <c r="A197" s="6">
        <f t="shared" si="23"/>
        <v>43296</v>
      </c>
      <c r="B197" s="4" t="str">
        <f t="shared" si="18"/>
        <v>15</v>
      </c>
      <c r="C197" s="4" t="str">
        <f t="shared" si="19"/>
        <v>07</v>
      </c>
      <c r="D197" s="4" t="str">
        <f t="shared" si="20"/>
        <v>2018</v>
      </c>
      <c r="E197" s="3" t="str">
        <f t="shared" si="21"/>
        <v>Sunday</v>
      </c>
      <c r="F197" s="4" t="str">
        <f t="shared" si="22"/>
        <v>Y</v>
      </c>
      <c r="G197" s="4" t="str">
        <f>IF(COUNTIF(PublicHols[Date], A197)&gt;0, "Y", "N")</f>
        <v>N</v>
      </c>
      <c r="H197" s="3" t="str">
        <f>IFERROR(_xlfn.XLOOKUP(A197, PublicHols[Date], PublicHols[PH_Name]),"")</f>
        <v/>
      </c>
      <c r="I197" s="4" t="str">
        <f>IF(COUNTIF(EventsAll[Date], A197)&gt;0, "Y", "N")</f>
        <v>N</v>
      </c>
      <c r="J197" s="11" t="str">
        <f>IFERROR(_xlfn.XLOOKUP(A197, EventsAll[Date], EventsAll[Event]),"")</f>
        <v/>
      </c>
      <c r="K197" s="4" t="str" cm="1">
        <f t="array" ref="K197">IF(SUMPRODUCT((A197&gt;=SchoolHols[Start])*(A197&lt;=SchoolHols[End]))&gt;0,"Y","N")</f>
        <v>Y</v>
      </c>
    </row>
    <row r="198" spans="1:11">
      <c r="A198" s="6">
        <f t="shared" si="23"/>
        <v>43297</v>
      </c>
      <c r="B198" s="4" t="str">
        <f t="shared" si="18"/>
        <v>16</v>
      </c>
      <c r="C198" s="4" t="str">
        <f t="shared" si="19"/>
        <v>07</v>
      </c>
      <c r="D198" s="4" t="str">
        <f t="shared" si="20"/>
        <v>2018</v>
      </c>
      <c r="E198" s="3" t="str">
        <f t="shared" si="21"/>
        <v>Monday</v>
      </c>
      <c r="F198" s="4" t="str">
        <f t="shared" si="22"/>
        <v>N</v>
      </c>
      <c r="G198" s="4" t="str">
        <f>IF(COUNTIF(PublicHols[Date], A198)&gt;0, "Y", "N")</f>
        <v>N</v>
      </c>
      <c r="H198" s="3" t="str">
        <f>IFERROR(_xlfn.XLOOKUP(A198, PublicHols[Date], PublicHols[PH_Name]),"")</f>
        <v/>
      </c>
      <c r="I198" s="4" t="str">
        <f>IF(COUNTIF(EventsAll[Date], A198)&gt;0, "Y", "N")</f>
        <v>N</v>
      </c>
      <c r="J198" s="11" t="str">
        <f>IFERROR(_xlfn.XLOOKUP(A198, EventsAll[Date], EventsAll[Event]),"")</f>
        <v/>
      </c>
      <c r="K198" s="4" t="str" cm="1">
        <f t="array" ref="K198">IF(SUMPRODUCT((A198&gt;=SchoolHols[Start])*(A198&lt;=SchoolHols[End]))&gt;0,"Y","N")</f>
        <v>Y</v>
      </c>
    </row>
    <row r="199" spans="1:11">
      <c r="A199" s="6">
        <f t="shared" si="23"/>
        <v>43298</v>
      </c>
      <c r="B199" s="4" t="str">
        <f t="shared" si="18"/>
        <v>17</v>
      </c>
      <c r="C199" s="4" t="str">
        <f t="shared" si="19"/>
        <v>07</v>
      </c>
      <c r="D199" s="4" t="str">
        <f t="shared" si="20"/>
        <v>2018</v>
      </c>
      <c r="E199" s="3" t="str">
        <f t="shared" si="21"/>
        <v>Tuesday</v>
      </c>
      <c r="F199" s="4" t="str">
        <f t="shared" si="22"/>
        <v>N</v>
      </c>
      <c r="G199" s="4" t="str">
        <f>IF(COUNTIF(PublicHols[Date], A199)&gt;0, "Y", "N")</f>
        <v>N</v>
      </c>
      <c r="H199" s="3" t="str">
        <f>IFERROR(_xlfn.XLOOKUP(A199, PublicHols[Date], PublicHols[PH_Name]),"")</f>
        <v/>
      </c>
      <c r="I199" s="4" t="str">
        <f>IF(COUNTIF(EventsAll[Date], A199)&gt;0, "Y", "N")</f>
        <v>N</v>
      </c>
      <c r="J199" s="11" t="str">
        <f>IFERROR(_xlfn.XLOOKUP(A199, EventsAll[Date], EventsAll[Event]),"")</f>
        <v/>
      </c>
      <c r="K199" s="4" t="str" cm="1">
        <f t="array" ref="K199">IF(SUMPRODUCT((A199&gt;=SchoolHols[Start])*(A199&lt;=SchoolHols[End]))&gt;0,"Y","N")</f>
        <v>N</v>
      </c>
    </row>
    <row r="200" spans="1:11">
      <c r="A200" s="6">
        <f t="shared" si="23"/>
        <v>43299</v>
      </c>
      <c r="B200" s="4" t="str">
        <f t="shared" si="18"/>
        <v>18</v>
      </c>
      <c r="C200" s="4" t="str">
        <f t="shared" si="19"/>
        <v>07</v>
      </c>
      <c r="D200" s="4" t="str">
        <f t="shared" si="20"/>
        <v>2018</v>
      </c>
      <c r="E200" s="3" t="str">
        <f t="shared" si="21"/>
        <v>Wednesday</v>
      </c>
      <c r="F200" s="4" t="str">
        <f t="shared" si="22"/>
        <v>N</v>
      </c>
      <c r="G200" s="4" t="str">
        <f>IF(COUNTIF(PublicHols[Date], A200)&gt;0, "Y", "N")</f>
        <v>N</v>
      </c>
      <c r="H200" s="3" t="str">
        <f>IFERROR(_xlfn.XLOOKUP(A200, PublicHols[Date], PublicHols[PH_Name]),"")</f>
        <v/>
      </c>
      <c r="I200" s="4" t="str">
        <f>IF(COUNTIF(EventsAll[Date], A200)&gt;0, "Y", "N")</f>
        <v>N</v>
      </c>
      <c r="J200" s="11" t="str">
        <f>IFERROR(_xlfn.XLOOKUP(A200, EventsAll[Date], EventsAll[Event]),"")</f>
        <v/>
      </c>
      <c r="K200" s="4" t="str" cm="1">
        <f t="array" ref="K200">IF(SUMPRODUCT((A200&gt;=SchoolHols[Start])*(A200&lt;=SchoolHols[End]))&gt;0,"Y","N")</f>
        <v>N</v>
      </c>
    </row>
    <row r="201" spans="1:11">
      <c r="A201" s="6">
        <f t="shared" si="23"/>
        <v>43300</v>
      </c>
      <c r="B201" s="4" t="str">
        <f t="shared" si="18"/>
        <v>19</v>
      </c>
      <c r="C201" s="4" t="str">
        <f t="shared" si="19"/>
        <v>07</v>
      </c>
      <c r="D201" s="4" t="str">
        <f t="shared" si="20"/>
        <v>2018</v>
      </c>
      <c r="E201" s="3" t="str">
        <f t="shared" si="21"/>
        <v>Thursday</v>
      </c>
      <c r="F201" s="4" t="str">
        <f t="shared" si="22"/>
        <v>N</v>
      </c>
      <c r="G201" s="4" t="str">
        <f>IF(COUNTIF(PublicHols[Date], A201)&gt;0, "Y", "N")</f>
        <v>N</v>
      </c>
      <c r="H201" s="3" t="str">
        <f>IFERROR(_xlfn.XLOOKUP(A201, PublicHols[Date], PublicHols[PH_Name]),"")</f>
        <v/>
      </c>
      <c r="I201" s="4" t="str">
        <f>IF(COUNTIF(EventsAll[Date], A201)&gt;0, "Y", "N")</f>
        <v>N</v>
      </c>
      <c r="J201" s="11" t="str">
        <f>IFERROR(_xlfn.XLOOKUP(A201, EventsAll[Date], EventsAll[Event]),"")</f>
        <v/>
      </c>
      <c r="K201" s="4" t="str" cm="1">
        <f t="array" ref="K201">IF(SUMPRODUCT((A201&gt;=SchoolHols[Start])*(A201&lt;=SchoolHols[End]))&gt;0,"Y","N")</f>
        <v>N</v>
      </c>
    </row>
    <row r="202" spans="1:11">
      <c r="A202" s="6">
        <f t="shared" si="23"/>
        <v>43301</v>
      </c>
      <c r="B202" s="4" t="str">
        <f t="shared" si="18"/>
        <v>20</v>
      </c>
      <c r="C202" s="4" t="str">
        <f t="shared" si="19"/>
        <v>07</v>
      </c>
      <c r="D202" s="4" t="str">
        <f t="shared" si="20"/>
        <v>2018</v>
      </c>
      <c r="E202" s="3" t="str">
        <f t="shared" si="21"/>
        <v>Friday</v>
      </c>
      <c r="F202" s="4" t="str">
        <f t="shared" si="22"/>
        <v>N</v>
      </c>
      <c r="G202" s="4" t="str">
        <f>IF(COUNTIF(PublicHols[Date], A202)&gt;0, "Y", "N")</f>
        <v>N</v>
      </c>
      <c r="H202" s="3" t="str">
        <f>IFERROR(_xlfn.XLOOKUP(A202, PublicHols[Date], PublicHols[PH_Name]),"")</f>
        <v/>
      </c>
      <c r="I202" s="4" t="str">
        <f>IF(COUNTIF(EventsAll[Date], A202)&gt;0, "Y", "N")</f>
        <v>N</v>
      </c>
      <c r="J202" s="11" t="str">
        <f>IFERROR(_xlfn.XLOOKUP(A202, EventsAll[Date], EventsAll[Event]),"")</f>
        <v/>
      </c>
      <c r="K202" s="4" t="str" cm="1">
        <f t="array" ref="K202">IF(SUMPRODUCT((A202&gt;=SchoolHols[Start])*(A202&lt;=SchoolHols[End]))&gt;0,"Y","N")</f>
        <v>N</v>
      </c>
    </row>
    <row r="203" spans="1:11">
      <c r="A203" s="6">
        <f t="shared" si="23"/>
        <v>43302</v>
      </c>
      <c r="B203" s="4" t="str">
        <f t="shared" si="18"/>
        <v>21</v>
      </c>
      <c r="C203" s="4" t="str">
        <f t="shared" si="19"/>
        <v>07</v>
      </c>
      <c r="D203" s="4" t="str">
        <f t="shared" si="20"/>
        <v>2018</v>
      </c>
      <c r="E203" s="3" t="str">
        <f t="shared" si="21"/>
        <v>Saturday</v>
      </c>
      <c r="F203" s="4" t="str">
        <f t="shared" si="22"/>
        <v>N</v>
      </c>
      <c r="G203" s="4" t="str">
        <f>IF(COUNTIF(PublicHols[Date], A203)&gt;0, "Y", "N")</f>
        <v>N</v>
      </c>
      <c r="H203" s="3" t="str">
        <f>IFERROR(_xlfn.XLOOKUP(A203, PublicHols[Date], PublicHols[PH_Name]),"")</f>
        <v/>
      </c>
      <c r="I203" s="4" t="str">
        <f>IF(COUNTIF(EventsAll[Date], A203)&gt;0, "Y", "N")</f>
        <v>N</v>
      </c>
      <c r="J203" s="11" t="str">
        <f>IFERROR(_xlfn.XLOOKUP(A203, EventsAll[Date], EventsAll[Event]),"")</f>
        <v/>
      </c>
      <c r="K203" s="4" t="str" cm="1">
        <f t="array" ref="K203">IF(SUMPRODUCT((A203&gt;=SchoolHols[Start])*(A203&lt;=SchoolHols[End]))&gt;0,"Y","N")</f>
        <v>N</v>
      </c>
    </row>
    <row r="204" spans="1:11">
      <c r="A204" s="6">
        <f t="shared" si="23"/>
        <v>43303</v>
      </c>
      <c r="B204" s="4" t="str">
        <f t="shared" si="18"/>
        <v>22</v>
      </c>
      <c r="C204" s="4" t="str">
        <f t="shared" si="19"/>
        <v>07</v>
      </c>
      <c r="D204" s="4" t="str">
        <f t="shared" si="20"/>
        <v>2018</v>
      </c>
      <c r="E204" s="3" t="str">
        <f t="shared" si="21"/>
        <v>Sunday</v>
      </c>
      <c r="F204" s="4" t="str">
        <f t="shared" si="22"/>
        <v>Y</v>
      </c>
      <c r="G204" s="4" t="str">
        <f>IF(COUNTIF(PublicHols[Date], A204)&gt;0, "Y", "N")</f>
        <v>N</v>
      </c>
      <c r="H204" s="3" t="str">
        <f>IFERROR(_xlfn.XLOOKUP(A204, PublicHols[Date], PublicHols[PH_Name]),"")</f>
        <v/>
      </c>
      <c r="I204" s="4" t="str">
        <f>IF(COUNTIF(EventsAll[Date], A204)&gt;0, "Y", "N")</f>
        <v>N</v>
      </c>
      <c r="J204" s="11" t="str">
        <f>IFERROR(_xlfn.XLOOKUP(A204, EventsAll[Date], EventsAll[Event]),"")</f>
        <v/>
      </c>
      <c r="K204" s="4" t="str" cm="1">
        <f t="array" ref="K204">IF(SUMPRODUCT((A204&gt;=SchoolHols[Start])*(A204&lt;=SchoolHols[End]))&gt;0,"Y","N")</f>
        <v>N</v>
      </c>
    </row>
    <row r="205" spans="1:11">
      <c r="A205" s="6">
        <f t="shared" si="23"/>
        <v>43304</v>
      </c>
      <c r="B205" s="4" t="str">
        <f t="shared" si="18"/>
        <v>23</v>
      </c>
      <c r="C205" s="4" t="str">
        <f t="shared" si="19"/>
        <v>07</v>
      </c>
      <c r="D205" s="4" t="str">
        <f t="shared" si="20"/>
        <v>2018</v>
      </c>
      <c r="E205" s="3" t="str">
        <f t="shared" si="21"/>
        <v>Monday</v>
      </c>
      <c r="F205" s="4" t="str">
        <f t="shared" si="22"/>
        <v>N</v>
      </c>
      <c r="G205" s="4" t="str">
        <f>IF(COUNTIF(PublicHols[Date], A205)&gt;0, "Y", "N")</f>
        <v>N</v>
      </c>
      <c r="H205" s="3" t="str">
        <f>IFERROR(_xlfn.XLOOKUP(A205, PublicHols[Date], PublicHols[PH_Name]),"")</f>
        <v/>
      </c>
      <c r="I205" s="4" t="str">
        <f>IF(COUNTIF(EventsAll[Date], A205)&gt;0, "Y", "N")</f>
        <v>N</v>
      </c>
      <c r="J205" s="11" t="str">
        <f>IFERROR(_xlfn.XLOOKUP(A205, EventsAll[Date], EventsAll[Event]),"")</f>
        <v/>
      </c>
      <c r="K205" s="4" t="str" cm="1">
        <f t="array" ref="K205">IF(SUMPRODUCT((A205&gt;=SchoolHols[Start])*(A205&lt;=SchoolHols[End]))&gt;0,"Y","N")</f>
        <v>N</v>
      </c>
    </row>
    <row r="206" spans="1:11">
      <c r="A206" s="6">
        <f t="shared" si="23"/>
        <v>43305</v>
      </c>
      <c r="B206" s="4" t="str">
        <f t="shared" si="18"/>
        <v>24</v>
      </c>
      <c r="C206" s="4" t="str">
        <f t="shared" si="19"/>
        <v>07</v>
      </c>
      <c r="D206" s="4" t="str">
        <f t="shared" si="20"/>
        <v>2018</v>
      </c>
      <c r="E206" s="3" t="str">
        <f t="shared" si="21"/>
        <v>Tuesday</v>
      </c>
      <c r="F206" s="4" t="str">
        <f t="shared" si="22"/>
        <v>N</v>
      </c>
      <c r="G206" s="4" t="str">
        <f>IF(COUNTIF(PublicHols[Date], A206)&gt;0, "Y", "N")</f>
        <v>N</v>
      </c>
      <c r="H206" s="3" t="str">
        <f>IFERROR(_xlfn.XLOOKUP(A206, PublicHols[Date], PublicHols[PH_Name]),"")</f>
        <v/>
      </c>
      <c r="I206" s="4" t="str">
        <f>IF(COUNTIF(EventsAll[Date], A206)&gt;0, "Y", "N")</f>
        <v>N</v>
      </c>
      <c r="J206" s="11" t="str">
        <f>IFERROR(_xlfn.XLOOKUP(A206, EventsAll[Date], EventsAll[Event]),"")</f>
        <v/>
      </c>
      <c r="K206" s="4" t="str" cm="1">
        <f t="array" ref="K206">IF(SUMPRODUCT((A206&gt;=SchoolHols[Start])*(A206&lt;=SchoolHols[End]))&gt;0,"Y","N")</f>
        <v>N</v>
      </c>
    </row>
    <row r="207" spans="1:11">
      <c r="A207" s="6">
        <f t="shared" si="23"/>
        <v>43306</v>
      </c>
      <c r="B207" s="4" t="str">
        <f t="shared" si="18"/>
        <v>25</v>
      </c>
      <c r="C207" s="4" t="str">
        <f t="shared" si="19"/>
        <v>07</v>
      </c>
      <c r="D207" s="4" t="str">
        <f t="shared" si="20"/>
        <v>2018</v>
      </c>
      <c r="E207" s="3" t="str">
        <f t="shared" si="21"/>
        <v>Wednesday</v>
      </c>
      <c r="F207" s="4" t="str">
        <f t="shared" si="22"/>
        <v>N</v>
      </c>
      <c r="G207" s="4" t="str">
        <f>IF(COUNTIF(PublicHols[Date], A207)&gt;0, "Y", "N")</f>
        <v>N</v>
      </c>
      <c r="H207" s="3" t="str">
        <f>IFERROR(_xlfn.XLOOKUP(A207, PublicHols[Date], PublicHols[PH_Name]),"")</f>
        <v/>
      </c>
      <c r="I207" s="4" t="str">
        <f>IF(COUNTIF(EventsAll[Date], A207)&gt;0, "Y", "N")</f>
        <v>N</v>
      </c>
      <c r="J207" s="11" t="str">
        <f>IFERROR(_xlfn.XLOOKUP(A207, EventsAll[Date], EventsAll[Event]),"")</f>
        <v/>
      </c>
      <c r="K207" s="4" t="str" cm="1">
        <f t="array" ref="K207">IF(SUMPRODUCT((A207&gt;=SchoolHols[Start])*(A207&lt;=SchoolHols[End]))&gt;0,"Y","N")</f>
        <v>N</v>
      </c>
    </row>
    <row r="208" spans="1:11">
      <c r="A208" s="6">
        <f t="shared" si="23"/>
        <v>43307</v>
      </c>
      <c r="B208" s="4" t="str">
        <f t="shared" si="18"/>
        <v>26</v>
      </c>
      <c r="C208" s="4" t="str">
        <f t="shared" si="19"/>
        <v>07</v>
      </c>
      <c r="D208" s="4" t="str">
        <f t="shared" si="20"/>
        <v>2018</v>
      </c>
      <c r="E208" s="3" t="str">
        <f t="shared" si="21"/>
        <v>Thursday</v>
      </c>
      <c r="F208" s="4" t="str">
        <f t="shared" si="22"/>
        <v>N</v>
      </c>
      <c r="G208" s="4" t="str">
        <f>IF(COUNTIF(PublicHols[Date], A208)&gt;0, "Y", "N")</f>
        <v>N</v>
      </c>
      <c r="H208" s="3" t="str">
        <f>IFERROR(_xlfn.XLOOKUP(A208, PublicHols[Date], PublicHols[PH_Name]),"")</f>
        <v/>
      </c>
      <c r="I208" s="4" t="str">
        <f>IF(COUNTIF(EventsAll[Date], A208)&gt;0, "Y", "N")</f>
        <v>N</v>
      </c>
      <c r="J208" s="11" t="str">
        <f>IFERROR(_xlfn.XLOOKUP(A208, EventsAll[Date], EventsAll[Event]),"")</f>
        <v/>
      </c>
      <c r="K208" s="4" t="str" cm="1">
        <f t="array" ref="K208">IF(SUMPRODUCT((A208&gt;=SchoolHols[Start])*(A208&lt;=SchoolHols[End]))&gt;0,"Y","N")</f>
        <v>N</v>
      </c>
    </row>
    <row r="209" spans="1:11">
      <c r="A209" s="6">
        <f t="shared" si="23"/>
        <v>43308</v>
      </c>
      <c r="B209" s="4" t="str">
        <f t="shared" si="18"/>
        <v>27</v>
      </c>
      <c r="C209" s="4" t="str">
        <f t="shared" si="19"/>
        <v>07</v>
      </c>
      <c r="D209" s="4" t="str">
        <f t="shared" si="20"/>
        <v>2018</v>
      </c>
      <c r="E209" s="3" t="str">
        <f t="shared" si="21"/>
        <v>Friday</v>
      </c>
      <c r="F209" s="4" t="str">
        <f t="shared" si="22"/>
        <v>N</v>
      </c>
      <c r="G209" s="4" t="str">
        <f>IF(COUNTIF(PublicHols[Date], A209)&gt;0, "Y", "N")</f>
        <v>N</v>
      </c>
      <c r="H209" s="3" t="str">
        <f>IFERROR(_xlfn.XLOOKUP(A209, PublicHols[Date], PublicHols[PH_Name]),"")</f>
        <v/>
      </c>
      <c r="I209" s="4" t="str">
        <f>IF(COUNTIF(EventsAll[Date], A209)&gt;0, "Y", "N")</f>
        <v>N</v>
      </c>
      <c r="J209" s="11" t="str">
        <f>IFERROR(_xlfn.XLOOKUP(A209, EventsAll[Date], EventsAll[Event]),"")</f>
        <v/>
      </c>
      <c r="K209" s="4" t="str" cm="1">
        <f t="array" ref="K209">IF(SUMPRODUCT((A209&gt;=SchoolHols[Start])*(A209&lt;=SchoolHols[End]))&gt;0,"Y","N")</f>
        <v>N</v>
      </c>
    </row>
    <row r="210" spans="1:11">
      <c r="A210" s="6">
        <f t="shared" si="23"/>
        <v>43309</v>
      </c>
      <c r="B210" s="4" t="str">
        <f t="shared" si="18"/>
        <v>28</v>
      </c>
      <c r="C210" s="4" t="str">
        <f t="shared" si="19"/>
        <v>07</v>
      </c>
      <c r="D210" s="4" t="str">
        <f t="shared" si="20"/>
        <v>2018</v>
      </c>
      <c r="E210" s="3" t="str">
        <f t="shared" si="21"/>
        <v>Saturday</v>
      </c>
      <c r="F210" s="4" t="str">
        <f t="shared" si="22"/>
        <v>N</v>
      </c>
      <c r="G210" s="4" t="str">
        <f>IF(COUNTIF(PublicHols[Date], A210)&gt;0, "Y", "N")</f>
        <v>N</v>
      </c>
      <c r="H210" s="3" t="str">
        <f>IFERROR(_xlfn.XLOOKUP(A210, PublicHols[Date], PublicHols[PH_Name]),"")</f>
        <v/>
      </c>
      <c r="I210" s="4" t="str">
        <f>IF(COUNTIF(EventsAll[Date], A210)&gt;0, "Y", "N")</f>
        <v>N</v>
      </c>
      <c r="J210" s="11" t="str">
        <f>IFERROR(_xlfn.XLOOKUP(A210, EventsAll[Date], EventsAll[Event]),"")</f>
        <v/>
      </c>
      <c r="K210" s="4" t="str" cm="1">
        <f t="array" ref="K210">IF(SUMPRODUCT((A210&gt;=SchoolHols[Start])*(A210&lt;=SchoolHols[End]))&gt;0,"Y","N")</f>
        <v>N</v>
      </c>
    </row>
    <row r="211" spans="1:11">
      <c r="A211" s="6">
        <f t="shared" si="23"/>
        <v>43310</v>
      </c>
      <c r="B211" s="4" t="str">
        <f t="shared" si="18"/>
        <v>29</v>
      </c>
      <c r="C211" s="4" t="str">
        <f t="shared" si="19"/>
        <v>07</v>
      </c>
      <c r="D211" s="4" t="str">
        <f t="shared" si="20"/>
        <v>2018</v>
      </c>
      <c r="E211" s="3" t="str">
        <f t="shared" si="21"/>
        <v>Sunday</v>
      </c>
      <c r="F211" s="4" t="str">
        <f t="shared" si="22"/>
        <v>Y</v>
      </c>
      <c r="G211" s="4" t="str">
        <f>IF(COUNTIF(PublicHols[Date], A211)&gt;0, "Y", "N")</f>
        <v>N</v>
      </c>
      <c r="H211" s="3" t="str">
        <f>IFERROR(_xlfn.XLOOKUP(A211, PublicHols[Date], PublicHols[PH_Name]),"")</f>
        <v/>
      </c>
      <c r="I211" s="4" t="str">
        <f>IF(COUNTIF(EventsAll[Date], A211)&gt;0, "Y", "N")</f>
        <v>N</v>
      </c>
      <c r="J211" s="11" t="str">
        <f>IFERROR(_xlfn.XLOOKUP(A211, EventsAll[Date], EventsAll[Event]),"")</f>
        <v/>
      </c>
      <c r="K211" s="4" t="str" cm="1">
        <f t="array" ref="K211">IF(SUMPRODUCT((A211&gt;=SchoolHols[Start])*(A211&lt;=SchoolHols[End]))&gt;0,"Y","N")</f>
        <v>N</v>
      </c>
    </row>
    <row r="212" spans="1:11">
      <c r="A212" s="6">
        <f t="shared" si="23"/>
        <v>43311</v>
      </c>
      <c r="B212" s="4" t="str">
        <f t="shared" si="18"/>
        <v>30</v>
      </c>
      <c r="C212" s="4" t="str">
        <f t="shared" si="19"/>
        <v>07</v>
      </c>
      <c r="D212" s="4" t="str">
        <f t="shared" si="20"/>
        <v>2018</v>
      </c>
      <c r="E212" s="3" t="str">
        <f t="shared" si="21"/>
        <v>Monday</v>
      </c>
      <c r="F212" s="4" t="str">
        <f t="shared" si="22"/>
        <v>N</v>
      </c>
      <c r="G212" s="4" t="str">
        <f>IF(COUNTIF(PublicHols[Date], A212)&gt;0, "Y", "N")</f>
        <v>N</v>
      </c>
      <c r="H212" s="3" t="str">
        <f>IFERROR(_xlfn.XLOOKUP(A212, PublicHols[Date], PublicHols[PH_Name]),"")</f>
        <v/>
      </c>
      <c r="I212" s="4" t="str">
        <f>IF(COUNTIF(EventsAll[Date], A212)&gt;0, "Y", "N")</f>
        <v>N</v>
      </c>
      <c r="J212" s="11" t="str">
        <f>IFERROR(_xlfn.XLOOKUP(A212, EventsAll[Date], EventsAll[Event]),"")</f>
        <v/>
      </c>
      <c r="K212" s="4" t="str" cm="1">
        <f t="array" ref="K212">IF(SUMPRODUCT((A212&gt;=SchoolHols[Start])*(A212&lt;=SchoolHols[End]))&gt;0,"Y","N")</f>
        <v>N</v>
      </c>
    </row>
    <row r="213" spans="1:11">
      <c r="A213" s="6">
        <f t="shared" si="23"/>
        <v>43312</v>
      </c>
      <c r="B213" s="4" t="str">
        <f t="shared" si="18"/>
        <v>31</v>
      </c>
      <c r="C213" s="4" t="str">
        <f t="shared" si="19"/>
        <v>07</v>
      </c>
      <c r="D213" s="4" t="str">
        <f t="shared" si="20"/>
        <v>2018</v>
      </c>
      <c r="E213" s="3" t="str">
        <f t="shared" si="21"/>
        <v>Tuesday</v>
      </c>
      <c r="F213" s="4" t="str">
        <f t="shared" si="22"/>
        <v>N</v>
      </c>
      <c r="G213" s="4" t="str">
        <f>IF(COUNTIF(PublicHols[Date], A213)&gt;0, "Y", "N")</f>
        <v>N</v>
      </c>
      <c r="H213" s="3" t="str">
        <f>IFERROR(_xlfn.XLOOKUP(A213, PublicHols[Date], PublicHols[PH_Name]),"")</f>
        <v/>
      </c>
      <c r="I213" s="4" t="str">
        <f>IF(COUNTIF(EventsAll[Date], A213)&gt;0, "Y", "N")</f>
        <v>N</v>
      </c>
      <c r="J213" s="11" t="str">
        <f>IFERROR(_xlfn.XLOOKUP(A213, EventsAll[Date], EventsAll[Event]),"")</f>
        <v/>
      </c>
      <c r="K213" s="4" t="str" cm="1">
        <f t="array" ref="K213">IF(SUMPRODUCT((A213&gt;=SchoolHols[Start])*(A213&lt;=SchoolHols[End]))&gt;0,"Y","N")</f>
        <v>N</v>
      </c>
    </row>
    <row r="214" spans="1:11">
      <c r="A214" s="6">
        <f t="shared" si="23"/>
        <v>43313</v>
      </c>
      <c r="B214" s="4" t="str">
        <f t="shared" si="18"/>
        <v>01</v>
      </c>
      <c r="C214" s="4" t="str">
        <f t="shared" si="19"/>
        <v>08</v>
      </c>
      <c r="D214" s="4" t="str">
        <f t="shared" si="20"/>
        <v>2018</v>
      </c>
      <c r="E214" s="3" t="str">
        <f t="shared" si="21"/>
        <v>Wednesday</v>
      </c>
      <c r="F214" s="4" t="str">
        <f t="shared" si="22"/>
        <v>N</v>
      </c>
      <c r="G214" s="4" t="str">
        <f>IF(COUNTIF(PublicHols[Date], A214)&gt;0, "Y", "N")</f>
        <v>N</v>
      </c>
      <c r="H214" s="3" t="str">
        <f>IFERROR(_xlfn.XLOOKUP(A214, PublicHols[Date], PublicHols[PH_Name]),"")</f>
        <v/>
      </c>
      <c r="I214" s="4" t="str">
        <f>IF(COUNTIF(EventsAll[Date], A214)&gt;0, "Y", "N")</f>
        <v>N</v>
      </c>
      <c r="J214" s="11" t="str">
        <f>IFERROR(_xlfn.XLOOKUP(A214, EventsAll[Date], EventsAll[Event]),"")</f>
        <v/>
      </c>
      <c r="K214" s="4" t="str" cm="1">
        <f t="array" ref="K214">IF(SUMPRODUCT((A214&gt;=SchoolHols[Start])*(A214&lt;=SchoolHols[End]))&gt;0,"Y","N")</f>
        <v>N</v>
      </c>
    </row>
    <row r="215" spans="1:11">
      <c r="A215" s="6">
        <f t="shared" si="23"/>
        <v>43314</v>
      </c>
      <c r="B215" s="4" t="str">
        <f t="shared" si="18"/>
        <v>02</v>
      </c>
      <c r="C215" s="4" t="str">
        <f t="shared" si="19"/>
        <v>08</v>
      </c>
      <c r="D215" s="4" t="str">
        <f t="shared" si="20"/>
        <v>2018</v>
      </c>
      <c r="E215" s="3" t="str">
        <f t="shared" si="21"/>
        <v>Thursday</v>
      </c>
      <c r="F215" s="4" t="str">
        <f t="shared" si="22"/>
        <v>N</v>
      </c>
      <c r="G215" s="4" t="str">
        <f>IF(COUNTIF(PublicHols[Date], A215)&gt;0, "Y", "N")</f>
        <v>N</v>
      </c>
      <c r="H215" s="3" t="str">
        <f>IFERROR(_xlfn.XLOOKUP(A215, PublicHols[Date], PublicHols[PH_Name]),"")</f>
        <v/>
      </c>
      <c r="I215" s="4" t="str">
        <f>IF(COUNTIF(EventsAll[Date], A215)&gt;0, "Y", "N")</f>
        <v>N</v>
      </c>
      <c r="J215" s="11" t="str">
        <f>IFERROR(_xlfn.XLOOKUP(A215, EventsAll[Date], EventsAll[Event]),"")</f>
        <v/>
      </c>
      <c r="K215" s="4" t="str" cm="1">
        <f t="array" ref="K215">IF(SUMPRODUCT((A215&gt;=SchoolHols[Start])*(A215&lt;=SchoolHols[End]))&gt;0,"Y","N")</f>
        <v>N</v>
      </c>
    </row>
    <row r="216" spans="1:11">
      <c r="A216" s="6">
        <f t="shared" si="23"/>
        <v>43315</v>
      </c>
      <c r="B216" s="4" t="str">
        <f t="shared" si="18"/>
        <v>03</v>
      </c>
      <c r="C216" s="4" t="str">
        <f t="shared" si="19"/>
        <v>08</v>
      </c>
      <c r="D216" s="4" t="str">
        <f t="shared" si="20"/>
        <v>2018</v>
      </c>
      <c r="E216" s="3" t="str">
        <f t="shared" si="21"/>
        <v>Friday</v>
      </c>
      <c r="F216" s="4" t="str">
        <f t="shared" si="22"/>
        <v>N</v>
      </c>
      <c r="G216" s="4" t="str">
        <f>IF(COUNTIF(PublicHols[Date], A216)&gt;0, "Y", "N")</f>
        <v>N</v>
      </c>
      <c r="H216" s="3" t="str">
        <f>IFERROR(_xlfn.XLOOKUP(A216, PublicHols[Date], PublicHols[PH_Name]),"")</f>
        <v/>
      </c>
      <c r="I216" s="4" t="str">
        <f>IF(COUNTIF(EventsAll[Date], A216)&gt;0, "Y", "N")</f>
        <v>N</v>
      </c>
      <c r="J216" s="11" t="str">
        <f>IFERROR(_xlfn.XLOOKUP(A216, EventsAll[Date], EventsAll[Event]),"")</f>
        <v/>
      </c>
      <c r="K216" s="4" t="str" cm="1">
        <f t="array" ref="K216">IF(SUMPRODUCT((A216&gt;=SchoolHols[Start])*(A216&lt;=SchoolHols[End]))&gt;0,"Y","N")</f>
        <v>N</v>
      </c>
    </row>
    <row r="217" spans="1:11">
      <c r="A217" s="6">
        <f t="shared" si="23"/>
        <v>43316</v>
      </c>
      <c r="B217" s="4" t="str">
        <f t="shared" si="18"/>
        <v>04</v>
      </c>
      <c r="C217" s="4" t="str">
        <f t="shared" si="19"/>
        <v>08</v>
      </c>
      <c r="D217" s="4" t="str">
        <f t="shared" si="20"/>
        <v>2018</v>
      </c>
      <c r="E217" s="3" t="str">
        <f t="shared" si="21"/>
        <v>Saturday</v>
      </c>
      <c r="F217" s="4" t="str">
        <f t="shared" si="22"/>
        <v>N</v>
      </c>
      <c r="G217" s="4" t="str">
        <f>IF(COUNTIF(PublicHols[Date], A217)&gt;0, "Y", "N")</f>
        <v>N</v>
      </c>
      <c r="H217" s="3" t="str">
        <f>IFERROR(_xlfn.XLOOKUP(A217, PublicHols[Date], PublicHols[PH_Name]),"")</f>
        <v/>
      </c>
      <c r="I217" s="4" t="str">
        <f>IF(COUNTIF(EventsAll[Date], A217)&gt;0, "Y", "N")</f>
        <v>N</v>
      </c>
      <c r="J217" s="11" t="str">
        <f>IFERROR(_xlfn.XLOOKUP(A217, EventsAll[Date], EventsAll[Event]),"")</f>
        <v/>
      </c>
      <c r="K217" s="4" t="str" cm="1">
        <f t="array" ref="K217">IF(SUMPRODUCT((A217&gt;=SchoolHols[Start])*(A217&lt;=SchoolHols[End]))&gt;0,"Y","N")</f>
        <v>N</v>
      </c>
    </row>
    <row r="218" spans="1:11">
      <c r="A218" s="6">
        <f t="shared" si="23"/>
        <v>43317</v>
      </c>
      <c r="B218" s="4" t="str">
        <f t="shared" si="18"/>
        <v>05</v>
      </c>
      <c r="C218" s="4" t="str">
        <f t="shared" si="19"/>
        <v>08</v>
      </c>
      <c r="D218" s="4" t="str">
        <f t="shared" si="20"/>
        <v>2018</v>
      </c>
      <c r="E218" s="3" t="str">
        <f t="shared" si="21"/>
        <v>Sunday</v>
      </c>
      <c r="F218" s="4" t="str">
        <f t="shared" si="22"/>
        <v>Y</v>
      </c>
      <c r="G218" s="4" t="str">
        <f>IF(COUNTIF(PublicHols[Date], A218)&gt;0, "Y", "N")</f>
        <v>N</v>
      </c>
      <c r="H218" s="3" t="str">
        <f>IFERROR(_xlfn.XLOOKUP(A218, PublicHols[Date], PublicHols[PH_Name]),"")</f>
        <v/>
      </c>
      <c r="I218" s="4" t="str">
        <f>IF(COUNTIF(EventsAll[Date], A218)&gt;0, "Y", "N")</f>
        <v>N</v>
      </c>
      <c r="J218" s="11" t="str">
        <f>IFERROR(_xlfn.XLOOKUP(A218, EventsAll[Date], EventsAll[Event]),"")</f>
        <v/>
      </c>
      <c r="K218" s="4" t="str" cm="1">
        <f t="array" ref="K218">IF(SUMPRODUCT((A218&gt;=SchoolHols[Start])*(A218&lt;=SchoolHols[End]))&gt;0,"Y","N")</f>
        <v>N</v>
      </c>
    </row>
    <row r="219" spans="1:11">
      <c r="A219" s="6">
        <f t="shared" si="23"/>
        <v>43318</v>
      </c>
      <c r="B219" s="4" t="str">
        <f t="shared" si="18"/>
        <v>06</v>
      </c>
      <c r="C219" s="4" t="str">
        <f t="shared" si="19"/>
        <v>08</v>
      </c>
      <c r="D219" s="4" t="str">
        <f t="shared" si="20"/>
        <v>2018</v>
      </c>
      <c r="E219" s="3" t="str">
        <f t="shared" si="21"/>
        <v>Monday</v>
      </c>
      <c r="F219" s="4" t="str">
        <f t="shared" si="22"/>
        <v>N</v>
      </c>
      <c r="G219" s="4" t="str">
        <f>IF(COUNTIF(PublicHols[Date], A219)&gt;0, "Y", "N")</f>
        <v>N</v>
      </c>
      <c r="H219" s="3" t="str">
        <f>IFERROR(_xlfn.XLOOKUP(A219, PublicHols[Date], PublicHols[PH_Name]),"")</f>
        <v/>
      </c>
      <c r="I219" s="4" t="str">
        <f>IF(COUNTIF(EventsAll[Date], A219)&gt;0, "Y", "N")</f>
        <v>N</v>
      </c>
      <c r="J219" s="11" t="str">
        <f>IFERROR(_xlfn.XLOOKUP(A219, EventsAll[Date], EventsAll[Event]),"")</f>
        <v/>
      </c>
      <c r="K219" s="4" t="str" cm="1">
        <f t="array" ref="K219">IF(SUMPRODUCT((A219&gt;=SchoolHols[Start])*(A219&lt;=SchoolHols[End]))&gt;0,"Y","N")</f>
        <v>N</v>
      </c>
    </row>
    <row r="220" spans="1:11">
      <c r="A220" s="6">
        <f t="shared" si="23"/>
        <v>43319</v>
      </c>
      <c r="B220" s="4" t="str">
        <f t="shared" si="18"/>
        <v>07</v>
      </c>
      <c r="C220" s="4" t="str">
        <f t="shared" si="19"/>
        <v>08</v>
      </c>
      <c r="D220" s="4" t="str">
        <f t="shared" si="20"/>
        <v>2018</v>
      </c>
      <c r="E220" s="3" t="str">
        <f t="shared" si="21"/>
        <v>Tuesday</v>
      </c>
      <c r="F220" s="4" t="str">
        <f t="shared" si="22"/>
        <v>N</v>
      </c>
      <c r="G220" s="4" t="str">
        <f>IF(COUNTIF(PublicHols[Date], A220)&gt;0, "Y", "N")</f>
        <v>N</v>
      </c>
      <c r="H220" s="3" t="str">
        <f>IFERROR(_xlfn.XLOOKUP(A220, PublicHols[Date], PublicHols[PH_Name]),"")</f>
        <v/>
      </c>
      <c r="I220" s="4" t="str">
        <f>IF(COUNTIF(EventsAll[Date], A220)&gt;0, "Y", "N")</f>
        <v>N</v>
      </c>
      <c r="J220" s="11" t="str">
        <f>IFERROR(_xlfn.XLOOKUP(A220, EventsAll[Date], EventsAll[Event]),"")</f>
        <v/>
      </c>
      <c r="K220" s="4" t="str" cm="1">
        <f t="array" ref="K220">IF(SUMPRODUCT((A220&gt;=SchoolHols[Start])*(A220&lt;=SchoolHols[End]))&gt;0,"Y","N")</f>
        <v>N</v>
      </c>
    </row>
    <row r="221" spans="1:11">
      <c r="A221" s="6">
        <f t="shared" si="23"/>
        <v>43320</v>
      </c>
      <c r="B221" s="4" t="str">
        <f t="shared" si="18"/>
        <v>08</v>
      </c>
      <c r="C221" s="4" t="str">
        <f t="shared" si="19"/>
        <v>08</v>
      </c>
      <c r="D221" s="4" t="str">
        <f t="shared" si="20"/>
        <v>2018</v>
      </c>
      <c r="E221" s="3" t="str">
        <f t="shared" si="21"/>
        <v>Wednesday</v>
      </c>
      <c r="F221" s="4" t="str">
        <f t="shared" si="22"/>
        <v>N</v>
      </c>
      <c r="G221" s="4" t="str">
        <f>IF(COUNTIF(PublicHols[Date], A221)&gt;0, "Y", "N")</f>
        <v>N</v>
      </c>
      <c r="H221" s="3" t="str">
        <f>IFERROR(_xlfn.XLOOKUP(A221, PublicHols[Date], PublicHols[PH_Name]),"")</f>
        <v/>
      </c>
      <c r="I221" s="4" t="str">
        <f>IF(COUNTIF(EventsAll[Date], A221)&gt;0, "Y", "N")</f>
        <v>N</v>
      </c>
      <c r="J221" s="11" t="str">
        <f>IFERROR(_xlfn.XLOOKUP(A221, EventsAll[Date], EventsAll[Event]),"")</f>
        <v/>
      </c>
      <c r="K221" s="4" t="str" cm="1">
        <f t="array" ref="K221">IF(SUMPRODUCT((A221&gt;=SchoolHols[Start])*(A221&lt;=SchoolHols[End]))&gt;0,"Y","N")</f>
        <v>N</v>
      </c>
    </row>
    <row r="222" spans="1:11">
      <c r="A222" s="6">
        <f t="shared" si="23"/>
        <v>43321</v>
      </c>
      <c r="B222" s="4" t="str">
        <f t="shared" si="18"/>
        <v>09</v>
      </c>
      <c r="C222" s="4" t="str">
        <f t="shared" si="19"/>
        <v>08</v>
      </c>
      <c r="D222" s="4" t="str">
        <f t="shared" si="20"/>
        <v>2018</v>
      </c>
      <c r="E222" s="3" t="str">
        <f t="shared" si="21"/>
        <v>Thursday</v>
      </c>
      <c r="F222" s="4" t="str">
        <f t="shared" si="22"/>
        <v>N</v>
      </c>
      <c r="G222" s="4" t="str">
        <f>IF(COUNTIF(PublicHols[Date], A222)&gt;0, "Y", "N")</f>
        <v>Y</v>
      </c>
      <c r="H222" s="3" t="str">
        <f>IFERROR(_xlfn.XLOOKUP(A222, PublicHols[Date], PublicHols[PH_Name]),"")</f>
        <v>National Women's Day</v>
      </c>
      <c r="I222" s="4" t="str">
        <f>IF(COUNTIF(EventsAll[Date], A222)&gt;0, "Y", "N")</f>
        <v>N</v>
      </c>
      <c r="J222" s="11" t="str">
        <f>IFERROR(_xlfn.XLOOKUP(A222, EventsAll[Date], EventsAll[Event]),"")</f>
        <v/>
      </c>
      <c r="K222" s="4" t="str" cm="1">
        <f t="array" ref="K222">IF(SUMPRODUCT((A222&gt;=SchoolHols[Start])*(A222&lt;=SchoolHols[End]))&gt;0,"Y","N")</f>
        <v>N</v>
      </c>
    </row>
    <row r="223" spans="1:11">
      <c r="A223" s="6">
        <f t="shared" si="23"/>
        <v>43322</v>
      </c>
      <c r="B223" s="4" t="str">
        <f t="shared" si="18"/>
        <v>10</v>
      </c>
      <c r="C223" s="4" t="str">
        <f t="shared" si="19"/>
        <v>08</v>
      </c>
      <c r="D223" s="4" t="str">
        <f t="shared" si="20"/>
        <v>2018</v>
      </c>
      <c r="E223" s="3" t="str">
        <f t="shared" si="21"/>
        <v>Friday</v>
      </c>
      <c r="F223" s="4" t="str">
        <f t="shared" si="22"/>
        <v>N</v>
      </c>
      <c r="G223" s="4" t="str">
        <f>IF(COUNTIF(PublicHols[Date], A223)&gt;0, "Y", "N")</f>
        <v>N</v>
      </c>
      <c r="H223" s="3" t="str">
        <f>IFERROR(_xlfn.XLOOKUP(A223, PublicHols[Date], PublicHols[PH_Name]),"")</f>
        <v/>
      </c>
      <c r="I223" s="4" t="str">
        <f>IF(COUNTIF(EventsAll[Date], A223)&gt;0, "Y", "N")</f>
        <v>N</v>
      </c>
      <c r="J223" s="11" t="str">
        <f>IFERROR(_xlfn.XLOOKUP(A223, EventsAll[Date], EventsAll[Event]),"")</f>
        <v/>
      </c>
      <c r="K223" s="4" t="str" cm="1">
        <f t="array" ref="K223">IF(SUMPRODUCT((A223&gt;=SchoolHols[Start])*(A223&lt;=SchoolHols[End]))&gt;0,"Y","N")</f>
        <v>N</v>
      </c>
    </row>
    <row r="224" spans="1:11">
      <c r="A224" s="6">
        <f t="shared" si="23"/>
        <v>43323</v>
      </c>
      <c r="B224" s="4" t="str">
        <f t="shared" si="18"/>
        <v>11</v>
      </c>
      <c r="C224" s="4" t="str">
        <f t="shared" si="19"/>
        <v>08</v>
      </c>
      <c r="D224" s="4" t="str">
        <f t="shared" si="20"/>
        <v>2018</v>
      </c>
      <c r="E224" s="3" t="str">
        <f t="shared" si="21"/>
        <v>Saturday</v>
      </c>
      <c r="F224" s="4" t="str">
        <f t="shared" si="22"/>
        <v>N</v>
      </c>
      <c r="G224" s="4" t="str">
        <f>IF(COUNTIF(PublicHols[Date], A224)&gt;0, "Y", "N")</f>
        <v>N</v>
      </c>
      <c r="H224" s="3" t="str">
        <f>IFERROR(_xlfn.XLOOKUP(A224, PublicHols[Date], PublicHols[PH_Name]),"")</f>
        <v/>
      </c>
      <c r="I224" s="4" t="str">
        <f>IF(COUNTIF(EventsAll[Date], A224)&gt;0, "Y", "N")</f>
        <v>N</v>
      </c>
      <c r="J224" s="11" t="str">
        <f>IFERROR(_xlfn.XLOOKUP(A224, EventsAll[Date], EventsAll[Event]),"")</f>
        <v/>
      </c>
      <c r="K224" s="4" t="str" cm="1">
        <f t="array" ref="K224">IF(SUMPRODUCT((A224&gt;=SchoolHols[Start])*(A224&lt;=SchoolHols[End]))&gt;0,"Y","N")</f>
        <v>N</v>
      </c>
    </row>
    <row r="225" spans="1:11">
      <c r="A225" s="6">
        <f t="shared" si="23"/>
        <v>43324</v>
      </c>
      <c r="B225" s="4" t="str">
        <f t="shared" si="18"/>
        <v>12</v>
      </c>
      <c r="C225" s="4" t="str">
        <f t="shared" si="19"/>
        <v>08</v>
      </c>
      <c r="D225" s="4" t="str">
        <f t="shared" si="20"/>
        <v>2018</v>
      </c>
      <c r="E225" s="3" t="str">
        <f t="shared" si="21"/>
        <v>Sunday</v>
      </c>
      <c r="F225" s="4" t="str">
        <f t="shared" si="22"/>
        <v>Y</v>
      </c>
      <c r="G225" s="4" t="str">
        <f>IF(COUNTIF(PublicHols[Date], A225)&gt;0, "Y", "N")</f>
        <v>N</v>
      </c>
      <c r="H225" s="3" t="str">
        <f>IFERROR(_xlfn.XLOOKUP(A225, PublicHols[Date], PublicHols[PH_Name]),"")</f>
        <v/>
      </c>
      <c r="I225" s="4" t="str">
        <f>IF(COUNTIF(EventsAll[Date], A225)&gt;0, "Y", "N")</f>
        <v>N</v>
      </c>
      <c r="J225" s="11" t="str">
        <f>IFERROR(_xlfn.XLOOKUP(A225, EventsAll[Date], EventsAll[Event]),"")</f>
        <v/>
      </c>
      <c r="K225" s="4" t="str" cm="1">
        <f t="array" ref="K225">IF(SUMPRODUCT((A225&gt;=SchoolHols[Start])*(A225&lt;=SchoolHols[End]))&gt;0,"Y","N")</f>
        <v>N</v>
      </c>
    </row>
    <row r="226" spans="1:11">
      <c r="A226" s="6">
        <f t="shared" si="23"/>
        <v>43325</v>
      </c>
      <c r="B226" s="4" t="str">
        <f t="shared" si="18"/>
        <v>13</v>
      </c>
      <c r="C226" s="4" t="str">
        <f t="shared" si="19"/>
        <v>08</v>
      </c>
      <c r="D226" s="4" t="str">
        <f t="shared" si="20"/>
        <v>2018</v>
      </c>
      <c r="E226" s="3" t="str">
        <f t="shared" si="21"/>
        <v>Monday</v>
      </c>
      <c r="F226" s="4" t="str">
        <f t="shared" si="22"/>
        <v>N</v>
      </c>
      <c r="G226" s="4" t="str">
        <f>IF(COUNTIF(PublicHols[Date], A226)&gt;0, "Y", "N")</f>
        <v>N</v>
      </c>
      <c r="H226" s="3" t="str">
        <f>IFERROR(_xlfn.XLOOKUP(A226, PublicHols[Date], PublicHols[PH_Name]),"")</f>
        <v/>
      </c>
      <c r="I226" s="4" t="str">
        <f>IF(COUNTIF(EventsAll[Date], A226)&gt;0, "Y", "N")</f>
        <v>N</v>
      </c>
      <c r="J226" s="11" t="str">
        <f>IFERROR(_xlfn.XLOOKUP(A226, EventsAll[Date], EventsAll[Event]),"")</f>
        <v/>
      </c>
      <c r="K226" s="4" t="str" cm="1">
        <f t="array" ref="K226">IF(SUMPRODUCT((A226&gt;=SchoolHols[Start])*(A226&lt;=SchoolHols[End]))&gt;0,"Y","N")</f>
        <v>N</v>
      </c>
    </row>
    <row r="227" spans="1:11">
      <c r="A227" s="6">
        <f t="shared" si="23"/>
        <v>43326</v>
      </c>
      <c r="B227" s="4" t="str">
        <f t="shared" si="18"/>
        <v>14</v>
      </c>
      <c r="C227" s="4" t="str">
        <f t="shared" si="19"/>
        <v>08</v>
      </c>
      <c r="D227" s="4" t="str">
        <f t="shared" si="20"/>
        <v>2018</v>
      </c>
      <c r="E227" s="3" t="str">
        <f t="shared" si="21"/>
        <v>Tuesday</v>
      </c>
      <c r="F227" s="4" t="str">
        <f t="shared" si="22"/>
        <v>N</v>
      </c>
      <c r="G227" s="4" t="str">
        <f>IF(COUNTIF(PublicHols[Date], A227)&gt;0, "Y", "N")</f>
        <v>N</v>
      </c>
      <c r="H227" s="3" t="str">
        <f>IFERROR(_xlfn.XLOOKUP(A227, PublicHols[Date], PublicHols[PH_Name]),"")</f>
        <v/>
      </c>
      <c r="I227" s="4" t="str">
        <f>IF(COUNTIF(EventsAll[Date], A227)&gt;0, "Y", "N")</f>
        <v>N</v>
      </c>
      <c r="J227" s="11" t="str">
        <f>IFERROR(_xlfn.XLOOKUP(A227, EventsAll[Date], EventsAll[Event]),"")</f>
        <v/>
      </c>
      <c r="K227" s="4" t="str" cm="1">
        <f t="array" ref="K227">IF(SUMPRODUCT((A227&gt;=SchoolHols[Start])*(A227&lt;=SchoolHols[End]))&gt;0,"Y","N")</f>
        <v>N</v>
      </c>
    </row>
    <row r="228" spans="1:11">
      <c r="A228" s="6">
        <f t="shared" si="23"/>
        <v>43327</v>
      </c>
      <c r="B228" s="4" t="str">
        <f t="shared" si="18"/>
        <v>15</v>
      </c>
      <c r="C228" s="4" t="str">
        <f t="shared" si="19"/>
        <v>08</v>
      </c>
      <c r="D228" s="4" t="str">
        <f t="shared" si="20"/>
        <v>2018</v>
      </c>
      <c r="E228" s="3" t="str">
        <f t="shared" si="21"/>
        <v>Wednesday</v>
      </c>
      <c r="F228" s="4" t="str">
        <f t="shared" si="22"/>
        <v>N</v>
      </c>
      <c r="G228" s="4" t="str">
        <f>IF(COUNTIF(PublicHols[Date], A228)&gt;0, "Y", "N")</f>
        <v>N</v>
      </c>
      <c r="H228" s="3" t="str">
        <f>IFERROR(_xlfn.XLOOKUP(A228, PublicHols[Date], PublicHols[PH_Name]),"")</f>
        <v/>
      </c>
      <c r="I228" s="4" t="str">
        <f>IF(COUNTIF(EventsAll[Date], A228)&gt;0, "Y", "N")</f>
        <v>N</v>
      </c>
      <c r="J228" s="11" t="str">
        <f>IFERROR(_xlfn.XLOOKUP(A228, EventsAll[Date], EventsAll[Event]),"")</f>
        <v/>
      </c>
      <c r="K228" s="4" t="str" cm="1">
        <f t="array" ref="K228">IF(SUMPRODUCT((A228&gt;=SchoolHols[Start])*(A228&lt;=SchoolHols[End]))&gt;0,"Y","N")</f>
        <v>N</v>
      </c>
    </row>
    <row r="229" spans="1:11">
      <c r="A229" s="6">
        <f t="shared" si="23"/>
        <v>43328</v>
      </c>
      <c r="B229" s="4" t="str">
        <f t="shared" si="18"/>
        <v>16</v>
      </c>
      <c r="C229" s="4" t="str">
        <f t="shared" si="19"/>
        <v>08</v>
      </c>
      <c r="D229" s="4" t="str">
        <f t="shared" si="20"/>
        <v>2018</v>
      </c>
      <c r="E229" s="3" t="str">
        <f t="shared" si="21"/>
        <v>Thursday</v>
      </c>
      <c r="F229" s="4" t="str">
        <f t="shared" si="22"/>
        <v>N</v>
      </c>
      <c r="G229" s="4" t="str">
        <f>IF(COUNTIF(PublicHols[Date], A229)&gt;0, "Y", "N")</f>
        <v>N</v>
      </c>
      <c r="H229" s="3" t="str">
        <f>IFERROR(_xlfn.XLOOKUP(A229, PublicHols[Date], PublicHols[PH_Name]),"")</f>
        <v/>
      </c>
      <c r="I229" s="4" t="str">
        <f>IF(COUNTIF(EventsAll[Date], A229)&gt;0, "Y", "N")</f>
        <v>N</v>
      </c>
      <c r="J229" s="11" t="str">
        <f>IFERROR(_xlfn.XLOOKUP(A229, EventsAll[Date], EventsAll[Event]),"")</f>
        <v/>
      </c>
      <c r="K229" s="4" t="str" cm="1">
        <f t="array" ref="K229">IF(SUMPRODUCT((A229&gt;=SchoolHols[Start])*(A229&lt;=SchoolHols[End]))&gt;0,"Y","N")</f>
        <v>N</v>
      </c>
    </row>
    <row r="230" spans="1:11">
      <c r="A230" s="6">
        <f t="shared" si="23"/>
        <v>43329</v>
      </c>
      <c r="B230" s="4" t="str">
        <f t="shared" si="18"/>
        <v>17</v>
      </c>
      <c r="C230" s="4" t="str">
        <f t="shared" si="19"/>
        <v>08</v>
      </c>
      <c r="D230" s="4" t="str">
        <f t="shared" si="20"/>
        <v>2018</v>
      </c>
      <c r="E230" s="3" t="str">
        <f t="shared" si="21"/>
        <v>Friday</v>
      </c>
      <c r="F230" s="4" t="str">
        <f t="shared" si="22"/>
        <v>N</v>
      </c>
      <c r="G230" s="4" t="str">
        <f>IF(COUNTIF(PublicHols[Date], A230)&gt;0, "Y", "N")</f>
        <v>N</v>
      </c>
      <c r="H230" s="3" t="str">
        <f>IFERROR(_xlfn.XLOOKUP(A230, PublicHols[Date], PublicHols[PH_Name]),"")</f>
        <v/>
      </c>
      <c r="I230" s="4" t="str">
        <f>IF(COUNTIF(EventsAll[Date], A230)&gt;0, "Y", "N")</f>
        <v>N</v>
      </c>
      <c r="J230" s="11" t="str">
        <f>IFERROR(_xlfn.XLOOKUP(A230, EventsAll[Date], EventsAll[Event]),"")</f>
        <v/>
      </c>
      <c r="K230" s="4" t="str" cm="1">
        <f t="array" ref="K230">IF(SUMPRODUCT((A230&gt;=SchoolHols[Start])*(A230&lt;=SchoolHols[End]))&gt;0,"Y","N")</f>
        <v>N</v>
      </c>
    </row>
    <row r="231" spans="1:11">
      <c r="A231" s="6">
        <f t="shared" si="23"/>
        <v>43330</v>
      </c>
      <c r="B231" s="4" t="str">
        <f t="shared" si="18"/>
        <v>18</v>
      </c>
      <c r="C231" s="4" t="str">
        <f t="shared" si="19"/>
        <v>08</v>
      </c>
      <c r="D231" s="4" t="str">
        <f t="shared" si="20"/>
        <v>2018</v>
      </c>
      <c r="E231" s="3" t="str">
        <f t="shared" si="21"/>
        <v>Saturday</v>
      </c>
      <c r="F231" s="4" t="str">
        <f t="shared" si="22"/>
        <v>N</v>
      </c>
      <c r="G231" s="4" t="str">
        <f>IF(COUNTIF(PublicHols[Date], A231)&gt;0, "Y", "N")</f>
        <v>N</v>
      </c>
      <c r="H231" s="3" t="str">
        <f>IFERROR(_xlfn.XLOOKUP(A231, PublicHols[Date], PublicHols[PH_Name]),"")</f>
        <v/>
      </c>
      <c r="I231" s="4" t="str">
        <f>IF(COUNTIF(EventsAll[Date], A231)&gt;0, "Y", "N")</f>
        <v>N</v>
      </c>
      <c r="J231" s="11" t="str">
        <f>IFERROR(_xlfn.XLOOKUP(A231, EventsAll[Date], EventsAll[Event]),"")</f>
        <v/>
      </c>
      <c r="K231" s="4" t="str" cm="1">
        <f t="array" ref="K231">IF(SUMPRODUCT((A231&gt;=SchoolHols[Start])*(A231&lt;=SchoolHols[End]))&gt;0,"Y","N")</f>
        <v>N</v>
      </c>
    </row>
    <row r="232" spans="1:11">
      <c r="A232" s="6">
        <f t="shared" si="23"/>
        <v>43331</v>
      </c>
      <c r="B232" s="4" t="str">
        <f t="shared" si="18"/>
        <v>19</v>
      </c>
      <c r="C232" s="4" t="str">
        <f t="shared" si="19"/>
        <v>08</v>
      </c>
      <c r="D232" s="4" t="str">
        <f t="shared" si="20"/>
        <v>2018</v>
      </c>
      <c r="E232" s="3" t="str">
        <f t="shared" si="21"/>
        <v>Sunday</v>
      </c>
      <c r="F232" s="4" t="str">
        <f t="shared" si="22"/>
        <v>Y</v>
      </c>
      <c r="G232" s="4" t="str">
        <f>IF(COUNTIF(PublicHols[Date], A232)&gt;0, "Y", "N")</f>
        <v>N</v>
      </c>
      <c r="H232" s="3" t="str">
        <f>IFERROR(_xlfn.XLOOKUP(A232, PublicHols[Date], PublicHols[PH_Name]),"")</f>
        <v/>
      </c>
      <c r="I232" s="4" t="str">
        <f>IF(COUNTIF(EventsAll[Date], A232)&gt;0, "Y", "N")</f>
        <v>N</v>
      </c>
      <c r="J232" s="11" t="str">
        <f>IFERROR(_xlfn.XLOOKUP(A232, EventsAll[Date], EventsAll[Event]),"")</f>
        <v/>
      </c>
      <c r="K232" s="4" t="str" cm="1">
        <f t="array" ref="K232">IF(SUMPRODUCT((A232&gt;=SchoolHols[Start])*(A232&lt;=SchoolHols[End]))&gt;0,"Y","N")</f>
        <v>N</v>
      </c>
    </row>
    <row r="233" spans="1:11">
      <c r="A233" s="6">
        <f t="shared" si="23"/>
        <v>43332</v>
      </c>
      <c r="B233" s="4" t="str">
        <f t="shared" si="18"/>
        <v>20</v>
      </c>
      <c r="C233" s="4" t="str">
        <f t="shared" si="19"/>
        <v>08</v>
      </c>
      <c r="D233" s="4" t="str">
        <f t="shared" si="20"/>
        <v>2018</v>
      </c>
      <c r="E233" s="3" t="str">
        <f t="shared" si="21"/>
        <v>Monday</v>
      </c>
      <c r="F233" s="4" t="str">
        <f t="shared" si="22"/>
        <v>N</v>
      </c>
      <c r="G233" s="4" t="str">
        <f>IF(COUNTIF(PublicHols[Date], A233)&gt;0, "Y", "N")</f>
        <v>N</v>
      </c>
      <c r="H233" s="3" t="str">
        <f>IFERROR(_xlfn.XLOOKUP(A233, PublicHols[Date], PublicHols[PH_Name]),"")</f>
        <v/>
      </c>
      <c r="I233" s="4" t="str">
        <f>IF(COUNTIF(EventsAll[Date], A233)&gt;0, "Y", "N")</f>
        <v>N</v>
      </c>
      <c r="J233" s="11" t="str">
        <f>IFERROR(_xlfn.XLOOKUP(A233, EventsAll[Date], EventsAll[Event]),"")</f>
        <v/>
      </c>
      <c r="K233" s="4" t="str" cm="1">
        <f t="array" ref="K233">IF(SUMPRODUCT((A233&gt;=SchoolHols[Start])*(A233&lt;=SchoolHols[End]))&gt;0,"Y","N")</f>
        <v>N</v>
      </c>
    </row>
    <row r="234" spans="1:11">
      <c r="A234" s="6">
        <f t="shared" si="23"/>
        <v>43333</v>
      </c>
      <c r="B234" s="4" t="str">
        <f t="shared" si="18"/>
        <v>21</v>
      </c>
      <c r="C234" s="4" t="str">
        <f t="shared" si="19"/>
        <v>08</v>
      </c>
      <c r="D234" s="4" t="str">
        <f t="shared" si="20"/>
        <v>2018</v>
      </c>
      <c r="E234" s="3" t="str">
        <f t="shared" si="21"/>
        <v>Tuesday</v>
      </c>
      <c r="F234" s="4" t="str">
        <f t="shared" si="22"/>
        <v>N</v>
      </c>
      <c r="G234" s="4" t="str">
        <f>IF(COUNTIF(PublicHols[Date], A234)&gt;0, "Y", "N")</f>
        <v>N</v>
      </c>
      <c r="H234" s="3" t="str">
        <f>IFERROR(_xlfn.XLOOKUP(A234, PublicHols[Date], PublicHols[PH_Name]),"")</f>
        <v/>
      </c>
      <c r="I234" s="4" t="str">
        <f>IF(COUNTIF(EventsAll[Date], A234)&gt;0, "Y", "N")</f>
        <v>N</v>
      </c>
      <c r="J234" s="11" t="str">
        <f>IFERROR(_xlfn.XLOOKUP(A234, EventsAll[Date], EventsAll[Event]),"")</f>
        <v/>
      </c>
      <c r="K234" s="4" t="str" cm="1">
        <f t="array" ref="K234">IF(SUMPRODUCT((A234&gt;=SchoolHols[Start])*(A234&lt;=SchoolHols[End]))&gt;0,"Y","N")</f>
        <v>N</v>
      </c>
    </row>
    <row r="235" spans="1:11">
      <c r="A235" s="6">
        <f t="shared" si="23"/>
        <v>43334</v>
      </c>
      <c r="B235" s="4" t="str">
        <f t="shared" si="18"/>
        <v>22</v>
      </c>
      <c r="C235" s="4" t="str">
        <f t="shared" si="19"/>
        <v>08</v>
      </c>
      <c r="D235" s="4" t="str">
        <f t="shared" si="20"/>
        <v>2018</v>
      </c>
      <c r="E235" s="3" t="str">
        <f t="shared" si="21"/>
        <v>Wednesday</v>
      </c>
      <c r="F235" s="4" t="str">
        <f t="shared" si="22"/>
        <v>N</v>
      </c>
      <c r="G235" s="4" t="str">
        <f>IF(COUNTIF(PublicHols[Date], A235)&gt;0, "Y", "N")</f>
        <v>N</v>
      </c>
      <c r="H235" s="3" t="str">
        <f>IFERROR(_xlfn.XLOOKUP(A235, PublicHols[Date], PublicHols[PH_Name]),"")</f>
        <v/>
      </c>
      <c r="I235" s="4" t="str">
        <f>IF(COUNTIF(EventsAll[Date], A235)&gt;0, "Y", "N")</f>
        <v>N</v>
      </c>
      <c r="J235" s="11" t="str">
        <f>IFERROR(_xlfn.XLOOKUP(A235, EventsAll[Date], EventsAll[Event]),"")</f>
        <v/>
      </c>
      <c r="K235" s="4" t="str" cm="1">
        <f t="array" ref="K235">IF(SUMPRODUCT((A235&gt;=SchoolHols[Start])*(A235&lt;=SchoolHols[End]))&gt;0,"Y","N")</f>
        <v>N</v>
      </c>
    </row>
    <row r="236" spans="1:11">
      <c r="A236" s="6">
        <f t="shared" si="23"/>
        <v>43335</v>
      </c>
      <c r="B236" s="4" t="str">
        <f t="shared" si="18"/>
        <v>23</v>
      </c>
      <c r="C236" s="4" t="str">
        <f t="shared" si="19"/>
        <v>08</v>
      </c>
      <c r="D236" s="4" t="str">
        <f t="shared" si="20"/>
        <v>2018</v>
      </c>
      <c r="E236" s="3" t="str">
        <f t="shared" si="21"/>
        <v>Thursday</v>
      </c>
      <c r="F236" s="4" t="str">
        <f t="shared" si="22"/>
        <v>N</v>
      </c>
      <c r="G236" s="4" t="str">
        <f>IF(COUNTIF(PublicHols[Date], A236)&gt;0, "Y", "N")</f>
        <v>N</v>
      </c>
      <c r="H236" s="3" t="str">
        <f>IFERROR(_xlfn.XLOOKUP(A236, PublicHols[Date], PublicHols[PH_Name]),"")</f>
        <v/>
      </c>
      <c r="I236" s="4" t="str">
        <f>IF(COUNTIF(EventsAll[Date], A236)&gt;0, "Y", "N")</f>
        <v>N</v>
      </c>
      <c r="J236" s="11" t="str">
        <f>IFERROR(_xlfn.XLOOKUP(A236, EventsAll[Date], EventsAll[Event]),"")</f>
        <v/>
      </c>
      <c r="K236" s="4" t="str" cm="1">
        <f t="array" ref="K236">IF(SUMPRODUCT((A236&gt;=SchoolHols[Start])*(A236&lt;=SchoolHols[End]))&gt;0,"Y","N")</f>
        <v>N</v>
      </c>
    </row>
    <row r="237" spans="1:11">
      <c r="A237" s="6">
        <f t="shared" si="23"/>
        <v>43336</v>
      </c>
      <c r="B237" s="4" t="str">
        <f t="shared" si="18"/>
        <v>24</v>
      </c>
      <c r="C237" s="4" t="str">
        <f t="shared" si="19"/>
        <v>08</v>
      </c>
      <c r="D237" s="4" t="str">
        <f t="shared" si="20"/>
        <v>2018</v>
      </c>
      <c r="E237" s="3" t="str">
        <f t="shared" si="21"/>
        <v>Friday</v>
      </c>
      <c r="F237" s="4" t="str">
        <f t="shared" si="22"/>
        <v>N</v>
      </c>
      <c r="G237" s="4" t="str">
        <f>IF(COUNTIF(PublicHols[Date], A237)&gt;0, "Y", "N")</f>
        <v>N</v>
      </c>
      <c r="H237" s="3" t="str">
        <f>IFERROR(_xlfn.XLOOKUP(A237, PublicHols[Date], PublicHols[PH_Name]),"")</f>
        <v/>
      </c>
      <c r="I237" s="4" t="str">
        <f>IF(COUNTIF(EventsAll[Date], A237)&gt;0, "Y", "N")</f>
        <v>N</v>
      </c>
      <c r="J237" s="11" t="str">
        <f>IFERROR(_xlfn.XLOOKUP(A237, EventsAll[Date], EventsAll[Event]),"")</f>
        <v/>
      </c>
      <c r="K237" s="4" t="str" cm="1">
        <f t="array" ref="K237">IF(SUMPRODUCT((A237&gt;=SchoolHols[Start])*(A237&lt;=SchoolHols[End]))&gt;0,"Y","N")</f>
        <v>N</v>
      </c>
    </row>
    <row r="238" spans="1:11">
      <c r="A238" s="6">
        <f t="shared" si="23"/>
        <v>43337</v>
      </c>
      <c r="B238" s="4" t="str">
        <f t="shared" si="18"/>
        <v>25</v>
      </c>
      <c r="C238" s="4" t="str">
        <f t="shared" si="19"/>
        <v>08</v>
      </c>
      <c r="D238" s="4" t="str">
        <f t="shared" si="20"/>
        <v>2018</v>
      </c>
      <c r="E238" s="3" t="str">
        <f t="shared" si="21"/>
        <v>Saturday</v>
      </c>
      <c r="F238" s="4" t="str">
        <f t="shared" si="22"/>
        <v>N</v>
      </c>
      <c r="G238" s="4" t="str">
        <f>IF(COUNTIF(PublicHols[Date], A238)&gt;0, "Y", "N")</f>
        <v>N</v>
      </c>
      <c r="H238" s="3" t="str">
        <f>IFERROR(_xlfn.XLOOKUP(A238, PublicHols[Date], PublicHols[PH_Name]),"")</f>
        <v/>
      </c>
      <c r="I238" s="4" t="str">
        <f>IF(COUNTIF(EventsAll[Date], A238)&gt;0, "Y", "N")</f>
        <v>N</v>
      </c>
      <c r="J238" s="11" t="str">
        <f>IFERROR(_xlfn.XLOOKUP(A238, EventsAll[Date], EventsAll[Event]),"")</f>
        <v/>
      </c>
      <c r="K238" s="4" t="str" cm="1">
        <f t="array" ref="K238">IF(SUMPRODUCT((A238&gt;=SchoolHols[Start])*(A238&lt;=SchoolHols[End]))&gt;0,"Y","N")</f>
        <v>N</v>
      </c>
    </row>
    <row r="239" spans="1:11">
      <c r="A239" s="6">
        <f t="shared" si="23"/>
        <v>43338</v>
      </c>
      <c r="B239" s="4" t="str">
        <f t="shared" si="18"/>
        <v>26</v>
      </c>
      <c r="C239" s="4" t="str">
        <f t="shared" si="19"/>
        <v>08</v>
      </c>
      <c r="D239" s="4" t="str">
        <f t="shared" si="20"/>
        <v>2018</v>
      </c>
      <c r="E239" s="3" t="str">
        <f t="shared" si="21"/>
        <v>Sunday</v>
      </c>
      <c r="F239" s="4" t="str">
        <f t="shared" si="22"/>
        <v>Y</v>
      </c>
      <c r="G239" s="4" t="str">
        <f>IF(COUNTIF(PublicHols[Date], A239)&gt;0, "Y", "N")</f>
        <v>N</v>
      </c>
      <c r="H239" s="3" t="str">
        <f>IFERROR(_xlfn.XLOOKUP(A239, PublicHols[Date], PublicHols[PH_Name]),"")</f>
        <v/>
      </c>
      <c r="I239" s="4" t="str">
        <f>IF(COUNTIF(EventsAll[Date], A239)&gt;0, "Y", "N")</f>
        <v>N</v>
      </c>
      <c r="J239" s="11" t="str">
        <f>IFERROR(_xlfn.XLOOKUP(A239, EventsAll[Date], EventsAll[Event]),"")</f>
        <v/>
      </c>
      <c r="K239" s="4" t="str" cm="1">
        <f t="array" ref="K239">IF(SUMPRODUCT((A239&gt;=SchoolHols[Start])*(A239&lt;=SchoolHols[End]))&gt;0,"Y","N")</f>
        <v>N</v>
      </c>
    </row>
    <row r="240" spans="1:11">
      <c r="A240" s="6">
        <f t="shared" si="23"/>
        <v>43339</v>
      </c>
      <c r="B240" s="4" t="str">
        <f t="shared" si="18"/>
        <v>27</v>
      </c>
      <c r="C240" s="4" t="str">
        <f t="shared" si="19"/>
        <v>08</v>
      </c>
      <c r="D240" s="4" t="str">
        <f t="shared" si="20"/>
        <v>2018</v>
      </c>
      <c r="E240" s="3" t="str">
        <f t="shared" si="21"/>
        <v>Monday</v>
      </c>
      <c r="F240" s="4" t="str">
        <f t="shared" si="22"/>
        <v>N</v>
      </c>
      <c r="G240" s="4" t="str">
        <f>IF(COUNTIF(PublicHols[Date], A240)&gt;0, "Y", "N")</f>
        <v>N</v>
      </c>
      <c r="H240" s="3" t="str">
        <f>IFERROR(_xlfn.XLOOKUP(A240, PublicHols[Date], PublicHols[PH_Name]),"")</f>
        <v/>
      </c>
      <c r="I240" s="4" t="str">
        <f>IF(COUNTIF(EventsAll[Date], A240)&gt;0, "Y", "N")</f>
        <v>N</v>
      </c>
      <c r="J240" s="11" t="str">
        <f>IFERROR(_xlfn.XLOOKUP(A240, EventsAll[Date], EventsAll[Event]),"")</f>
        <v/>
      </c>
      <c r="K240" s="4" t="str" cm="1">
        <f t="array" ref="K240">IF(SUMPRODUCT((A240&gt;=SchoolHols[Start])*(A240&lt;=SchoolHols[End]))&gt;0,"Y","N")</f>
        <v>N</v>
      </c>
    </row>
    <row r="241" spans="1:11">
      <c r="A241" s="6">
        <f t="shared" si="23"/>
        <v>43340</v>
      </c>
      <c r="B241" s="4" t="str">
        <f t="shared" si="18"/>
        <v>28</v>
      </c>
      <c r="C241" s="4" t="str">
        <f t="shared" si="19"/>
        <v>08</v>
      </c>
      <c r="D241" s="4" t="str">
        <f t="shared" si="20"/>
        <v>2018</v>
      </c>
      <c r="E241" s="3" t="str">
        <f t="shared" si="21"/>
        <v>Tuesday</v>
      </c>
      <c r="F241" s="4" t="str">
        <f t="shared" si="22"/>
        <v>N</v>
      </c>
      <c r="G241" s="4" t="str">
        <f>IF(COUNTIF(PublicHols[Date], A241)&gt;0, "Y", "N")</f>
        <v>N</v>
      </c>
      <c r="H241" s="3" t="str">
        <f>IFERROR(_xlfn.XLOOKUP(A241, PublicHols[Date], PublicHols[PH_Name]),"")</f>
        <v/>
      </c>
      <c r="I241" s="4" t="str">
        <f>IF(COUNTIF(EventsAll[Date], A241)&gt;0, "Y", "N")</f>
        <v>N</v>
      </c>
      <c r="J241" s="11" t="str">
        <f>IFERROR(_xlfn.XLOOKUP(A241, EventsAll[Date], EventsAll[Event]),"")</f>
        <v/>
      </c>
      <c r="K241" s="4" t="str" cm="1">
        <f t="array" ref="K241">IF(SUMPRODUCT((A241&gt;=SchoolHols[Start])*(A241&lt;=SchoolHols[End]))&gt;0,"Y","N")</f>
        <v>N</v>
      </c>
    </row>
    <row r="242" spans="1:11">
      <c r="A242" s="6">
        <f t="shared" si="23"/>
        <v>43341</v>
      </c>
      <c r="B242" s="4" t="str">
        <f t="shared" si="18"/>
        <v>29</v>
      </c>
      <c r="C242" s="4" t="str">
        <f t="shared" si="19"/>
        <v>08</v>
      </c>
      <c r="D242" s="4" t="str">
        <f t="shared" si="20"/>
        <v>2018</v>
      </c>
      <c r="E242" s="3" t="str">
        <f t="shared" si="21"/>
        <v>Wednesday</v>
      </c>
      <c r="F242" s="4" t="str">
        <f t="shared" si="22"/>
        <v>N</v>
      </c>
      <c r="G242" s="4" t="str">
        <f>IF(COUNTIF(PublicHols[Date], A242)&gt;0, "Y", "N")</f>
        <v>N</v>
      </c>
      <c r="H242" s="3" t="str">
        <f>IFERROR(_xlfn.XLOOKUP(A242, PublicHols[Date], PublicHols[PH_Name]),"")</f>
        <v/>
      </c>
      <c r="I242" s="4" t="str">
        <f>IF(COUNTIF(EventsAll[Date], A242)&gt;0, "Y", "N")</f>
        <v>N</v>
      </c>
      <c r="J242" s="11" t="str">
        <f>IFERROR(_xlfn.XLOOKUP(A242, EventsAll[Date], EventsAll[Event]),"")</f>
        <v/>
      </c>
      <c r="K242" s="4" t="str" cm="1">
        <f t="array" ref="K242">IF(SUMPRODUCT((A242&gt;=SchoolHols[Start])*(A242&lt;=SchoolHols[End]))&gt;0,"Y","N")</f>
        <v>N</v>
      </c>
    </row>
    <row r="243" spans="1:11">
      <c r="A243" s="6">
        <f t="shared" si="23"/>
        <v>43342</v>
      </c>
      <c r="B243" s="4" t="str">
        <f t="shared" si="18"/>
        <v>30</v>
      </c>
      <c r="C243" s="4" t="str">
        <f t="shared" si="19"/>
        <v>08</v>
      </c>
      <c r="D243" s="4" t="str">
        <f t="shared" si="20"/>
        <v>2018</v>
      </c>
      <c r="E243" s="3" t="str">
        <f t="shared" si="21"/>
        <v>Thursday</v>
      </c>
      <c r="F243" s="4" t="str">
        <f t="shared" si="22"/>
        <v>N</v>
      </c>
      <c r="G243" s="4" t="str">
        <f>IF(COUNTIF(PublicHols[Date], A243)&gt;0, "Y", "N")</f>
        <v>N</v>
      </c>
      <c r="H243" s="3" t="str">
        <f>IFERROR(_xlfn.XLOOKUP(A243, PublicHols[Date], PublicHols[PH_Name]),"")</f>
        <v/>
      </c>
      <c r="I243" s="4" t="str">
        <f>IF(COUNTIF(EventsAll[Date], A243)&gt;0, "Y", "N")</f>
        <v>N</v>
      </c>
      <c r="J243" s="11" t="str">
        <f>IFERROR(_xlfn.XLOOKUP(A243, EventsAll[Date], EventsAll[Event]),"")</f>
        <v/>
      </c>
      <c r="K243" s="4" t="str" cm="1">
        <f t="array" ref="K243">IF(SUMPRODUCT((A243&gt;=SchoolHols[Start])*(A243&lt;=SchoolHols[End]))&gt;0,"Y","N")</f>
        <v>N</v>
      </c>
    </row>
    <row r="244" spans="1:11">
      <c r="A244" s="6">
        <f t="shared" si="23"/>
        <v>43343</v>
      </c>
      <c r="B244" s="4" t="str">
        <f t="shared" si="18"/>
        <v>31</v>
      </c>
      <c r="C244" s="4" t="str">
        <f t="shared" si="19"/>
        <v>08</v>
      </c>
      <c r="D244" s="4" t="str">
        <f t="shared" si="20"/>
        <v>2018</v>
      </c>
      <c r="E244" s="3" t="str">
        <f t="shared" si="21"/>
        <v>Friday</v>
      </c>
      <c r="F244" s="4" t="str">
        <f t="shared" si="22"/>
        <v>N</v>
      </c>
      <c r="G244" s="4" t="str">
        <f>IF(COUNTIF(PublicHols[Date], A244)&gt;0, "Y", "N")</f>
        <v>N</v>
      </c>
      <c r="H244" s="3" t="str">
        <f>IFERROR(_xlfn.XLOOKUP(A244, PublicHols[Date], PublicHols[PH_Name]),"")</f>
        <v/>
      </c>
      <c r="I244" s="4" t="str">
        <f>IF(COUNTIF(EventsAll[Date], A244)&gt;0, "Y", "N")</f>
        <v>N</v>
      </c>
      <c r="J244" s="11" t="str">
        <f>IFERROR(_xlfn.XLOOKUP(A244, EventsAll[Date], EventsAll[Event]),"")</f>
        <v/>
      </c>
      <c r="K244" s="4" t="str" cm="1">
        <f t="array" ref="K244">IF(SUMPRODUCT((A244&gt;=SchoolHols[Start])*(A244&lt;=SchoolHols[End]))&gt;0,"Y","N")</f>
        <v>N</v>
      </c>
    </row>
    <row r="245" spans="1:11">
      <c r="A245" s="6">
        <f t="shared" si="23"/>
        <v>43344</v>
      </c>
      <c r="B245" s="4" t="str">
        <f t="shared" si="18"/>
        <v>01</v>
      </c>
      <c r="C245" s="4" t="str">
        <f t="shared" si="19"/>
        <v>09</v>
      </c>
      <c r="D245" s="4" t="str">
        <f t="shared" si="20"/>
        <v>2018</v>
      </c>
      <c r="E245" s="3" t="str">
        <f t="shared" si="21"/>
        <v>Saturday</v>
      </c>
      <c r="F245" s="4" t="str">
        <f t="shared" si="22"/>
        <v>N</v>
      </c>
      <c r="G245" s="4" t="str">
        <f>IF(COUNTIF(PublicHols[Date], A245)&gt;0, "Y", "N")</f>
        <v>N</v>
      </c>
      <c r="H245" s="3" t="str">
        <f>IFERROR(_xlfn.XLOOKUP(A245, PublicHols[Date], PublicHols[PH_Name]),"")</f>
        <v/>
      </c>
      <c r="I245" s="4" t="str">
        <f>IF(COUNTIF(EventsAll[Date], A245)&gt;0, "Y", "N")</f>
        <v>Y</v>
      </c>
      <c r="J245" s="11" t="str">
        <f>IFERROR(_xlfn.XLOOKUP(A245, EventsAll[Date], EventsAll[Event]),"")</f>
        <v xml:space="preserve"> Spring Day</v>
      </c>
      <c r="K245" s="4" t="str" cm="1">
        <f t="array" ref="K245">IF(SUMPRODUCT((A245&gt;=SchoolHols[Start])*(A245&lt;=SchoolHols[End]))&gt;0,"Y","N")</f>
        <v>N</v>
      </c>
    </row>
    <row r="246" spans="1:11">
      <c r="A246" s="6">
        <f t="shared" si="23"/>
        <v>43345</v>
      </c>
      <c r="B246" s="4" t="str">
        <f t="shared" si="18"/>
        <v>02</v>
      </c>
      <c r="C246" s="4" t="str">
        <f t="shared" si="19"/>
        <v>09</v>
      </c>
      <c r="D246" s="4" t="str">
        <f t="shared" si="20"/>
        <v>2018</v>
      </c>
      <c r="E246" s="3" t="str">
        <f t="shared" si="21"/>
        <v>Sunday</v>
      </c>
      <c r="F246" s="4" t="str">
        <f t="shared" si="22"/>
        <v>Y</v>
      </c>
      <c r="G246" s="4" t="str">
        <f>IF(COUNTIF(PublicHols[Date], A246)&gt;0, "Y", "N")</f>
        <v>N</v>
      </c>
      <c r="H246" s="3" t="str">
        <f>IFERROR(_xlfn.XLOOKUP(A246, PublicHols[Date], PublicHols[PH_Name]),"")</f>
        <v/>
      </c>
      <c r="I246" s="4" t="str">
        <f>IF(COUNTIF(EventsAll[Date], A246)&gt;0, "Y", "N")</f>
        <v>N</v>
      </c>
      <c r="J246" s="11" t="str">
        <f>IFERROR(_xlfn.XLOOKUP(A246, EventsAll[Date], EventsAll[Event]),"")</f>
        <v/>
      </c>
      <c r="K246" s="4" t="str" cm="1">
        <f t="array" ref="K246">IF(SUMPRODUCT((A246&gt;=SchoolHols[Start])*(A246&lt;=SchoolHols[End]))&gt;0,"Y","N")</f>
        <v>N</v>
      </c>
    </row>
    <row r="247" spans="1:11">
      <c r="A247" s="6">
        <f t="shared" si="23"/>
        <v>43346</v>
      </c>
      <c r="B247" s="4" t="str">
        <f t="shared" si="18"/>
        <v>03</v>
      </c>
      <c r="C247" s="4" t="str">
        <f t="shared" si="19"/>
        <v>09</v>
      </c>
      <c r="D247" s="4" t="str">
        <f t="shared" si="20"/>
        <v>2018</v>
      </c>
      <c r="E247" s="3" t="str">
        <f t="shared" si="21"/>
        <v>Monday</v>
      </c>
      <c r="F247" s="4" t="str">
        <f t="shared" si="22"/>
        <v>N</v>
      </c>
      <c r="G247" s="4" t="str">
        <f>IF(COUNTIF(PublicHols[Date], A247)&gt;0, "Y", "N")</f>
        <v>N</v>
      </c>
      <c r="H247" s="3" t="str">
        <f>IFERROR(_xlfn.XLOOKUP(A247, PublicHols[Date], PublicHols[PH_Name]),"")</f>
        <v/>
      </c>
      <c r="I247" s="4" t="str">
        <f>IF(COUNTIF(EventsAll[Date], A247)&gt;0, "Y", "N")</f>
        <v>N</v>
      </c>
      <c r="J247" s="11" t="str">
        <f>IFERROR(_xlfn.XLOOKUP(A247, EventsAll[Date], EventsAll[Event]),"")</f>
        <v/>
      </c>
      <c r="K247" s="4" t="str" cm="1">
        <f t="array" ref="K247">IF(SUMPRODUCT((A247&gt;=SchoolHols[Start])*(A247&lt;=SchoolHols[End]))&gt;0,"Y","N")</f>
        <v>N</v>
      </c>
    </row>
    <row r="248" spans="1:11">
      <c r="A248" s="6">
        <f t="shared" si="23"/>
        <v>43347</v>
      </c>
      <c r="B248" s="4" t="str">
        <f t="shared" si="18"/>
        <v>04</v>
      </c>
      <c r="C248" s="4" t="str">
        <f t="shared" si="19"/>
        <v>09</v>
      </c>
      <c r="D248" s="4" t="str">
        <f t="shared" si="20"/>
        <v>2018</v>
      </c>
      <c r="E248" s="3" t="str">
        <f t="shared" si="21"/>
        <v>Tuesday</v>
      </c>
      <c r="F248" s="4" t="str">
        <f t="shared" si="22"/>
        <v>N</v>
      </c>
      <c r="G248" s="4" t="str">
        <f>IF(COUNTIF(PublicHols[Date], A248)&gt;0, "Y", "N")</f>
        <v>N</v>
      </c>
      <c r="H248" s="3" t="str">
        <f>IFERROR(_xlfn.XLOOKUP(A248, PublicHols[Date], PublicHols[PH_Name]),"")</f>
        <v/>
      </c>
      <c r="I248" s="4" t="str">
        <f>IF(COUNTIF(EventsAll[Date], A248)&gt;0, "Y", "N")</f>
        <v>N</v>
      </c>
      <c r="J248" s="11" t="str">
        <f>IFERROR(_xlfn.XLOOKUP(A248, EventsAll[Date], EventsAll[Event]),"")</f>
        <v/>
      </c>
      <c r="K248" s="4" t="str" cm="1">
        <f t="array" ref="K248">IF(SUMPRODUCT((A248&gt;=SchoolHols[Start])*(A248&lt;=SchoolHols[End]))&gt;0,"Y","N")</f>
        <v>N</v>
      </c>
    </row>
    <row r="249" spans="1:11">
      <c r="A249" s="6">
        <f t="shared" si="23"/>
        <v>43348</v>
      </c>
      <c r="B249" s="4" t="str">
        <f t="shared" si="18"/>
        <v>05</v>
      </c>
      <c r="C249" s="4" t="str">
        <f t="shared" si="19"/>
        <v>09</v>
      </c>
      <c r="D249" s="4" t="str">
        <f t="shared" si="20"/>
        <v>2018</v>
      </c>
      <c r="E249" s="3" t="str">
        <f t="shared" si="21"/>
        <v>Wednesday</v>
      </c>
      <c r="F249" s="4" t="str">
        <f t="shared" si="22"/>
        <v>N</v>
      </c>
      <c r="G249" s="4" t="str">
        <f>IF(COUNTIF(PublicHols[Date], A249)&gt;0, "Y", "N")</f>
        <v>N</v>
      </c>
      <c r="H249" s="3" t="str">
        <f>IFERROR(_xlfn.XLOOKUP(A249, PublicHols[Date], PublicHols[PH_Name]),"")</f>
        <v/>
      </c>
      <c r="I249" s="4" t="str">
        <f>IF(COUNTIF(EventsAll[Date], A249)&gt;0, "Y", "N")</f>
        <v>N</v>
      </c>
      <c r="J249" s="11" t="str">
        <f>IFERROR(_xlfn.XLOOKUP(A249, EventsAll[Date], EventsAll[Event]),"")</f>
        <v/>
      </c>
      <c r="K249" s="4" t="str" cm="1">
        <f t="array" ref="K249">IF(SUMPRODUCT((A249&gt;=SchoolHols[Start])*(A249&lt;=SchoolHols[End]))&gt;0,"Y","N")</f>
        <v>N</v>
      </c>
    </row>
    <row r="250" spans="1:11">
      <c r="A250" s="6">
        <f t="shared" si="23"/>
        <v>43349</v>
      </c>
      <c r="B250" s="4" t="str">
        <f t="shared" si="18"/>
        <v>06</v>
      </c>
      <c r="C250" s="4" t="str">
        <f t="shared" si="19"/>
        <v>09</v>
      </c>
      <c r="D250" s="4" t="str">
        <f t="shared" si="20"/>
        <v>2018</v>
      </c>
      <c r="E250" s="3" t="str">
        <f t="shared" si="21"/>
        <v>Thursday</v>
      </c>
      <c r="F250" s="4" t="str">
        <f t="shared" si="22"/>
        <v>N</v>
      </c>
      <c r="G250" s="4" t="str">
        <f>IF(COUNTIF(PublicHols[Date], A250)&gt;0, "Y", "N")</f>
        <v>N</v>
      </c>
      <c r="H250" s="3" t="str">
        <f>IFERROR(_xlfn.XLOOKUP(A250, PublicHols[Date], PublicHols[PH_Name]),"")</f>
        <v/>
      </c>
      <c r="I250" s="4" t="str">
        <f>IF(COUNTIF(EventsAll[Date], A250)&gt;0, "Y", "N")</f>
        <v>N</v>
      </c>
      <c r="J250" s="11" t="str">
        <f>IFERROR(_xlfn.XLOOKUP(A250, EventsAll[Date], EventsAll[Event]),"")</f>
        <v/>
      </c>
      <c r="K250" s="4" t="str" cm="1">
        <f t="array" ref="K250">IF(SUMPRODUCT((A250&gt;=SchoolHols[Start])*(A250&lt;=SchoolHols[End]))&gt;0,"Y","N")</f>
        <v>N</v>
      </c>
    </row>
    <row r="251" spans="1:11">
      <c r="A251" s="6">
        <f t="shared" si="23"/>
        <v>43350</v>
      </c>
      <c r="B251" s="4" t="str">
        <f t="shared" si="18"/>
        <v>07</v>
      </c>
      <c r="C251" s="4" t="str">
        <f t="shared" si="19"/>
        <v>09</v>
      </c>
      <c r="D251" s="4" t="str">
        <f t="shared" si="20"/>
        <v>2018</v>
      </c>
      <c r="E251" s="3" t="str">
        <f t="shared" si="21"/>
        <v>Friday</v>
      </c>
      <c r="F251" s="4" t="str">
        <f t="shared" si="22"/>
        <v>N</v>
      </c>
      <c r="G251" s="4" t="str">
        <f>IF(COUNTIF(PublicHols[Date], A251)&gt;0, "Y", "N")</f>
        <v>N</v>
      </c>
      <c r="H251" s="3" t="str">
        <f>IFERROR(_xlfn.XLOOKUP(A251, PublicHols[Date], PublicHols[PH_Name]),"")</f>
        <v/>
      </c>
      <c r="I251" s="4" t="str">
        <f>IF(COUNTIF(EventsAll[Date], A251)&gt;0, "Y", "N")</f>
        <v>N</v>
      </c>
      <c r="J251" s="11" t="str">
        <f>IFERROR(_xlfn.XLOOKUP(A251, EventsAll[Date], EventsAll[Event]),"")</f>
        <v/>
      </c>
      <c r="K251" s="4" t="str" cm="1">
        <f t="array" ref="K251">IF(SUMPRODUCT((A251&gt;=SchoolHols[Start])*(A251&lt;=SchoolHols[End]))&gt;0,"Y","N")</f>
        <v>N</v>
      </c>
    </row>
    <row r="252" spans="1:11">
      <c r="A252" s="6">
        <f t="shared" si="23"/>
        <v>43351</v>
      </c>
      <c r="B252" s="4" t="str">
        <f t="shared" si="18"/>
        <v>08</v>
      </c>
      <c r="C252" s="4" t="str">
        <f t="shared" si="19"/>
        <v>09</v>
      </c>
      <c r="D252" s="4" t="str">
        <f t="shared" si="20"/>
        <v>2018</v>
      </c>
      <c r="E252" s="3" t="str">
        <f t="shared" si="21"/>
        <v>Saturday</v>
      </c>
      <c r="F252" s="4" t="str">
        <f t="shared" si="22"/>
        <v>N</v>
      </c>
      <c r="G252" s="4" t="str">
        <f>IF(COUNTIF(PublicHols[Date], A252)&gt;0, "Y", "N")</f>
        <v>N</v>
      </c>
      <c r="H252" s="3" t="str">
        <f>IFERROR(_xlfn.XLOOKUP(A252, PublicHols[Date], PublicHols[PH_Name]),"")</f>
        <v/>
      </c>
      <c r="I252" s="4" t="str">
        <f>IF(COUNTIF(EventsAll[Date], A252)&gt;0, "Y", "N")</f>
        <v>N</v>
      </c>
      <c r="J252" s="11" t="str">
        <f>IFERROR(_xlfn.XLOOKUP(A252, EventsAll[Date], EventsAll[Event]),"")</f>
        <v/>
      </c>
      <c r="K252" s="4" t="str" cm="1">
        <f t="array" ref="K252">IF(SUMPRODUCT((A252&gt;=SchoolHols[Start])*(A252&lt;=SchoolHols[End]))&gt;0,"Y","N")</f>
        <v>N</v>
      </c>
    </row>
    <row r="253" spans="1:11">
      <c r="A253" s="6">
        <f t="shared" si="23"/>
        <v>43352</v>
      </c>
      <c r="B253" s="4" t="str">
        <f t="shared" si="18"/>
        <v>09</v>
      </c>
      <c r="C253" s="4" t="str">
        <f t="shared" si="19"/>
        <v>09</v>
      </c>
      <c r="D253" s="4" t="str">
        <f t="shared" si="20"/>
        <v>2018</v>
      </c>
      <c r="E253" s="3" t="str">
        <f t="shared" si="21"/>
        <v>Sunday</v>
      </c>
      <c r="F253" s="4" t="str">
        <f t="shared" si="22"/>
        <v>Y</v>
      </c>
      <c r="G253" s="4" t="str">
        <f>IF(COUNTIF(PublicHols[Date], A253)&gt;0, "Y", "N")</f>
        <v>N</v>
      </c>
      <c r="H253" s="3" t="str">
        <f>IFERROR(_xlfn.XLOOKUP(A253, PublicHols[Date], PublicHols[PH_Name]),"")</f>
        <v/>
      </c>
      <c r="I253" s="4" t="str">
        <f>IF(COUNTIF(EventsAll[Date], A253)&gt;0, "Y", "N")</f>
        <v>N</v>
      </c>
      <c r="J253" s="11" t="str">
        <f>IFERROR(_xlfn.XLOOKUP(A253, EventsAll[Date], EventsAll[Event]),"")</f>
        <v/>
      </c>
      <c r="K253" s="4" t="str" cm="1">
        <f t="array" ref="K253">IF(SUMPRODUCT((A253&gt;=SchoolHols[Start])*(A253&lt;=SchoolHols[End]))&gt;0,"Y","N")</f>
        <v>N</v>
      </c>
    </row>
    <row r="254" spans="1:11">
      <c r="A254" s="6">
        <f t="shared" si="23"/>
        <v>43353</v>
      </c>
      <c r="B254" s="4" t="str">
        <f t="shared" si="18"/>
        <v>10</v>
      </c>
      <c r="C254" s="4" t="str">
        <f t="shared" si="19"/>
        <v>09</v>
      </c>
      <c r="D254" s="4" t="str">
        <f t="shared" si="20"/>
        <v>2018</v>
      </c>
      <c r="E254" s="3" t="str">
        <f t="shared" si="21"/>
        <v>Monday</v>
      </c>
      <c r="F254" s="4" t="str">
        <f t="shared" si="22"/>
        <v>N</v>
      </c>
      <c r="G254" s="4" t="str">
        <f>IF(COUNTIF(PublicHols[Date], A254)&gt;0, "Y", "N")</f>
        <v>N</v>
      </c>
      <c r="H254" s="3" t="str">
        <f>IFERROR(_xlfn.XLOOKUP(A254, PublicHols[Date], PublicHols[PH_Name]),"")</f>
        <v/>
      </c>
      <c r="I254" s="4" t="str">
        <f>IF(COUNTIF(EventsAll[Date], A254)&gt;0, "Y", "N")</f>
        <v>N</v>
      </c>
      <c r="J254" s="11" t="str">
        <f>IFERROR(_xlfn.XLOOKUP(A254, EventsAll[Date], EventsAll[Event]),"")</f>
        <v/>
      </c>
      <c r="K254" s="4" t="str" cm="1">
        <f t="array" ref="K254">IF(SUMPRODUCT((A254&gt;=SchoolHols[Start])*(A254&lt;=SchoolHols[End]))&gt;0,"Y","N")</f>
        <v>N</v>
      </c>
    </row>
    <row r="255" spans="1:11">
      <c r="A255" s="6">
        <f t="shared" si="23"/>
        <v>43354</v>
      </c>
      <c r="B255" s="4" t="str">
        <f t="shared" si="18"/>
        <v>11</v>
      </c>
      <c r="C255" s="4" t="str">
        <f t="shared" si="19"/>
        <v>09</v>
      </c>
      <c r="D255" s="4" t="str">
        <f t="shared" si="20"/>
        <v>2018</v>
      </c>
      <c r="E255" s="3" t="str">
        <f t="shared" si="21"/>
        <v>Tuesday</v>
      </c>
      <c r="F255" s="4" t="str">
        <f t="shared" si="22"/>
        <v>N</v>
      </c>
      <c r="G255" s="4" t="str">
        <f>IF(COUNTIF(PublicHols[Date], A255)&gt;0, "Y", "N")</f>
        <v>N</v>
      </c>
      <c r="H255" s="3" t="str">
        <f>IFERROR(_xlfn.XLOOKUP(A255, PublicHols[Date], PublicHols[PH_Name]),"")</f>
        <v/>
      </c>
      <c r="I255" s="4" t="str">
        <f>IF(COUNTIF(EventsAll[Date], A255)&gt;0, "Y", "N")</f>
        <v>N</v>
      </c>
      <c r="J255" s="11" t="str">
        <f>IFERROR(_xlfn.XLOOKUP(A255, EventsAll[Date], EventsAll[Event]),"")</f>
        <v/>
      </c>
      <c r="K255" s="4" t="str" cm="1">
        <f t="array" ref="K255">IF(SUMPRODUCT((A255&gt;=SchoolHols[Start])*(A255&lt;=SchoolHols[End]))&gt;0,"Y","N")</f>
        <v>N</v>
      </c>
    </row>
    <row r="256" spans="1:11">
      <c r="A256" s="6">
        <f t="shared" si="23"/>
        <v>43355</v>
      </c>
      <c r="B256" s="4" t="str">
        <f t="shared" si="18"/>
        <v>12</v>
      </c>
      <c r="C256" s="4" t="str">
        <f t="shared" si="19"/>
        <v>09</v>
      </c>
      <c r="D256" s="4" t="str">
        <f t="shared" si="20"/>
        <v>2018</v>
      </c>
      <c r="E256" s="3" t="str">
        <f t="shared" si="21"/>
        <v>Wednesday</v>
      </c>
      <c r="F256" s="4" t="str">
        <f t="shared" si="22"/>
        <v>N</v>
      </c>
      <c r="G256" s="4" t="str">
        <f>IF(COUNTIF(PublicHols[Date], A256)&gt;0, "Y", "N")</f>
        <v>N</v>
      </c>
      <c r="H256" s="3" t="str">
        <f>IFERROR(_xlfn.XLOOKUP(A256, PublicHols[Date], PublicHols[PH_Name]),"")</f>
        <v/>
      </c>
      <c r="I256" s="4" t="str">
        <f>IF(COUNTIF(EventsAll[Date], A256)&gt;0, "Y", "N")</f>
        <v>N</v>
      </c>
      <c r="J256" s="11" t="str">
        <f>IFERROR(_xlfn.XLOOKUP(A256, EventsAll[Date], EventsAll[Event]),"")</f>
        <v/>
      </c>
      <c r="K256" s="4" t="str" cm="1">
        <f t="array" ref="K256">IF(SUMPRODUCT((A256&gt;=SchoolHols[Start])*(A256&lt;=SchoolHols[End]))&gt;0,"Y","N")</f>
        <v>N</v>
      </c>
    </row>
    <row r="257" spans="1:11">
      <c r="A257" s="6">
        <f t="shared" si="23"/>
        <v>43356</v>
      </c>
      <c r="B257" s="4" t="str">
        <f t="shared" si="18"/>
        <v>13</v>
      </c>
      <c r="C257" s="4" t="str">
        <f t="shared" si="19"/>
        <v>09</v>
      </c>
      <c r="D257" s="4" t="str">
        <f t="shared" si="20"/>
        <v>2018</v>
      </c>
      <c r="E257" s="3" t="str">
        <f t="shared" si="21"/>
        <v>Thursday</v>
      </c>
      <c r="F257" s="4" t="str">
        <f t="shared" si="22"/>
        <v>N</v>
      </c>
      <c r="G257" s="4" t="str">
        <f>IF(COUNTIF(PublicHols[Date], A257)&gt;0, "Y", "N")</f>
        <v>N</v>
      </c>
      <c r="H257" s="3" t="str">
        <f>IFERROR(_xlfn.XLOOKUP(A257, PublicHols[Date], PublicHols[PH_Name]),"")</f>
        <v/>
      </c>
      <c r="I257" s="4" t="str">
        <f>IF(COUNTIF(EventsAll[Date], A257)&gt;0, "Y", "N")</f>
        <v>N</v>
      </c>
      <c r="J257" s="11" t="str">
        <f>IFERROR(_xlfn.XLOOKUP(A257, EventsAll[Date], EventsAll[Event]),"")</f>
        <v/>
      </c>
      <c r="K257" s="4" t="str" cm="1">
        <f t="array" ref="K257">IF(SUMPRODUCT((A257&gt;=SchoolHols[Start])*(A257&lt;=SchoolHols[End]))&gt;0,"Y","N")</f>
        <v>N</v>
      </c>
    </row>
    <row r="258" spans="1:11">
      <c r="A258" s="6">
        <f t="shared" si="23"/>
        <v>43357</v>
      </c>
      <c r="B258" s="4" t="str">
        <f t="shared" si="18"/>
        <v>14</v>
      </c>
      <c r="C258" s="4" t="str">
        <f t="shared" si="19"/>
        <v>09</v>
      </c>
      <c r="D258" s="4" t="str">
        <f t="shared" si="20"/>
        <v>2018</v>
      </c>
      <c r="E258" s="3" t="str">
        <f t="shared" si="21"/>
        <v>Friday</v>
      </c>
      <c r="F258" s="4" t="str">
        <f t="shared" si="22"/>
        <v>N</v>
      </c>
      <c r="G258" s="4" t="str">
        <f>IF(COUNTIF(PublicHols[Date], A258)&gt;0, "Y", "N")</f>
        <v>N</v>
      </c>
      <c r="H258" s="3" t="str">
        <f>IFERROR(_xlfn.XLOOKUP(A258, PublicHols[Date], PublicHols[PH_Name]),"")</f>
        <v/>
      </c>
      <c r="I258" s="4" t="str">
        <f>IF(COUNTIF(EventsAll[Date], A258)&gt;0, "Y", "N")</f>
        <v>N</v>
      </c>
      <c r="J258" s="11" t="str">
        <f>IFERROR(_xlfn.XLOOKUP(A258, EventsAll[Date], EventsAll[Event]),"")</f>
        <v/>
      </c>
      <c r="K258" s="4" t="str" cm="1">
        <f t="array" ref="K258">IF(SUMPRODUCT((A258&gt;=SchoolHols[Start])*(A258&lt;=SchoolHols[End]))&gt;0,"Y","N")</f>
        <v>N</v>
      </c>
    </row>
    <row r="259" spans="1:11">
      <c r="A259" s="6">
        <f t="shared" si="23"/>
        <v>43358</v>
      </c>
      <c r="B259" s="4" t="str">
        <f t="shared" ref="B259:B322" si="24">TEXT($A259, "dd")</f>
        <v>15</v>
      </c>
      <c r="C259" s="4" t="str">
        <f t="shared" ref="C259:C322" si="25">TEXT($A259, "mm")</f>
        <v>09</v>
      </c>
      <c r="D259" s="4" t="str">
        <f t="shared" ref="D259:D322" si="26">TEXT($A259, "yyyy")</f>
        <v>2018</v>
      </c>
      <c r="E259" s="3" t="str">
        <f t="shared" ref="E259:E322" si="27">TEXT($A259, "dddd")</f>
        <v>Saturday</v>
      </c>
      <c r="F259" s="4" t="str">
        <f t="shared" ref="F259:F322" si="28">IF($E259="Sunday", "Y", "N")</f>
        <v>N</v>
      </c>
      <c r="G259" s="4" t="str">
        <f>IF(COUNTIF(PublicHols[Date], A259)&gt;0, "Y", "N")</f>
        <v>N</v>
      </c>
      <c r="H259" s="3" t="str">
        <f>IFERROR(_xlfn.XLOOKUP(A259, PublicHols[Date], PublicHols[PH_Name]),"")</f>
        <v/>
      </c>
      <c r="I259" s="4" t="str">
        <f>IF(COUNTIF(EventsAll[Date], A259)&gt;0, "Y", "N")</f>
        <v>N</v>
      </c>
      <c r="J259" s="11" t="str">
        <f>IFERROR(_xlfn.XLOOKUP(A259, EventsAll[Date], EventsAll[Event]),"")</f>
        <v/>
      </c>
      <c r="K259" s="4" t="str" cm="1">
        <f t="array" ref="K259">IF(SUMPRODUCT((A259&gt;=SchoolHols[Start])*(A259&lt;=SchoolHols[End]))&gt;0,"Y","N")</f>
        <v>N</v>
      </c>
    </row>
    <row r="260" spans="1:11">
      <c r="A260" s="6">
        <f t="shared" ref="A260:A323" si="29">$A259+1</f>
        <v>43359</v>
      </c>
      <c r="B260" s="4" t="str">
        <f t="shared" si="24"/>
        <v>16</v>
      </c>
      <c r="C260" s="4" t="str">
        <f t="shared" si="25"/>
        <v>09</v>
      </c>
      <c r="D260" s="4" t="str">
        <f t="shared" si="26"/>
        <v>2018</v>
      </c>
      <c r="E260" s="3" t="str">
        <f t="shared" si="27"/>
        <v>Sunday</v>
      </c>
      <c r="F260" s="4" t="str">
        <f t="shared" si="28"/>
        <v>Y</v>
      </c>
      <c r="G260" s="4" t="str">
        <f>IF(COUNTIF(PublicHols[Date], A260)&gt;0, "Y", "N")</f>
        <v>N</v>
      </c>
      <c r="H260" s="3" t="str">
        <f>IFERROR(_xlfn.XLOOKUP(A260, PublicHols[Date], PublicHols[PH_Name]),"")</f>
        <v/>
      </c>
      <c r="I260" s="4" t="str">
        <f>IF(COUNTIF(EventsAll[Date], A260)&gt;0, "Y", "N")</f>
        <v>N</v>
      </c>
      <c r="J260" s="11" t="str">
        <f>IFERROR(_xlfn.XLOOKUP(A260, EventsAll[Date], EventsAll[Event]),"")</f>
        <v/>
      </c>
      <c r="K260" s="4" t="str" cm="1">
        <f t="array" ref="K260">IF(SUMPRODUCT((A260&gt;=SchoolHols[Start])*(A260&lt;=SchoolHols[End]))&gt;0,"Y","N")</f>
        <v>N</v>
      </c>
    </row>
    <row r="261" spans="1:11">
      <c r="A261" s="6">
        <f t="shared" si="29"/>
        <v>43360</v>
      </c>
      <c r="B261" s="4" t="str">
        <f t="shared" si="24"/>
        <v>17</v>
      </c>
      <c r="C261" s="4" t="str">
        <f t="shared" si="25"/>
        <v>09</v>
      </c>
      <c r="D261" s="4" t="str">
        <f t="shared" si="26"/>
        <v>2018</v>
      </c>
      <c r="E261" s="3" t="str">
        <f t="shared" si="27"/>
        <v>Monday</v>
      </c>
      <c r="F261" s="4" t="str">
        <f t="shared" si="28"/>
        <v>N</v>
      </c>
      <c r="G261" s="4" t="str">
        <f>IF(COUNTIF(PublicHols[Date], A261)&gt;0, "Y", "N")</f>
        <v>N</v>
      </c>
      <c r="H261" s="3" t="str">
        <f>IFERROR(_xlfn.XLOOKUP(A261, PublicHols[Date], PublicHols[PH_Name]),"")</f>
        <v/>
      </c>
      <c r="I261" s="4" t="str">
        <f>IF(COUNTIF(EventsAll[Date], A261)&gt;0, "Y", "N")</f>
        <v>N</v>
      </c>
      <c r="J261" s="11" t="str">
        <f>IFERROR(_xlfn.XLOOKUP(A261, EventsAll[Date], EventsAll[Event]),"")</f>
        <v/>
      </c>
      <c r="K261" s="4" t="str" cm="1">
        <f t="array" ref="K261">IF(SUMPRODUCT((A261&gt;=SchoolHols[Start])*(A261&lt;=SchoolHols[End]))&gt;0,"Y","N")</f>
        <v>N</v>
      </c>
    </row>
    <row r="262" spans="1:11">
      <c r="A262" s="6">
        <f t="shared" si="29"/>
        <v>43361</v>
      </c>
      <c r="B262" s="4" t="str">
        <f t="shared" si="24"/>
        <v>18</v>
      </c>
      <c r="C262" s="4" t="str">
        <f t="shared" si="25"/>
        <v>09</v>
      </c>
      <c r="D262" s="4" t="str">
        <f t="shared" si="26"/>
        <v>2018</v>
      </c>
      <c r="E262" s="3" t="str">
        <f t="shared" si="27"/>
        <v>Tuesday</v>
      </c>
      <c r="F262" s="4" t="str">
        <f t="shared" si="28"/>
        <v>N</v>
      </c>
      <c r="G262" s="4" t="str">
        <f>IF(COUNTIF(PublicHols[Date], A262)&gt;0, "Y", "N")</f>
        <v>N</v>
      </c>
      <c r="H262" s="3" t="str">
        <f>IFERROR(_xlfn.XLOOKUP(A262, PublicHols[Date], PublicHols[PH_Name]),"")</f>
        <v/>
      </c>
      <c r="I262" s="4" t="str">
        <f>IF(COUNTIF(EventsAll[Date], A262)&gt;0, "Y", "N")</f>
        <v>N</v>
      </c>
      <c r="J262" s="11" t="str">
        <f>IFERROR(_xlfn.XLOOKUP(A262, EventsAll[Date], EventsAll[Event]),"")</f>
        <v/>
      </c>
      <c r="K262" s="4" t="str" cm="1">
        <f t="array" ref="K262">IF(SUMPRODUCT((A262&gt;=SchoolHols[Start])*(A262&lt;=SchoolHols[End]))&gt;0,"Y","N")</f>
        <v>N</v>
      </c>
    </row>
    <row r="263" spans="1:11">
      <c r="A263" s="6">
        <f t="shared" si="29"/>
        <v>43362</v>
      </c>
      <c r="B263" s="4" t="str">
        <f t="shared" si="24"/>
        <v>19</v>
      </c>
      <c r="C263" s="4" t="str">
        <f t="shared" si="25"/>
        <v>09</v>
      </c>
      <c r="D263" s="4" t="str">
        <f t="shared" si="26"/>
        <v>2018</v>
      </c>
      <c r="E263" s="3" t="str">
        <f t="shared" si="27"/>
        <v>Wednesday</v>
      </c>
      <c r="F263" s="4" t="str">
        <f t="shared" si="28"/>
        <v>N</v>
      </c>
      <c r="G263" s="4" t="str">
        <f>IF(COUNTIF(PublicHols[Date], A263)&gt;0, "Y", "N")</f>
        <v>N</v>
      </c>
      <c r="H263" s="3" t="str">
        <f>IFERROR(_xlfn.XLOOKUP(A263, PublicHols[Date], PublicHols[PH_Name]),"")</f>
        <v/>
      </c>
      <c r="I263" s="4" t="str">
        <f>IF(COUNTIF(EventsAll[Date], A263)&gt;0, "Y", "N")</f>
        <v>N</v>
      </c>
      <c r="J263" s="11" t="str">
        <f>IFERROR(_xlfn.XLOOKUP(A263, EventsAll[Date], EventsAll[Event]),"")</f>
        <v/>
      </c>
      <c r="K263" s="4" t="str" cm="1">
        <f t="array" ref="K263">IF(SUMPRODUCT((A263&gt;=SchoolHols[Start])*(A263&lt;=SchoolHols[End]))&gt;0,"Y","N")</f>
        <v>N</v>
      </c>
    </row>
    <row r="264" spans="1:11">
      <c r="A264" s="6">
        <f t="shared" si="29"/>
        <v>43363</v>
      </c>
      <c r="B264" s="4" t="str">
        <f t="shared" si="24"/>
        <v>20</v>
      </c>
      <c r="C264" s="4" t="str">
        <f t="shared" si="25"/>
        <v>09</v>
      </c>
      <c r="D264" s="4" t="str">
        <f t="shared" si="26"/>
        <v>2018</v>
      </c>
      <c r="E264" s="3" t="str">
        <f t="shared" si="27"/>
        <v>Thursday</v>
      </c>
      <c r="F264" s="4" t="str">
        <f t="shared" si="28"/>
        <v>N</v>
      </c>
      <c r="G264" s="4" t="str">
        <f>IF(COUNTIF(PublicHols[Date], A264)&gt;0, "Y", "N")</f>
        <v>N</v>
      </c>
      <c r="H264" s="3" t="str">
        <f>IFERROR(_xlfn.XLOOKUP(A264, PublicHols[Date], PublicHols[PH_Name]),"")</f>
        <v/>
      </c>
      <c r="I264" s="4" t="str">
        <f>IF(COUNTIF(EventsAll[Date], A264)&gt;0, "Y", "N")</f>
        <v>N</v>
      </c>
      <c r="J264" s="11" t="str">
        <f>IFERROR(_xlfn.XLOOKUP(A264, EventsAll[Date], EventsAll[Event]),"")</f>
        <v/>
      </c>
      <c r="K264" s="4" t="str" cm="1">
        <f t="array" ref="K264">IF(SUMPRODUCT((A264&gt;=SchoolHols[Start])*(A264&lt;=SchoolHols[End]))&gt;0,"Y","N")</f>
        <v>N</v>
      </c>
    </row>
    <row r="265" spans="1:11">
      <c r="A265" s="6">
        <f t="shared" si="29"/>
        <v>43364</v>
      </c>
      <c r="B265" s="4" t="str">
        <f t="shared" si="24"/>
        <v>21</v>
      </c>
      <c r="C265" s="4" t="str">
        <f t="shared" si="25"/>
        <v>09</v>
      </c>
      <c r="D265" s="4" t="str">
        <f t="shared" si="26"/>
        <v>2018</v>
      </c>
      <c r="E265" s="3" t="str">
        <f t="shared" si="27"/>
        <v>Friday</v>
      </c>
      <c r="F265" s="4" t="str">
        <f t="shared" si="28"/>
        <v>N</v>
      </c>
      <c r="G265" s="4" t="str">
        <f>IF(COUNTIF(PublicHols[Date], A265)&gt;0, "Y", "N")</f>
        <v>N</v>
      </c>
      <c r="H265" s="3" t="str">
        <f>IFERROR(_xlfn.XLOOKUP(A265, PublicHols[Date], PublicHols[PH_Name]),"")</f>
        <v/>
      </c>
      <c r="I265" s="4" t="str">
        <f>IF(COUNTIF(EventsAll[Date], A265)&gt;0, "Y", "N")</f>
        <v>N</v>
      </c>
      <c r="J265" s="11" t="str">
        <f>IFERROR(_xlfn.XLOOKUP(A265, EventsAll[Date], EventsAll[Event]),"")</f>
        <v/>
      </c>
      <c r="K265" s="4" t="str" cm="1">
        <f t="array" ref="K265">IF(SUMPRODUCT((A265&gt;=SchoolHols[Start])*(A265&lt;=SchoolHols[End]))&gt;0,"Y","N")</f>
        <v>N</v>
      </c>
    </row>
    <row r="266" spans="1:11">
      <c r="A266" s="6">
        <f t="shared" si="29"/>
        <v>43365</v>
      </c>
      <c r="B266" s="4" t="str">
        <f t="shared" si="24"/>
        <v>22</v>
      </c>
      <c r="C266" s="4" t="str">
        <f t="shared" si="25"/>
        <v>09</v>
      </c>
      <c r="D266" s="4" t="str">
        <f t="shared" si="26"/>
        <v>2018</v>
      </c>
      <c r="E266" s="3" t="str">
        <f t="shared" si="27"/>
        <v>Saturday</v>
      </c>
      <c r="F266" s="4" t="str">
        <f t="shared" si="28"/>
        <v>N</v>
      </c>
      <c r="G266" s="4" t="str">
        <f>IF(COUNTIF(PublicHols[Date], A266)&gt;0, "Y", "N")</f>
        <v>N</v>
      </c>
      <c r="H266" s="3" t="str">
        <f>IFERROR(_xlfn.XLOOKUP(A266, PublicHols[Date], PublicHols[PH_Name]),"")</f>
        <v/>
      </c>
      <c r="I266" s="4" t="str">
        <f>IF(COUNTIF(EventsAll[Date], A266)&gt;0, "Y", "N")</f>
        <v>N</v>
      </c>
      <c r="J266" s="11" t="str">
        <f>IFERROR(_xlfn.XLOOKUP(A266, EventsAll[Date], EventsAll[Event]),"")</f>
        <v/>
      </c>
      <c r="K266" s="4" t="str" cm="1">
        <f t="array" ref="K266">IF(SUMPRODUCT((A266&gt;=SchoolHols[Start])*(A266&lt;=SchoolHols[End]))&gt;0,"Y","N")</f>
        <v>N</v>
      </c>
    </row>
    <row r="267" spans="1:11">
      <c r="A267" s="6">
        <f t="shared" si="29"/>
        <v>43366</v>
      </c>
      <c r="B267" s="4" t="str">
        <f t="shared" si="24"/>
        <v>23</v>
      </c>
      <c r="C267" s="4" t="str">
        <f t="shared" si="25"/>
        <v>09</v>
      </c>
      <c r="D267" s="4" t="str">
        <f t="shared" si="26"/>
        <v>2018</v>
      </c>
      <c r="E267" s="3" t="str">
        <f t="shared" si="27"/>
        <v>Sunday</v>
      </c>
      <c r="F267" s="4" t="str">
        <f t="shared" si="28"/>
        <v>Y</v>
      </c>
      <c r="G267" s="4" t="str">
        <f>IF(COUNTIF(PublicHols[Date], A267)&gt;0, "Y", "N")</f>
        <v>N</v>
      </c>
      <c r="H267" s="3" t="str">
        <f>IFERROR(_xlfn.XLOOKUP(A267, PublicHols[Date], PublicHols[PH_Name]),"")</f>
        <v/>
      </c>
      <c r="I267" s="4" t="str">
        <f>IF(COUNTIF(EventsAll[Date], A267)&gt;0, "Y", "N")</f>
        <v>N</v>
      </c>
      <c r="J267" s="11" t="str">
        <f>IFERROR(_xlfn.XLOOKUP(A267, EventsAll[Date], EventsAll[Event]),"")</f>
        <v/>
      </c>
      <c r="K267" s="4" t="str" cm="1">
        <f t="array" ref="K267">IF(SUMPRODUCT((A267&gt;=SchoolHols[Start])*(A267&lt;=SchoolHols[End]))&gt;0,"Y","N")</f>
        <v>N</v>
      </c>
    </row>
    <row r="268" spans="1:11">
      <c r="A268" s="6">
        <f t="shared" si="29"/>
        <v>43367</v>
      </c>
      <c r="B268" s="4" t="str">
        <f t="shared" si="24"/>
        <v>24</v>
      </c>
      <c r="C268" s="4" t="str">
        <f t="shared" si="25"/>
        <v>09</v>
      </c>
      <c r="D268" s="4" t="str">
        <f t="shared" si="26"/>
        <v>2018</v>
      </c>
      <c r="E268" s="3" t="str">
        <f t="shared" si="27"/>
        <v>Monday</v>
      </c>
      <c r="F268" s="4" t="str">
        <f t="shared" si="28"/>
        <v>N</v>
      </c>
      <c r="G268" s="4" t="str">
        <f>IF(COUNTIF(PublicHols[Date], A268)&gt;0, "Y", "N")</f>
        <v>Y</v>
      </c>
      <c r="H268" s="3" t="str">
        <f>IFERROR(_xlfn.XLOOKUP(A268, PublicHols[Date], PublicHols[PH_Name]),"")</f>
        <v>Heritage Day</v>
      </c>
      <c r="I268" s="4" t="str">
        <f>IF(COUNTIF(EventsAll[Date], A268)&gt;0, "Y", "N")</f>
        <v>N</v>
      </c>
      <c r="J268" s="11" t="str">
        <f>IFERROR(_xlfn.XLOOKUP(A268, EventsAll[Date], EventsAll[Event]),"")</f>
        <v/>
      </c>
      <c r="K268" s="4" t="str" cm="1">
        <f t="array" ref="K268">IF(SUMPRODUCT((A268&gt;=SchoolHols[Start])*(A268&lt;=SchoolHols[End]))&gt;0,"Y","N")</f>
        <v>N</v>
      </c>
    </row>
    <row r="269" spans="1:11">
      <c r="A269" s="6">
        <f t="shared" si="29"/>
        <v>43368</v>
      </c>
      <c r="B269" s="4" t="str">
        <f t="shared" si="24"/>
        <v>25</v>
      </c>
      <c r="C269" s="4" t="str">
        <f t="shared" si="25"/>
        <v>09</v>
      </c>
      <c r="D269" s="4" t="str">
        <f t="shared" si="26"/>
        <v>2018</v>
      </c>
      <c r="E269" s="3" t="str">
        <f t="shared" si="27"/>
        <v>Tuesday</v>
      </c>
      <c r="F269" s="4" t="str">
        <f t="shared" si="28"/>
        <v>N</v>
      </c>
      <c r="G269" s="4" t="str">
        <f>IF(COUNTIF(PublicHols[Date], A269)&gt;0, "Y", "N")</f>
        <v>N</v>
      </c>
      <c r="H269" s="3" t="str">
        <f>IFERROR(_xlfn.XLOOKUP(A269, PublicHols[Date], PublicHols[PH_Name]),"")</f>
        <v/>
      </c>
      <c r="I269" s="4" t="str">
        <f>IF(COUNTIF(EventsAll[Date], A269)&gt;0, "Y", "N")</f>
        <v>N</v>
      </c>
      <c r="J269" s="11" t="str">
        <f>IFERROR(_xlfn.XLOOKUP(A269, EventsAll[Date], EventsAll[Event]),"")</f>
        <v/>
      </c>
      <c r="K269" s="4" t="str" cm="1">
        <f t="array" ref="K269">IF(SUMPRODUCT((A269&gt;=SchoolHols[Start])*(A269&lt;=SchoolHols[End]))&gt;0,"Y","N")</f>
        <v>N</v>
      </c>
    </row>
    <row r="270" spans="1:11">
      <c r="A270" s="6">
        <f t="shared" si="29"/>
        <v>43369</v>
      </c>
      <c r="B270" s="4" t="str">
        <f t="shared" si="24"/>
        <v>26</v>
      </c>
      <c r="C270" s="4" t="str">
        <f t="shared" si="25"/>
        <v>09</v>
      </c>
      <c r="D270" s="4" t="str">
        <f t="shared" si="26"/>
        <v>2018</v>
      </c>
      <c r="E270" s="3" t="str">
        <f t="shared" si="27"/>
        <v>Wednesday</v>
      </c>
      <c r="F270" s="4" t="str">
        <f t="shared" si="28"/>
        <v>N</v>
      </c>
      <c r="G270" s="4" t="str">
        <f>IF(COUNTIF(PublicHols[Date], A270)&gt;0, "Y", "N")</f>
        <v>N</v>
      </c>
      <c r="H270" s="3" t="str">
        <f>IFERROR(_xlfn.XLOOKUP(A270, PublicHols[Date], PublicHols[PH_Name]),"")</f>
        <v/>
      </c>
      <c r="I270" s="4" t="str">
        <f>IF(COUNTIF(EventsAll[Date], A270)&gt;0, "Y", "N")</f>
        <v>N</v>
      </c>
      <c r="J270" s="11" t="str">
        <f>IFERROR(_xlfn.XLOOKUP(A270, EventsAll[Date], EventsAll[Event]),"")</f>
        <v/>
      </c>
      <c r="K270" s="4" t="str" cm="1">
        <f t="array" ref="K270">IF(SUMPRODUCT((A270&gt;=SchoolHols[Start])*(A270&lt;=SchoolHols[End]))&gt;0,"Y","N")</f>
        <v>N</v>
      </c>
    </row>
    <row r="271" spans="1:11">
      <c r="A271" s="6">
        <f t="shared" si="29"/>
        <v>43370</v>
      </c>
      <c r="B271" s="4" t="str">
        <f t="shared" si="24"/>
        <v>27</v>
      </c>
      <c r="C271" s="4" t="str">
        <f t="shared" si="25"/>
        <v>09</v>
      </c>
      <c r="D271" s="4" t="str">
        <f t="shared" si="26"/>
        <v>2018</v>
      </c>
      <c r="E271" s="3" t="str">
        <f t="shared" si="27"/>
        <v>Thursday</v>
      </c>
      <c r="F271" s="4" t="str">
        <f t="shared" si="28"/>
        <v>N</v>
      </c>
      <c r="G271" s="4" t="str">
        <f>IF(COUNTIF(PublicHols[Date], A271)&gt;0, "Y", "N")</f>
        <v>N</v>
      </c>
      <c r="H271" s="3" t="str">
        <f>IFERROR(_xlfn.XLOOKUP(A271, PublicHols[Date], PublicHols[PH_Name]),"")</f>
        <v/>
      </c>
      <c r="I271" s="4" t="str">
        <f>IF(COUNTIF(EventsAll[Date], A271)&gt;0, "Y", "N")</f>
        <v>N</v>
      </c>
      <c r="J271" s="11" t="str">
        <f>IFERROR(_xlfn.XLOOKUP(A271, EventsAll[Date], EventsAll[Event]),"")</f>
        <v/>
      </c>
      <c r="K271" s="4" t="str" cm="1">
        <f t="array" ref="K271">IF(SUMPRODUCT((A271&gt;=SchoolHols[Start])*(A271&lt;=SchoolHols[End]))&gt;0,"Y","N")</f>
        <v>N</v>
      </c>
    </row>
    <row r="272" spans="1:11">
      <c r="A272" s="6">
        <f t="shared" si="29"/>
        <v>43371</v>
      </c>
      <c r="B272" s="4" t="str">
        <f t="shared" si="24"/>
        <v>28</v>
      </c>
      <c r="C272" s="4" t="str">
        <f t="shared" si="25"/>
        <v>09</v>
      </c>
      <c r="D272" s="4" t="str">
        <f t="shared" si="26"/>
        <v>2018</v>
      </c>
      <c r="E272" s="3" t="str">
        <f t="shared" si="27"/>
        <v>Friday</v>
      </c>
      <c r="F272" s="4" t="str">
        <f t="shared" si="28"/>
        <v>N</v>
      </c>
      <c r="G272" s="4" t="str">
        <f>IF(COUNTIF(PublicHols[Date], A272)&gt;0, "Y", "N")</f>
        <v>N</v>
      </c>
      <c r="H272" s="3" t="str">
        <f>IFERROR(_xlfn.XLOOKUP(A272, PublicHols[Date], PublicHols[PH_Name]),"")</f>
        <v/>
      </c>
      <c r="I272" s="4" t="str">
        <f>IF(COUNTIF(EventsAll[Date], A272)&gt;0, "Y", "N")</f>
        <v>N</v>
      </c>
      <c r="J272" s="11" t="str">
        <f>IFERROR(_xlfn.XLOOKUP(A272, EventsAll[Date], EventsAll[Event]),"")</f>
        <v/>
      </c>
      <c r="K272" s="4" t="str" cm="1">
        <f t="array" ref="K272">IF(SUMPRODUCT((A272&gt;=SchoolHols[Start])*(A272&lt;=SchoolHols[End]))&gt;0,"Y","N")</f>
        <v>Y</v>
      </c>
    </row>
    <row r="273" spans="1:11">
      <c r="A273" s="6">
        <f t="shared" si="29"/>
        <v>43372</v>
      </c>
      <c r="B273" s="4" t="str">
        <f t="shared" si="24"/>
        <v>29</v>
      </c>
      <c r="C273" s="4" t="str">
        <f t="shared" si="25"/>
        <v>09</v>
      </c>
      <c r="D273" s="4" t="str">
        <f t="shared" si="26"/>
        <v>2018</v>
      </c>
      <c r="E273" s="3" t="str">
        <f t="shared" si="27"/>
        <v>Saturday</v>
      </c>
      <c r="F273" s="4" t="str">
        <f t="shared" si="28"/>
        <v>N</v>
      </c>
      <c r="G273" s="4" t="str">
        <f>IF(COUNTIF(PublicHols[Date], A273)&gt;0, "Y", "N")</f>
        <v>N</v>
      </c>
      <c r="H273" s="3" t="str">
        <f>IFERROR(_xlfn.XLOOKUP(A273, PublicHols[Date], PublicHols[PH_Name]),"")</f>
        <v/>
      </c>
      <c r="I273" s="4" t="str">
        <f>IF(COUNTIF(EventsAll[Date], A273)&gt;0, "Y", "N")</f>
        <v>N</v>
      </c>
      <c r="J273" s="11" t="str">
        <f>IFERROR(_xlfn.XLOOKUP(A273, EventsAll[Date], EventsAll[Event]),"")</f>
        <v/>
      </c>
      <c r="K273" s="4" t="str" cm="1">
        <f t="array" ref="K273">IF(SUMPRODUCT((A273&gt;=SchoolHols[Start])*(A273&lt;=SchoolHols[End]))&gt;0,"Y","N")</f>
        <v>Y</v>
      </c>
    </row>
    <row r="274" spans="1:11">
      <c r="A274" s="6">
        <f t="shared" si="29"/>
        <v>43373</v>
      </c>
      <c r="B274" s="4" t="str">
        <f t="shared" si="24"/>
        <v>30</v>
      </c>
      <c r="C274" s="4" t="str">
        <f t="shared" si="25"/>
        <v>09</v>
      </c>
      <c r="D274" s="4" t="str">
        <f t="shared" si="26"/>
        <v>2018</v>
      </c>
      <c r="E274" s="3" t="str">
        <f t="shared" si="27"/>
        <v>Sunday</v>
      </c>
      <c r="F274" s="4" t="str">
        <f t="shared" si="28"/>
        <v>Y</v>
      </c>
      <c r="G274" s="4" t="str">
        <f>IF(COUNTIF(PublicHols[Date], A274)&gt;0, "Y", "N")</f>
        <v>N</v>
      </c>
      <c r="H274" s="3" t="str">
        <f>IFERROR(_xlfn.XLOOKUP(A274, PublicHols[Date], PublicHols[PH_Name]),"")</f>
        <v/>
      </c>
      <c r="I274" s="4" t="str">
        <f>IF(COUNTIF(EventsAll[Date], A274)&gt;0, "Y", "N")</f>
        <v>N</v>
      </c>
      <c r="J274" s="11" t="str">
        <f>IFERROR(_xlfn.XLOOKUP(A274, EventsAll[Date], EventsAll[Event]),"")</f>
        <v/>
      </c>
      <c r="K274" s="4" t="str" cm="1">
        <f t="array" ref="K274">IF(SUMPRODUCT((A274&gt;=SchoolHols[Start])*(A274&lt;=SchoolHols[End]))&gt;0,"Y","N")</f>
        <v>Y</v>
      </c>
    </row>
    <row r="275" spans="1:11">
      <c r="A275" s="6">
        <f t="shared" si="29"/>
        <v>43374</v>
      </c>
      <c r="B275" s="4" t="str">
        <f t="shared" si="24"/>
        <v>01</v>
      </c>
      <c r="C275" s="4" t="str">
        <f t="shared" si="25"/>
        <v>10</v>
      </c>
      <c r="D275" s="4" t="str">
        <f t="shared" si="26"/>
        <v>2018</v>
      </c>
      <c r="E275" s="3" t="str">
        <f t="shared" si="27"/>
        <v>Monday</v>
      </c>
      <c r="F275" s="4" t="str">
        <f t="shared" si="28"/>
        <v>N</v>
      </c>
      <c r="G275" s="4" t="str">
        <f>IF(COUNTIF(PublicHols[Date], A275)&gt;0, "Y", "N")</f>
        <v>N</v>
      </c>
      <c r="H275" s="3" t="str">
        <f>IFERROR(_xlfn.XLOOKUP(A275, PublicHols[Date], PublicHols[PH_Name]),"")</f>
        <v/>
      </c>
      <c r="I275" s="4" t="str">
        <f>IF(COUNTIF(EventsAll[Date], A275)&gt;0, "Y", "N")</f>
        <v>Y</v>
      </c>
      <c r="J275" s="11" t="str">
        <f>IFERROR(_xlfn.XLOOKUP(A275, EventsAll[Date], EventsAll[Event]),"")</f>
        <v xml:space="preserve"> Back to School (Term 4)</v>
      </c>
      <c r="K275" s="4" t="str" cm="1">
        <f t="array" ref="K275">IF(SUMPRODUCT((A275&gt;=SchoolHols[Start])*(A275&lt;=SchoolHols[End]))&gt;0,"Y","N")</f>
        <v>Y</v>
      </c>
    </row>
    <row r="276" spans="1:11">
      <c r="A276" s="6">
        <f t="shared" si="29"/>
        <v>43375</v>
      </c>
      <c r="B276" s="4" t="str">
        <f t="shared" si="24"/>
        <v>02</v>
      </c>
      <c r="C276" s="4" t="str">
        <f t="shared" si="25"/>
        <v>10</v>
      </c>
      <c r="D276" s="4" t="str">
        <f t="shared" si="26"/>
        <v>2018</v>
      </c>
      <c r="E276" s="3" t="str">
        <f t="shared" si="27"/>
        <v>Tuesday</v>
      </c>
      <c r="F276" s="4" t="str">
        <f t="shared" si="28"/>
        <v>N</v>
      </c>
      <c r="G276" s="4" t="str">
        <f>IF(COUNTIF(PublicHols[Date], A276)&gt;0, "Y", "N")</f>
        <v>N</v>
      </c>
      <c r="H276" s="3" t="str">
        <f>IFERROR(_xlfn.XLOOKUP(A276, PublicHols[Date], PublicHols[PH_Name]),"")</f>
        <v/>
      </c>
      <c r="I276" s="4" t="str">
        <f>IF(COUNTIF(EventsAll[Date], A276)&gt;0, "Y", "N")</f>
        <v>N</v>
      </c>
      <c r="J276" s="11" t="str">
        <f>IFERROR(_xlfn.XLOOKUP(A276, EventsAll[Date], EventsAll[Event]),"")</f>
        <v/>
      </c>
      <c r="K276" s="4" t="str" cm="1">
        <f t="array" ref="K276">IF(SUMPRODUCT((A276&gt;=SchoolHols[Start])*(A276&lt;=SchoolHols[End]))&gt;0,"Y","N")</f>
        <v>Y</v>
      </c>
    </row>
    <row r="277" spans="1:11">
      <c r="A277" s="6">
        <f t="shared" si="29"/>
        <v>43376</v>
      </c>
      <c r="B277" s="4" t="str">
        <f t="shared" si="24"/>
        <v>03</v>
      </c>
      <c r="C277" s="4" t="str">
        <f t="shared" si="25"/>
        <v>10</v>
      </c>
      <c r="D277" s="4" t="str">
        <f t="shared" si="26"/>
        <v>2018</v>
      </c>
      <c r="E277" s="3" t="str">
        <f t="shared" si="27"/>
        <v>Wednesday</v>
      </c>
      <c r="F277" s="4" t="str">
        <f t="shared" si="28"/>
        <v>N</v>
      </c>
      <c r="G277" s="4" t="str">
        <f>IF(COUNTIF(PublicHols[Date], A277)&gt;0, "Y", "N")</f>
        <v>N</v>
      </c>
      <c r="H277" s="3" t="str">
        <f>IFERROR(_xlfn.XLOOKUP(A277, PublicHols[Date], PublicHols[PH_Name]),"")</f>
        <v/>
      </c>
      <c r="I277" s="4" t="str">
        <f>IF(COUNTIF(EventsAll[Date], A277)&gt;0, "Y", "N")</f>
        <v>N</v>
      </c>
      <c r="J277" s="11" t="str">
        <f>IFERROR(_xlfn.XLOOKUP(A277, EventsAll[Date], EventsAll[Event]),"")</f>
        <v/>
      </c>
      <c r="K277" s="4" t="str" cm="1">
        <f t="array" ref="K277">IF(SUMPRODUCT((A277&gt;=SchoolHols[Start])*(A277&lt;=SchoolHols[End]))&gt;0,"Y","N")</f>
        <v>Y</v>
      </c>
    </row>
    <row r="278" spans="1:11">
      <c r="A278" s="6">
        <f t="shared" si="29"/>
        <v>43377</v>
      </c>
      <c r="B278" s="4" t="str">
        <f t="shared" si="24"/>
        <v>04</v>
      </c>
      <c r="C278" s="4" t="str">
        <f t="shared" si="25"/>
        <v>10</v>
      </c>
      <c r="D278" s="4" t="str">
        <f t="shared" si="26"/>
        <v>2018</v>
      </c>
      <c r="E278" s="3" t="str">
        <f t="shared" si="27"/>
        <v>Thursday</v>
      </c>
      <c r="F278" s="4" t="str">
        <f t="shared" si="28"/>
        <v>N</v>
      </c>
      <c r="G278" s="4" t="str">
        <f>IF(COUNTIF(PublicHols[Date], A278)&gt;0, "Y", "N")</f>
        <v>N</v>
      </c>
      <c r="H278" s="3" t="str">
        <f>IFERROR(_xlfn.XLOOKUP(A278, PublicHols[Date], PublicHols[PH_Name]),"")</f>
        <v/>
      </c>
      <c r="I278" s="4" t="str">
        <f>IF(COUNTIF(EventsAll[Date], A278)&gt;0, "Y", "N")</f>
        <v>N</v>
      </c>
      <c r="J278" s="11" t="str">
        <f>IFERROR(_xlfn.XLOOKUP(A278, EventsAll[Date], EventsAll[Event]),"")</f>
        <v/>
      </c>
      <c r="K278" s="4" t="str" cm="1">
        <f t="array" ref="K278">IF(SUMPRODUCT((A278&gt;=SchoolHols[Start])*(A278&lt;=SchoolHols[End]))&gt;0,"Y","N")</f>
        <v>Y</v>
      </c>
    </row>
    <row r="279" spans="1:11">
      <c r="A279" s="6">
        <f t="shared" si="29"/>
        <v>43378</v>
      </c>
      <c r="B279" s="4" t="str">
        <f t="shared" si="24"/>
        <v>05</v>
      </c>
      <c r="C279" s="4" t="str">
        <f t="shared" si="25"/>
        <v>10</v>
      </c>
      <c r="D279" s="4" t="str">
        <f t="shared" si="26"/>
        <v>2018</v>
      </c>
      <c r="E279" s="3" t="str">
        <f t="shared" si="27"/>
        <v>Friday</v>
      </c>
      <c r="F279" s="4" t="str">
        <f t="shared" si="28"/>
        <v>N</v>
      </c>
      <c r="G279" s="4" t="str">
        <f>IF(COUNTIF(PublicHols[Date], A279)&gt;0, "Y", "N")</f>
        <v>N</v>
      </c>
      <c r="H279" s="3" t="str">
        <f>IFERROR(_xlfn.XLOOKUP(A279, PublicHols[Date], PublicHols[PH_Name]),"")</f>
        <v/>
      </c>
      <c r="I279" s="4" t="str">
        <f>IF(COUNTIF(EventsAll[Date], A279)&gt;0, "Y", "N")</f>
        <v>N</v>
      </c>
      <c r="J279" s="11" t="str">
        <f>IFERROR(_xlfn.XLOOKUP(A279, EventsAll[Date], EventsAll[Event]),"")</f>
        <v/>
      </c>
      <c r="K279" s="4" t="str" cm="1">
        <f t="array" ref="K279">IF(SUMPRODUCT((A279&gt;=SchoolHols[Start])*(A279&lt;=SchoolHols[End]))&gt;0,"Y","N")</f>
        <v>Y</v>
      </c>
    </row>
    <row r="280" spans="1:11">
      <c r="A280" s="6">
        <f t="shared" si="29"/>
        <v>43379</v>
      </c>
      <c r="B280" s="4" t="str">
        <f t="shared" si="24"/>
        <v>06</v>
      </c>
      <c r="C280" s="4" t="str">
        <f t="shared" si="25"/>
        <v>10</v>
      </c>
      <c r="D280" s="4" t="str">
        <f t="shared" si="26"/>
        <v>2018</v>
      </c>
      <c r="E280" s="3" t="str">
        <f t="shared" si="27"/>
        <v>Saturday</v>
      </c>
      <c r="F280" s="4" t="str">
        <f t="shared" si="28"/>
        <v>N</v>
      </c>
      <c r="G280" s="4" t="str">
        <f>IF(COUNTIF(PublicHols[Date], A280)&gt;0, "Y", "N")</f>
        <v>N</v>
      </c>
      <c r="H280" s="3" t="str">
        <f>IFERROR(_xlfn.XLOOKUP(A280, PublicHols[Date], PublicHols[PH_Name]),"")</f>
        <v/>
      </c>
      <c r="I280" s="4" t="str">
        <f>IF(COUNTIF(EventsAll[Date], A280)&gt;0, "Y", "N")</f>
        <v>N</v>
      </c>
      <c r="J280" s="11" t="str">
        <f>IFERROR(_xlfn.XLOOKUP(A280, EventsAll[Date], EventsAll[Event]),"")</f>
        <v/>
      </c>
      <c r="K280" s="4" t="str" cm="1">
        <f t="array" ref="K280">IF(SUMPRODUCT((A280&gt;=SchoolHols[Start])*(A280&lt;=SchoolHols[End]))&gt;0,"Y","N")</f>
        <v>Y</v>
      </c>
    </row>
    <row r="281" spans="1:11">
      <c r="A281" s="6">
        <f t="shared" si="29"/>
        <v>43380</v>
      </c>
      <c r="B281" s="4" t="str">
        <f t="shared" si="24"/>
        <v>07</v>
      </c>
      <c r="C281" s="4" t="str">
        <f t="shared" si="25"/>
        <v>10</v>
      </c>
      <c r="D281" s="4" t="str">
        <f t="shared" si="26"/>
        <v>2018</v>
      </c>
      <c r="E281" s="3" t="str">
        <f t="shared" si="27"/>
        <v>Sunday</v>
      </c>
      <c r="F281" s="4" t="str">
        <f t="shared" si="28"/>
        <v>Y</v>
      </c>
      <c r="G281" s="4" t="str">
        <f>IF(COUNTIF(PublicHols[Date], A281)&gt;0, "Y", "N")</f>
        <v>N</v>
      </c>
      <c r="H281" s="3" t="str">
        <f>IFERROR(_xlfn.XLOOKUP(A281, PublicHols[Date], PublicHols[PH_Name]),"")</f>
        <v/>
      </c>
      <c r="I281" s="4" t="str">
        <f>IF(COUNTIF(EventsAll[Date], A281)&gt;0, "Y", "N")</f>
        <v>N</v>
      </c>
      <c r="J281" s="11" t="str">
        <f>IFERROR(_xlfn.XLOOKUP(A281, EventsAll[Date], EventsAll[Event]),"")</f>
        <v/>
      </c>
      <c r="K281" s="4" t="str" cm="1">
        <f t="array" ref="K281">IF(SUMPRODUCT((A281&gt;=SchoolHols[Start])*(A281&lt;=SchoolHols[End]))&gt;0,"Y","N")</f>
        <v>Y</v>
      </c>
    </row>
    <row r="282" spans="1:11">
      <c r="A282" s="6">
        <f t="shared" si="29"/>
        <v>43381</v>
      </c>
      <c r="B282" s="4" t="str">
        <f t="shared" si="24"/>
        <v>08</v>
      </c>
      <c r="C282" s="4" t="str">
        <f t="shared" si="25"/>
        <v>10</v>
      </c>
      <c r="D282" s="4" t="str">
        <f t="shared" si="26"/>
        <v>2018</v>
      </c>
      <c r="E282" s="3" t="str">
        <f t="shared" si="27"/>
        <v>Monday</v>
      </c>
      <c r="F282" s="4" t="str">
        <f t="shared" si="28"/>
        <v>N</v>
      </c>
      <c r="G282" s="4" t="str">
        <f>IF(COUNTIF(PublicHols[Date], A282)&gt;0, "Y", "N")</f>
        <v>N</v>
      </c>
      <c r="H282" s="3" t="str">
        <f>IFERROR(_xlfn.XLOOKUP(A282, PublicHols[Date], PublicHols[PH_Name]),"")</f>
        <v/>
      </c>
      <c r="I282" s="4" t="str">
        <f>IF(COUNTIF(EventsAll[Date], A282)&gt;0, "Y", "N")</f>
        <v>N</v>
      </c>
      <c r="J282" s="11" t="str">
        <f>IFERROR(_xlfn.XLOOKUP(A282, EventsAll[Date], EventsAll[Event]),"")</f>
        <v/>
      </c>
      <c r="K282" s="4" t="str" cm="1">
        <f t="array" ref="K282">IF(SUMPRODUCT((A282&gt;=SchoolHols[Start])*(A282&lt;=SchoolHols[End]))&gt;0,"Y","N")</f>
        <v>Y</v>
      </c>
    </row>
    <row r="283" spans="1:11">
      <c r="A283" s="6">
        <f t="shared" si="29"/>
        <v>43382</v>
      </c>
      <c r="B283" s="4" t="str">
        <f t="shared" si="24"/>
        <v>09</v>
      </c>
      <c r="C283" s="4" t="str">
        <f t="shared" si="25"/>
        <v>10</v>
      </c>
      <c r="D283" s="4" t="str">
        <f t="shared" si="26"/>
        <v>2018</v>
      </c>
      <c r="E283" s="3" t="str">
        <f t="shared" si="27"/>
        <v>Tuesday</v>
      </c>
      <c r="F283" s="4" t="str">
        <f t="shared" si="28"/>
        <v>N</v>
      </c>
      <c r="G283" s="4" t="str">
        <f>IF(COUNTIF(PublicHols[Date], A283)&gt;0, "Y", "N")</f>
        <v>N</v>
      </c>
      <c r="H283" s="3" t="str">
        <f>IFERROR(_xlfn.XLOOKUP(A283, PublicHols[Date], PublicHols[PH_Name]),"")</f>
        <v/>
      </c>
      <c r="I283" s="4" t="str">
        <f>IF(COUNTIF(EventsAll[Date], A283)&gt;0, "Y", "N")</f>
        <v>N</v>
      </c>
      <c r="J283" s="11" t="str">
        <f>IFERROR(_xlfn.XLOOKUP(A283, EventsAll[Date], EventsAll[Event]),"")</f>
        <v/>
      </c>
      <c r="K283" s="4" t="str" cm="1">
        <f t="array" ref="K283">IF(SUMPRODUCT((A283&gt;=SchoolHols[Start])*(A283&lt;=SchoolHols[End]))&gt;0,"Y","N")</f>
        <v>N</v>
      </c>
    </row>
    <row r="284" spans="1:11">
      <c r="A284" s="6">
        <f t="shared" si="29"/>
        <v>43383</v>
      </c>
      <c r="B284" s="4" t="str">
        <f t="shared" si="24"/>
        <v>10</v>
      </c>
      <c r="C284" s="4" t="str">
        <f t="shared" si="25"/>
        <v>10</v>
      </c>
      <c r="D284" s="4" t="str">
        <f t="shared" si="26"/>
        <v>2018</v>
      </c>
      <c r="E284" s="3" t="str">
        <f t="shared" si="27"/>
        <v>Wednesday</v>
      </c>
      <c r="F284" s="4" t="str">
        <f t="shared" si="28"/>
        <v>N</v>
      </c>
      <c r="G284" s="4" t="str">
        <f>IF(COUNTIF(PublicHols[Date], A284)&gt;0, "Y", "N")</f>
        <v>N</v>
      </c>
      <c r="H284" s="3" t="str">
        <f>IFERROR(_xlfn.XLOOKUP(A284, PublicHols[Date], PublicHols[PH_Name]),"")</f>
        <v/>
      </c>
      <c r="I284" s="4" t="str">
        <f>IF(COUNTIF(EventsAll[Date], A284)&gt;0, "Y", "N")</f>
        <v>N</v>
      </c>
      <c r="J284" s="11" t="str">
        <f>IFERROR(_xlfn.XLOOKUP(A284, EventsAll[Date], EventsAll[Event]),"")</f>
        <v/>
      </c>
      <c r="K284" s="4" t="str" cm="1">
        <f t="array" ref="K284">IF(SUMPRODUCT((A284&gt;=SchoolHols[Start])*(A284&lt;=SchoolHols[End]))&gt;0,"Y","N")</f>
        <v>N</v>
      </c>
    </row>
    <row r="285" spans="1:11">
      <c r="A285" s="6">
        <f t="shared" si="29"/>
        <v>43384</v>
      </c>
      <c r="B285" s="4" t="str">
        <f t="shared" si="24"/>
        <v>11</v>
      </c>
      <c r="C285" s="4" t="str">
        <f t="shared" si="25"/>
        <v>10</v>
      </c>
      <c r="D285" s="4" t="str">
        <f t="shared" si="26"/>
        <v>2018</v>
      </c>
      <c r="E285" s="3" t="str">
        <f t="shared" si="27"/>
        <v>Thursday</v>
      </c>
      <c r="F285" s="4" t="str">
        <f t="shared" si="28"/>
        <v>N</v>
      </c>
      <c r="G285" s="4" t="str">
        <f>IF(COUNTIF(PublicHols[Date], A285)&gt;0, "Y", "N")</f>
        <v>N</v>
      </c>
      <c r="H285" s="3" t="str">
        <f>IFERROR(_xlfn.XLOOKUP(A285, PublicHols[Date], PublicHols[PH_Name]),"")</f>
        <v/>
      </c>
      <c r="I285" s="4" t="str">
        <f>IF(COUNTIF(EventsAll[Date], A285)&gt;0, "Y", "N")</f>
        <v>N</v>
      </c>
      <c r="J285" s="11" t="str">
        <f>IFERROR(_xlfn.XLOOKUP(A285, EventsAll[Date], EventsAll[Event]),"")</f>
        <v/>
      </c>
      <c r="K285" s="4" t="str" cm="1">
        <f t="array" ref="K285">IF(SUMPRODUCT((A285&gt;=SchoolHols[Start])*(A285&lt;=SchoolHols[End]))&gt;0,"Y","N")</f>
        <v>N</v>
      </c>
    </row>
    <row r="286" spans="1:11">
      <c r="A286" s="6">
        <f t="shared" si="29"/>
        <v>43385</v>
      </c>
      <c r="B286" s="4" t="str">
        <f t="shared" si="24"/>
        <v>12</v>
      </c>
      <c r="C286" s="4" t="str">
        <f t="shared" si="25"/>
        <v>10</v>
      </c>
      <c r="D286" s="4" t="str">
        <f t="shared" si="26"/>
        <v>2018</v>
      </c>
      <c r="E286" s="3" t="str">
        <f t="shared" si="27"/>
        <v>Friday</v>
      </c>
      <c r="F286" s="4" t="str">
        <f t="shared" si="28"/>
        <v>N</v>
      </c>
      <c r="G286" s="4" t="str">
        <f>IF(COUNTIF(PublicHols[Date], A286)&gt;0, "Y", "N")</f>
        <v>N</v>
      </c>
      <c r="H286" s="3" t="str">
        <f>IFERROR(_xlfn.XLOOKUP(A286, PublicHols[Date], PublicHols[PH_Name]),"")</f>
        <v/>
      </c>
      <c r="I286" s="4" t="str">
        <f>IF(COUNTIF(EventsAll[Date], A286)&gt;0, "Y", "N")</f>
        <v>N</v>
      </c>
      <c r="J286" s="11" t="str">
        <f>IFERROR(_xlfn.XLOOKUP(A286, EventsAll[Date], EventsAll[Event]),"")</f>
        <v/>
      </c>
      <c r="K286" s="4" t="str" cm="1">
        <f t="array" ref="K286">IF(SUMPRODUCT((A286&gt;=SchoolHols[Start])*(A286&lt;=SchoolHols[End]))&gt;0,"Y","N")</f>
        <v>N</v>
      </c>
    </row>
    <row r="287" spans="1:11">
      <c r="A287" s="6">
        <f t="shared" si="29"/>
        <v>43386</v>
      </c>
      <c r="B287" s="4" t="str">
        <f t="shared" si="24"/>
        <v>13</v>
      </c>
      <c r="C287" s="4" t="str">
        <f t="shared" si="25"/>
        <v>10</v>
      </c>
      <c r="D287" s="4" t="str">
        <f t="shared" si="26"/>
        <v>2018</v>
      </c>
      <c r="E287" s="3" t="str">
        <f t="shared" si="27"/>
        <v>Saturday</v>
      </c>
      <c r="F287" s="4" t="str">
        <f t="shared" si="28"/>
        <v>N</v>
      </c>
      <c r="G287" s="4" t="str">
        <f>IF(COUNTIF(PublicHols[Date], A287)&gt;0, "Y", "N")</f>
        <v>N</v>
      </c>
      <c r="H287" s="3" t="str">
        <f>IFERROR(_xlfn.XLOOKUP(A287, PublicHols[Date], PublicHols[PH_Name]),"")</f>
        <v/>
      </c>
      <c r="I287" s="4" t="str">
        <f>IF(COUNTIF(EventsAll[Date], A287)&gt;0, "Y", "N")</f>
        <v>N</v>
      </c>
      <c r="J287" s="11" t="str">
        <f>IFERROR(_xlfn.XLOOKUP(A287, EventsAll[Date], EventsAll[Event]),"")</f>
        <v/>
      </c>
      <c r="K287" s="4" t="str" cm="1">
        <f t="array" ref="K287">IF(SUMPRODUCT((A287&gt;=SchoolHols[Start])*(A287&lt;=SchoolHols[End]))&gt;0,"Y","N")</f>
        <v>N</v>
      </c>
    </row>
    <row r="288" spans="1:11">
      <c r="A288" s="6">
        <f t="shared" si="29"/>
        <v>43387</v>
      </c>
      <c r="B288" s="4" t="str">
        <f t="shared" si="24"/>
        <v>14</v>
      </c>
      <c r="C288" s="4" t="str">
        <f t="shared" si="25"/>
        <v>10</v>
      </c>
      <c r="D288" s="4" t="str">
        <f t="shared" si="26"/>
        <v>2018</v>
      </c>
      <c r="E288" s="3" t="str">
        <f t="shared" si="27"/>
        <v>Sunday</v>
      </c>
      <c r="F288" s="4" t="str">
        <f t="shared" si="28"/>
        <v>Y</v>
      </c>
      <c r="G288" s="4" t="str">
        <f>IF(COUNTIF(PublicHols[Date], A288)&gt;0, "Y", "N")</f>
        <v>N</v>
      </c>
      <c r="H288" s="3" t="str">
        <f>IFERROR(_xlfn.XLOOKUP(A288, PublicHols[Date], PublicHols[PH_Name]),"")</f>
        <v/>
      </c>
      <c r="I288" s="4" t="str">
        <f>IF(COUNTIF(EventsAll[Date], A288)&gt;0, "Y", "N")</f>
        <v>N</v>
      </c>
      <c r="J288" s="11" t="str">
        <f>IFERROR(_xlfn.XLOOKUP(A288, EventsAll[Date], EventsAll[Event]),"")</f>
        <v/>
      </c>
      <c r="K288" s="4" t="str" cm="1">
        <f t="array" ref="K288">IF(SUMPRODUCT((A288&gt;=SchoolHols[Start])*(A288&lt;=SchoolHols[End]))&gt;0,"Y","N")</f>
        <v>N</v>
      </c>
    </row>
    <row r="289" spans="1:11">
      <c r="A289" s="6">
        <f t="shared" si="29"/>
        <v>43388</v>
      </c>
      <c r="B289" s="4" t="str">
        <f t="shared" si="24"/>
        <v>15</v>
      </c>
      <c r="C289" s="4" t="str">
        <f t="shared" si="25"/>
        <v>10</v>
      </c>
      <c r="D289" s="4" t="str">
        <f t="shared" si="26"/>
        <v>2018</v>
      </c>
      <c r="E289" s="3" t="str">
        <f t="shared" si="27"/>
        <v>Monday</v>
      </c>
      <c r="F289" s="4" t="str">
        <f t="shared" si="28"/>
        <v>N</v>
      </c>
      <c r="G289" s="4" t="str">
        <f>IF(COUNTIF(PublicHols[Date], A289)&gt;0, "Y", "N")</f>
        <v>N</v>
      </c>
      <c r="H289" s="3" t="str">
        <f>IFERROR(_xlfn.XLOOKUP(A289, PublicHols[Date], PublicHols[PH_Name]),"")</f>
        <v/>
      </c>
      <c r="I289" s="4" t="str">
        <f>IF(COUNTIF(EventsAll[Date], A289)&gt;0, "Y", "N")</f>
        <v>N</v>
      </c>
      <c r="J289" s="11" t="str">
        <f>IFERROR(_xlfn.XLOOKUP(A289, EventsAll[Date], EventsAll[Event]),"")</f>
        <v/>
      </c>
      <c r="K289" s="4" t="str" cm="1">
        <f t="array" ref="K289">IF(SUMPRODUCT((A289&gt;=SchoolHols[Start])*(A289&lt;=SchoolHols[End]))&gt;0,"Y","N")</f>
        <v>N</v>
      </c>
    </row>
    <row r="290" spans="1:11">
      <c r="A290" s="6">
        <f t="shared" si="29"/>
        <v>43389</v>
      </c>
      <c r="B290" s="4" t="str">
        <f t="shared" si="24"/>
        <v>16</v>
      </c>
      <c r="C290" s="4" t="str">
        <f t="shared" si="25"/>
        <v>10</v>
      </c>
      <c r="D290" s="4" t="str">
        <f t="shared" si="26"/>
        <v>2018</v>
      </c>
      <c r="E290" s="3" t="str">
        <f t="shared" si="27"/>
        <v>Tuesday</v>
      </c>
      <c r="F290" s="4" t="str">
        <f t="shared" si="28"/>
        <v>N</v>
      </c>
      <c r="G290" s="4" t="str">
        <f>IF(COUNTIF(PublicHols[Date], A290)&gt;0, "Y", "N")</f>
        <v>N</v>
      </c>
      <c r="H290" s="3" t="str">
        <f>IFERROR(_xlfn.XLOOKUP(A290, PublicHols[Date], PublicHols[PH_Name]),"")</f>
        <v/>
      </c>
      <c r="I290" s="4" t="str">
        <f>IF(COUNTIF(EventsAll[Date], A290)&gt;0, "Y", "N")</f>
        <v>N</v>
      </c>
      <c r="J290" s="11" t="str">
        <f>IFERROR(_xlfn.XLOOKUP(A290, EventsAll[Date], EventsAll[Event]),"")</f>
        <v/>
      </c>
      <c r="K290" s="4" t="str" cm="1">
        <f t="array" ref="K290">IF(SUMPRODUCT((A290&gt;=SchoolHols[Start])*(A290&lt;=SchoolHols[End]))&gt;0,"Y","N")</f>
        <v>N</v>
      </c>
    </row>
    <row r="291" spans="1:11">
      <c r="A291" s="6">
        <f t="shared" si="29"/>
        <v>43390</v>
      </c>
      <c r="B291" s="4" t="str">
        <f t="shared" si="24"/>
        <v>17</v>
      </c>
      <c r="C291" s="4" t="str">
        <f t="shared" si="25"/>
        <v>10</v>
      </c>
      <c r="D291" s="4" t="str">
        <f t="shared" si="26"/>
        <v>2018</v>
      </c>
      <c r="E291" s="3" t="str">
        <f t="shared" si="27"/>
        <v>Wednesday</v>
      </c>
      <c r="F291" s="4" t="str">
        <f t="shared" si="28"/>
        <v>N</v>
      </c>
      <c r="G291" s="4" t="str">
        <f>IF(COUNTIF(PublicHols[Date], A291)&gt;0, "Y", "N")</f>
        <v>N</v>
      </c>
      <c r="H291" s="3" t="str">
        <f>IFERROR(_xlfn.XLOOKUP(A291, PublicHols[Date], PublicHols[PH_Name]),"")</f>
        <v/>
      </c>
      <c r="I291" s="4" t="str">
        <f>IF(COUNTIF(EventsAll[Date], A291)&gt;0, "Y", "N")</f>
        <v>N</v>
      </c>
      <c r="J291" s="11" t="str">
        <f>IFERROR(_xlfn.XLOOKUP(A291, EventsAll[Date], EventsAll[Event]),"")</f>
        <v/>
      </c>
      <c r="K291" s="4" t="str" cm="1">
        <f t="array" ref="K291">IF(SUMPRODUCT((A291&gt;=SchoolHols[Start])*(A291&lt;=SchoolHols[End]))&gt;0,"Y","N")</f>
        <v>N</v>
      </c>
    </row>
    <row r="292" spans="1:11">
      <c r="A292" s="6">
        <f t="shared" si="29"/>
        <v>43391</v>
      </c>
      <c r="B292" s="4" t="str">
        <f t="shared" si="24"/>
        <v>18</v>
      </c>
      <c r="C292" s="4" t="str">
        <f t="shared" si="25"/>
        <v>10</v>
      </c>
      <c r="D292" s="4" t="str">
        <f t="shared" si="26"/>
        <v>2018</v>
      </c>
      <c r="E292" s="3" t="str">
        <f t="shared" si="27"/>
        <v>Thursday</v>
      </c>
      <c r="F292" s="4" t="str">
        <f t="shared" si="28"/>
        <v>N</v>
      </c>
      <c r="G292" s="4" t="str">
        <f>IF(COUNTIF(PublicHols[Date], A292)&gt;0, "Y", "N")</f>
        <v>N</v>
      </c>
      <c r="H292" s="3" t="str">
        <f>IFERROR(_xlfn.XLOOKUP(A292, PublicHols[Date], PublicHols[PH_Name]),"")</f>
        <v/>
      </c>
      <c r="I292" s="4" t="str">
        <f>IF(COUNTIF(EventsAll[Date], A292)&gt;0, "Y", "N")</f>
        <v>N</v>
      </c>
      <c r="J292" s="11" t="str">
        <f>IFERROR(_xlfn.XLOOKUP(A292, EventsAll[Date], EventsAll[Event]),"")</f>
        <v/>
      </c>
      <c r="K292" s="4" t="str" cm="1">
        <f t="array" ref="K292">IF(SUMPRODUCT((A292&gt;=SchoolHols[Start])*(A292&lt;=SchoolHols[End]))&gt;0,"Y","N")</f>
        <v>N</v>
      </c>
    </row>
    <row r="293" spans="1:11">
      <c r="A293" s="6">
        <f t="shared" si="29"/>
        <v>43392</v>
      </c>
      <c r="B293" s="4" t="str">
        <f t="shared" si="24"/>
        <v>19</v>
      </c>
      <c r="C293" s="4" t="str">
        <f t="shared" si="25"/>
        <v>10</v>
      </c>
      <c r="D293" s="4" t="str">
        <f t="shared" si="26"/>
        <v>2018</v>
      </c>
      <c r="E293" s="3" t="str">
        <f t="shared" si="27"/>
        <v>Friday</v>
      </c>
      <c r="F293" s="4" t="str">
        <f t="shared" si="28"/>
        <v>N</v>
      </c>
      <c r="G293" s="4" t="str">
        <f>IF(COUNTIF(PublicHols[Date], A293)&gt;0, "Y", "N")</f>
        <v>N</v>
      </c>
      <c r="H293" s="3" t="str">
        <f>IFERROR(_xlfn.XLOOKUP(A293, PublicHols[Date], PublicHols[PH_Name]),"")</f>
        <v/>
      </c>
      <c r="I293" s="4" t="str">
        <f>IF(COUNTIF(EventsAll[Date], A293)&gt;0, "Y", "N")</f>
        <v>N</v>
      </c>
      <c r="J293" s="11" t="str">
        <f>IFERROR(_xlfn.XLOOKUP(A293, EventsAll[Date], EventsAll[Event]),"")</f>
        <v/>
      </c>
      <c r="K293" s="4" t="str" cm="1">
        <f t="array" ref="K293">IF(SUMPRODUCT((A293&gt;=SchoolHols[Start])*(A293&lt;=SchoolHols[End]))&gt;0,"Y","N")</f>
        <v>N</v>
      </c>
    </row>
    <row r="294" spans="1:11">
      <c r="A294" s="6">
        <f t="shared" si="29"/>
        <v>43393</v>
      </c>
      <c r="B294" s="4" t="str">
        <f t="shared" si="24"/>
        <v>20</v>
      </c>
      <c r="C294" s="4" t="str">
        <f t="shared" si="25"/>
        <v>10</v>
      </c>
      <c r="D294" s="4" t="str">
        <f t="shared" si="26"/>
        <v>2018</v>
      </c>
      <c r="E294" s="3" t="str">
        <f t="shared" si="27"/>
        <v>Saturday</v>
      </c>
      <c r="F294" s="4" t="str">
        <f t="shared" si="28"/>
        <v>N</v>
      </c>
      <c r="G294" s="4" t="str">
        <f>IF(COUNTIF(PublicHols[Date], A294)&gt;0, "Y", "N")</f>
        <v>N</v>
      </c>
      <c r="H294" s="3" t="str">
        <f>IFERROR(_xlfn.XLOOKUP(A294, PublicHols[Date], PublicHols[PH_Name]),"")</f>
        <v/>
      </c>
      <c r="I294" s="4" t="str">
        <f>IF(COUNTIF(EventsAll[Date], A294)&gt;0, "Y", "N")</f>
        <v>N</v>
      </c>
      <c r="J294" s="11" t="str">
        <f>IFERROR(_xlfn.XLOOKUP(A294, EventsAll[Date], EventsAll[Event]),"")</f>
        <v/>
      </c>
      <c r="K294" s="4" t="str" cm="1">
        <f t="array" ref="K294">IF(SUMPRODUCT((A294&gt;=SchoolHols[Start])*(A294&lt;=SchoolHols[End]))&gt;0,"Y","N")</f>
        <v>N</v>
      </c>
    </row>
    <row r="295" spans="1:11">
      <c r="A295" s="6">
        <f t="shared" si="29"/>
        <v>43394</v>
      </c>
      <c r="B295" s="4" t="str">
        <f t="shared" si="24"/>
        <v>21</v>
      </c>
      <c r="C295" s="4" t="str">
        <f t="shared" si="25"/>
        <v>10</v>
      </c>
      <c r="D295" s="4" t="str">
        <f t="shared" si="26"/>
        <v>2018</v>
      </c>
      <c r="E295" s="3" t="str">
        <f t="shared" si="27"/>
        <v>Sunday</v>
      </c>
      <c r="F295" s="4" t="str">
        <f t="shared" si="28"/>
        <v>Y</v>
      </c>
      <c r="G295" s="4" t="str">
        <f>IF(COUNTIF(PublicHols[Date], A295)&gt;0, "Y", "N")</f>
        <v>N</v>
      </c>
      <c r="H295" s="3" t="str">
        <f>IFERROR(_xlfn.XLOOKUP(A295, PublicHols[Date], PublicHols[PH_Name]),"")</f>
        <v/>
      </c>
      <c r="I295" s="4" t="str">
        <f>IF(COUNTIF(EventsAll[Date], A295)&gt;0, "Y", "N")</f>
        <v>N</v>
      </c>
      <c r="J295" s="11" t="str">
        <f>IFERROR(_xlfn.XLOOKUP(A295, EventsAll[Date], EventsAll[Event]),"")</f>
        <v/>
      </c>
      <c r="K295" s="4" t="str" cm="1">
        <f t="array" ref="K295">IF(SUMPRODUCT((A295&gt;=SchoolHols[Start])*(A295&lt;=SchoolHols[End]))&gt;0,"Y","N")</f>
        <v>N</v>
      </c>
    </row>
    <row r="296" spans="1:11">
      <c r="A296" s="6">
        <f t="shared" si="29"/>
        <v>43395</v>
      </c>
      <c r="B296" s="4" t="str">
        <f t="shared" si="24"/>
        <v>22</v>
      </c>
      <c r="C296" s="4" t="str">
        <f t="shared" si="25"/>
        <v>10</v>
      </c>
      <c r="D296" s="4" t="str">
        <f t="shared" si="26"/>
        <v>2018</v>
      </c>
      <c r="E296" s="3" t="str">
        <f t="shared" si="27"/>
        <v>Monday</v>
      </c>
      <c r="F296" s="4" t="str">
        <f t="shared" si="28"/>
        <v>N</v>
      </c>
      <c r="G296" s="4" t="str">
        <f>IF(COUNTIF(PublicHols[Date], A296)&gt;0, "Y", "N")</f>
        <v>N</v>
      </c>
      <c r="H296" s="3" t="str">
        <f>IFERROR(_xlfn.XLOOKUP(A296, PublicHols[Date], PublicHols[PH_Name]),"")</f>
        <v/>
      </c>
      <c r="I296" s="4" t="str">
        <f>IF(COUNTIF(EventsAll[Date], A296)&gt;0, "Y", "N")</f>
        <v>N</v>
      </c>
      <c r="J296" s="11" t="str">
        <f>IFERROR(_xlfn.XLOOKUP(A296, EventsAll[Date], EventsAll[Event]),"")</f>
        <v/>
      </c>
      <c r="K296" s="4" t="str" cm="1">
        <f t="array" ref="K296">IF(SUMPRODUCT((A296&gt;=SchoolHols[Start])*(A296&lt;=SchoolHols[End]))&gt;0,"Y","N")</f>
        <v>N</v>
      </c>
    </row>
    <row r="297" spans="1:11">
      <c r="A297" s="6">
        <f t="shared" si="29"/>
        <v>43396</v>
      </c>
      <c r="B297" s="4" t="str">
        <f t="shared" si="24"/>
        <v>23</v>
      </c>
      <c r="C297" s="4" t="str">
        <f t="shared" si="25"/>
        <v>10</v>
      </c>
      <c r="D297" s="4" t="str">
        <f t="shared" si="26"/>
        <v>2018</v>
      </c>
      <c r="E297" s="3" t="str">
        <f t="shared" si="27"/>
        <v>Tuesday</v>
      </c>
      <c r="F297" s="4" t="str">
        <f t="shared" si="28"/>
        <v>N</v>
      </c>
      <c r="G297" s="4" t="str">
        <f>IF(COUNTIF(PublicHols[Date], A297)&gt;0, "Y", "N")</f>
        <v>N</v>
      </c>
      <c r="H297" s="3" t="str">
        <f>IFERROR(_xlfn.XLOOKUP(A297, PublicHols[Date], PublicHols[PH_Name]),"")</f>
        <v/>
      </c>
      <c r="I297" s="4" t="str">
        <f>IF(COUNTIF(EventsAll[Date], A297)&gt;0, "Y", "N")</f>
        <v>N</v>
      </c>
      <c r="J297" s="11" t="str">
        <f>IFERROR(_xlfn.XLOOKUP(A297, EventsAll[Date], EventsAll[Event]),"")</f>
        <v/>
      </c>
      <c r="K297" s="4" t="str" cm="1">
        <f t="array" ref="K297">IF(SUMPRODUCT((A297&gt;=SchoolHols[Start])*(A297&lt;=SchoolHols[End]))&gt;0,"Y","N")</f>
        <v>N</v>
      </c>
    </row>
    <row r="298" spans="1:11">
      <c r="A298" s="6">
        <f t="shared" si="29"/>
        <v>43397</v>
      </c>
      <c r="B298" s="4" t="str">
        <f t="shared" si="24"/>
        <v>24</v>
      </c>
      <c r="C298" s="4" t="str">
        <f t="shared" si="25"/>
        <v>10</v>
      </c>
      <c r="D298" s="4" t="str">
        <f t="shared" si="26"/>
        <v>2018</v>
      </c>
      <c r="E298" s="3" t="str">
        <f t="shared" si="27"/>
        <v>Wednesday</v>
      </c>
      <c r="F298" s="4" t="str">
        <f t="shared" si="28"/>
        <v>N</v>
      </c>
      <c r="G298" s="4" t="str">
        <f>IF(COUNTIF(PublicHols[Date], A298)&gt;0, "Y", "N")</f>
        <v>N</v>
      </c>
      <c r="H298" s="3" t="str">
        <f>IFERROR(_xlfn.XLOOKUP(A298, PublicHols[Date], PublicHols[PH_Name]),"")</f>
        <v/>
      </c>
      <c r="I298" s="4" t="str">
        <f>IF(COUNTIF(EventsAll[Date], A298)&gt;0, "Y", "N")</f>
        <v>N</v>
      </c>
      <c r="J298" s="11" t="str">
        <f>IFERROR(_xlfn.XLOOKUP(A298, EventsAll[Date], EventsAll[Event]),"")</f>
        <v/>
      </c>
      <c r="K298" s="4" t="str" cm="1">
        <f t="array" ref="K298">IF(SUMPRODUCT((A298&gt;=SchoolHols[Start])*(A298&lt;=SchoolHols[End]))&gt;0,"Y","N")</f>
        <v>N</v>
      </c>
    </row>
    <row r="299" spans="1:11">
      <c r="A299" s="6">
        <f t="shared" si="29"/>
        <v>43398</v>
      </c>
      <c r="B299" s="4" t="str">
        <f t="shared" si="24"/>
        <v>25</v>
      </c>
      <c r="C299" s="4" t="str">
        <f t="shared" si="25"/>
        <v>10</v>
      </c>
      <c r="D299" s="4" t="str">
        <f t="shared" si="26"/>
        <v>2018</v>
      </c>
      <c r="E299" s="3" t="str">
        <f t="shared" si="27"/>
        <v>Thursday</v>
      </c>
      <c r="F299" s="4" t="str">
        <f t="shared" si="28"/>
        <v>N</v>
      </c>
      <c r="G299" s="4" t="str">
        <f>IF(COUNTIF(PublicHols[Date], A299)&gt;0, "Y", "N")</f>
        <v>N</v>
      </c>
      <c r="H299" s="3" t="str">
        <f>IFERROR(_xlfn.XLOOKUP(A299, PublicHols[Date], PublicHols[PH_Name]),"")</f>
        <v/>
      </c>
      <c r="I299" s="4" t="str">
        <f>IF(COUNTIF(EventsAll[Date], A299)&gt;0, "Y", "N")</f>
        <v>N</v>
      </c>
      <c r="J299" s="11" t="str">
        <f>IFERROR(_xlfn.XLOOKUP(A299, EventsAll[Date], EventsAll[Event]),"")</f>
        <v/>
      </c>
      <c r="K299" s="4" t="str" cm="1">
        <f t="array" ref="K299">IF(SUMPRODUCT((A299&gt;=SchoolHols[Start])*(A299&lt;=SchoolHols[End]))&gt;0,"Y","N")</f>
        <v>N</v>
      </c>
    </row>
    <row r="300" spans="1:11">
      <c r="A300" s="6">
        <f t="shared" si="29"/>
        <v>43399</v>
      </c>
      <c r="B300" s="4" t="str">
        <f t="shared" si="24"/>
        <v>26</v>
      </c>
      <c r="C300" s="4" t="str">
        <f t="shared" si="25"/>
        <v>10</v>
      </c>
      <c r="D300" s="4" t="str">
        <f t="shared" si="26"/>
        <v>2018</v>
      </c>
      <c r="E300" s="3" t="str">
        <f t="shared" si="27"/>
        <v>Friday</v>
      </c>
      <c r="F300" s="4" t="str">
        <f t="shared" si="28"/>
        <v>N</v>
      </c>
      <c r="G300" s="4" t="str">
        <f>IF(COUNTIF(PublicHols[Date], A300)&gt;0, "Y", "N")</f>
        <v>N</v>
      </c>
      <c r="H300" s="3" t="str">
        <f>IFERROR(_xlfn.XLOOKUP(A300, PublicHols[Date], PublicHols[PH_Name]),"")</f>
        <v/>
      </c>
      <c r="I300" s="4" t="str">
        <f>IF(COUNTIF(EventsAll[Date], A300)&gt;0, "Y", "N")</f>
        <v>N</v>
      </c>
      <c r="J300" s="11" t="str">
        <f>IFERROR(_xlfn.XLOOKUP(A300, EventsAll[Date], EventsAll[Event]),"")</f>
        <v/>
      </c>
      <c r="K300" s="4" t="str" cm="1">
        <f t="array" ref="K300">IF(SUMPRODUCT((A300&gt;=SchoolHols[Start])*(A300&lt;=SchoolHols[End]))&gt;0,"Y","N")</f>
        <v>N</v>
      </c>
    </row>
    <row r="301" spans="1:11">
      <c r="A301" s="6">
        <f t="shared" si="29"/>
        <v>43400</v>
      </c>
      <c r="B301" s="4" t="str">
        <f t="shared" si="24"/>
        <v>27</v>
      </c>
      <c r="C301" s="4" t="str">
        <f t="shared" si="25"/>
        <v>10</v>
      </c>
      <c r="D301" s="4" t="str">
        <f t="shared" si="26"/>
        <v>2018</v>
      </c>
      <c r="E301" s="3" t="str">
        <f t="shared" si="27"/>
        <v>Saturday</v>
      </c>
      <c r="F301" s="4" t="str">
        <f t="shared" si="28"/>
        <v>N</v>
      </c>
      <c r="G301" s="4" t="str">
        <f>IF(COUNTIF(PublicHols[Date], A301)&gt;0, "Y", "N")</f>
        <v>N</v>
      </c>
      <c r="H301" s="3" t="str">
        <f>IFERROR(_xlfn.XLOOKUP(A301, PublicHols[Date], PublicHols[PH_Name]),"")</f>
        <v/>
      </c>
      <c r="I301" s="4" t="str">
        <f>IF(COUNTIF(EventsAll[Date], A301)&gt;0, "Y", "N")</f>
        <v>N</v>
      </c>
      <c r="J301" s="11" t="str">
        <f>IFERROR(_xlfn.XLOOKUP(A301, EventsAll[Date], EventsAll[Event]),"")</f>
        <v/>
      </c>
      <c r="K301" s="4" t="str" cm="1">
        <f t="array" ref="K301">IF(SUMPRODUCT((A301&gt;=SchoolHols[Start])*(A301&lt;=SchoolHols[End]))&gt;0,"Y","N")</f>
        <v>N</v>
      </c>
    </row>
    <row r="302" spans="1:11">
      <c r="A302" s="6">
        <f t="shared" si="29"/>
        <v>43401</v>
      </c>
      <c r="B302" s="4" t="str">
        <f t="shared" si="24"/>
        <v>28</v>
      </c>
      <c r="C302" s="4" t="str">
        <f t="shared" si="25"/>
        <v>10</v>
      </c>
      <c r="D302" s="4" t="str">
        <f t="shared" si="26"/>
        <v>2018</v>
      </c>
      <c r="E302" s="3" t="str">
        <f t="shared" si="27"/>
        <v>Sunday</v>
      </c>
      <c r="F302" s="4" t="str">
        <f t="shared" si="28"/>
        <v>Y</v>
      </c>
      <c r="G302" s="4" t="str">
        <f>IF(COUNTIF(PublicHols[Date], A302)&gt;0, "Y", "N")</f>
        <v>N</v>
      </c>
      <c r="H302" s="3" t="str">
        <f>IFERROR(_xlfn.XLOOKUP(A302, PublicHols[Date], PublicHols[PH_Name]),"")</f>
        <v/>
      </c>
      <c r="I302" s="4" t="str">
        <f>IF(COUNTIF(EventsAll[Date], A302)&gt;0, "Y", "N")</f>
        <v>N</v>
      </c>
      <c r="J302" s="11" t="str">
        <f>IFERROR(_xlfn.XLOOKUP(A302, EventsAll[Date], EventsAll[Event]),"")</f>
        <v/>
      </c>
      <c r="K302" s="4" t="str" cm="1">
        <f t="array" ref="K302">IF(SUMPRODUCT((A302&gt;=SchoolHols[Start])*(A302&lt;=SchoolHols[End]))&gt;0,"Y","N")</f>
        <v>N</v>
      </c>
    </row>
    <row r="303" spans="1:11">
      <c r="A303" s="6">
        <f t="shared" si="29"/>
        <v>43402</v>
      </c>
      <c r="B303" s="4" t="str">
        <f t="shared" si="24"/>
        <v>29</v>
      </c>
      <c r="C303" s="4" t="str">
        <f t="shared" si="25"/>
        <v>10</v>
      </c>
      <c r="D303" s="4" t="str">
        <f t="shared" si="26"/>
        <v>2018</v>
      </c>
      <c r="E303" s="3" t="str">
        <f t="shared" si="27"/>
        <v>Monday</v>
      </c>
      <c r="F303" s="4" t="str">
        <f t="shared" si="28"/>
        <v>N</v>
      </c>
      <c r="G303" s="4" t="str">
        <f>IF(COUNTIF(PublicHols[Date], A303)&gt;0, "Y", "N")</f>
        <v>N</v>
      </c>
      <c r="H303" s="3" t="str">
        <f>IFERROR(_xlfn.XLOOKUP(A303, PublicHols[Date], PublicHols[PH_Name]),"")</f>
        <v/>
      </c>
      <c r="I303" s="4" t="str">
        <f>IF(COUNTIF(EventsAll[Date], A303)&gt;0, "Y", "N")</f>
        <v>N</v>
      </c>
      <c r="J303" s="11" t="str">
        <f>IFERROR(_xlfn.XLOOKUP(A303, EventsAll[Date], EventsAll[Event]),"")</f>
        <v/>
      </c>
      <c r="K303" s="4" t="str" cm="1">
        <f t="array" ref="K303">IF(SUMPRODUCT((A303&gt;=SchoolHols[Start])*(A303&lt;=SchoolHols[End]))&gt;0,"Y","N")</f>
        <v>N</v>
      </c>
    </row>
    <row r="304" spans="1:11">
      <c r="A304" s="6">
        <f t="shared" si="29"/>
        <v>43403</v>
      </c>
      <c r="B304" s="4" t="str">
        <f t="shared" si="24"/>
        <v>30</v>
      </c>
      <c r="C304" s="4" t="str">
        <f t="shared" si="25"/>
        <v>10</v>
      </c>
      <c r="D304" s="4" t="str">
        <f t="shared" si="26"/>
        <v>2018</v>
      </c>
      <c r="E304" s="3" t="str">
        <f t="shared" si="27"/>
        <v>Tuesday</v>
      </c>
      <c r="F304" s="4" t="str">
        <f t="shared" si="28"/>
        <v>N</v>
      </c>
      <c r="G304" s="4" t="str">
        <f>IF(COUNTIF(PublicHols[Date], A304)&gt;0, "Y", "N")</f>
        <v>N</v>
      </c>
      <c r="H304" s="3" t="str">
        <f>IFERROR(_xlfn.XLOOKUP(A304, PublicHols[Date], PublicHols[PH_Name]),"")</f>
        <v/>
      </c>
      <c r="I304" s="4" t="str">
        <f>IF(COUNTIF(EventsAll[Date], A304)&gt;0, "Y", "N")</f>
        <v>N</v>
      </c>
      <c r="J304" s="11" t="str">
        <f>IFERROR(_xlfn.XLOOKUP(A304, EventsAll[Date], EventsAll[Event]),"")</f>
        <v/>
      </c>
      <c r="K304" s="4" t="str" cm="1">
        <f t="array" ref="K304">IF(SUMPRODUCT((A304&gt;=SchoolHols[Start])*(A304&lt;=SchoolHols[End]))&gt;0,"Y","N")</f>
        <v>N</v>
      </c>
    </row>
    <row r="305" spans="1:11">
      <c r="A305" s="6">
        <f t="shared" si="29"/>
        <v>43404</v>
      </c>
      <c r="B305" s="4" t="str">
        <f t="shared" si="24"/>
        <v>31</v>
      </c>
      <c r="C305" s="4" t="str">
        <f t="shared" si="25"/>
        <v>10</v>
      </c>
      <c r="D305" s="4" t="str">
        <f t="shared" si="26"/>
        <v>2018</v>
      </c>
      <c r="E305" s="3" t="str">
        <f t="shared" si="27"/>
        <v>Wednesday</v>
      </c>
      <c r="F305" s="4" t="str">
        <f t="shared" si="28"/>
        <v>N</v>
      </c>
      <c r="G305" s="4" t="str">
        <f>IF(COUNTIF(PublicHols[Date], A305)&gt;0, "Y", "N")</f>
        <v>N</v>
      </c>
      <c r="H305" s="3" t="str">
        <f>IFERROR(_xlfn.XLOOKUP(A305, PublicHols[Date], PublicHols[PH_Name]),"")</f>
        <v/>
      </c>
      <c r="I305" s="4" t="str">
        <f>IF(COUNTIF(EventsAll[Date], A305)&gt;0, "Y", "N")</f>
        <v>Y</v>
      </c>
      <c r="J305" s="11" t="str">
        <f>IFERROR(_xlfn.XLOOKUP(A305, EventsAll[Date], EventsAll[Event]),"")</f>
        <v xml:space="preserve"> Halloween</v>
      </c>
      <c r="K305" s="4" t="str" cm="1">
        <f t="array" ref="K305">IF(SUMPRODUCT((A305&gt;=SchoolHols[Start])*(A305&lt;=SchoolHols[End]))&gt;0,"Y","N")</f>
        <v>N</v>
      </c>
    </row>
    <row r="306" spans="1:11">
      <c r="A306" s="6">
        <f t="shared" si="29"/>
        <v>43405</v>
      </c>
      <c r="B306" s="4" t="str">
        <f t="shared" si="24"/>
        <v>01</v>
      </c>
      <c r="C306" s="4" t="str">
        <f t="shared" si="25"/>
        <v>11</v>
      </c>
      <c r="D306" s="4" t="str">
        <f t="shared" si="26"/>
        <v>2018</v>
      </c>
      <c r="E306" s="3" t="str">
        <f t="shared" si="27"/>
        <v>Thursday</v>
      </c>
      <c r="F306" s="4" t="str">
        <f t="shared" si="28"/>
        <v>N</v>
      </c>
      <c r="G306" s="4" t="str">
        <f>IF(COUNTIF(PublicHols[Date], A306)&gt;0, "Y", "N")</f>
        <v>N</v>
      </c>
      <c r="H306" s="3" t="str">
        <f>IFERROR(_xlfn.XLOOKUP(A306, PublicHols[Date], PublicHols[PH_Name]),"")</f>
        <v/>
      </c>
      <c r="I306" s="4" t="str">
        <f>IF(COUNTIF(EventsAll[Date], A306)&gt;0, "Y", "N")</f>
        <v>N</v>
      </c>
      <c r="J306" s="11" t="str">
        <f>IFERROR(_xlfn.XLOOKUP(A306, EventsAll[Date], EventsAll[Event]),"")</f>
        <v/>
      </c>
      <c r="K306" s="4" t="str" cm="1">
        <f t="array" ref="K306">IF(SUMPRODUCT((A306&gt;=SchoolHols[Start])*(A306&lt;=SchoolHols[End]))&gt;0,"Y","N")</f>
        <v>N</v>
      </c>
    </row>
    <row r="307" spans="1:11">
      <c r="A307" s="6">
        <f t="shared" si="29"/>
        <v>43406</v>
      </c>
      <c r="B307" s="4" t="str">
        <f t="shared" si="24"/>
        <v>02</v>
      </c>
      <c r="C307" s="4" t="str">
        <f t="shared" si="25"/>
        <v>11</v>
      </c>
      <c r="D307" s="4" t="str">
        <f t="shared" si="26"/>
        <v>2018</v>
      </c>
      <c r="E307" s="3" t="str">
        <f t="shared" si="27"/>
        <v>Friday</v>
      </c>
      <c r="F307" s="4" t="str">
        <f t="shared" si="28"/>
        <v>N</v>
      </c>
      <c r="G307" s="4" t="str">
        <f>IF(COUNTIF(PublicHols[Date], A307)&gt;0, "Y", "N")</f>
        <v>N</v>
      </c>
      <c r="H307" s="3" t="str">
        <f>IFERROR(_xlfn.XLOOKUP(A307, PublicHols[Date], PublicHols[PH_Name]),"")</f>
        <v/>
      </c>
      <c r="I307" s="4" t="str">
        <f>IF(COUNTIF(EventsAll[Date], A307)&gt;0, "Y", "N")</f>
        <v>N</v>
      </c>
      <c r="J307" s="11" t="str">
        <f>IFERROR(_xlfn.XLOOKUP(A307, EventsAll[Date], EventsAll[Event]),"")</f>
        <v/>
      </c>
      <c r="K307" s="4" t="str" cm="1">
        <f t="array" ref="K307">IF(SUMPRODUCT((A307&gt;=SchoolHols[Start])*(A307&lt;=SchoolHols[End]))&gt;0,"Y","N")</f>
        <v>N</v>
      </c>
    </row>
    <row r="308" spans="1:11">
      <c r="A308" s="6">
        <f t="shared" si="29"/>
        <v>43407</v>
      </c>
      <c r="B308" s="4" t="str">
        <f t="shared" si="24"/>
        <v>03</v>
      </c>
      <c r="C308" s="4" t="str">
        <f t="shared" si="25"/>
        <v>11</v>
      </c>
      <c r="D308" s="4" t="str">
        <f t="shared" si="26"/>
        <v>2018</v>
      </c>
      <c r="E308" s="3" t="str">
        <f t="shared" si="27"/>
        <v>Saturday</v>
      </c>
      <c r="F308" s="4" t="str">
        <f t="shared" si="28"/>
        <v>N</v>
      </c>
      <c r="G308" s="4" t="str">
        <f>IF(COUNTIF(PublicHols[Date], A308)&gt;0, "Y", "N")</f>
        <v>N</v>
      </c>
      <c r="H308" s="3" t="str">
        <f>IFERROR(_xlfn.XLOOKUP(A308, PublicHols[Date], PublicHols[PH_Name]),"")</f>
        <v/>
      </c>
      <c r="I308" s="4" t="str">
        <f>IF(COUNTIF(EventsAll[Date], A308)&gt;0, "Y", "N")</f>
        <v>N</v>
      </c>
      <c r="J308" s="11" t="str">
        <f>IFERROR(_xlfn.XLOOKUP(A308, EventsAll[Date], EventsAll[Event]),"")</f>
        <v/>
      </c>
      <c r="K308" s="4" t="str" cm="1">
        <f t="array" ref="K308">IF(SUMPRODUCT((A308&gt;=SchoolHols[Start])*(A308&lt;=SchoolHols[End]))&gt;0,"Y","N")</f>
        <v>N</v>
      </c>
    </row>
    <row r="309" spans="1:11">
      <c r="A309" s="6">
        <f t="shared" si="29"/>
        <v>43408</v>
      </c>
      <c r="B309" s="4" t="str">
        <f t="shared" si="24"/>
        <v>04</v>
      </c>
      <c r="C309" s="4" t="str">
        <f t="shared" si="25"/>
        <v>11</v>
      </c>
      <c r="D309" s="4" t="str">
        <f t="shared" si="26"/>
        <v>2018</v>
      </c>
      <c r="E309" s="3" t="str">
        <f t="shared" si="27"/>
        <v>Sunday</v>
      </c>
      <c r="F309" s="4" t="str">
        <f t="shared" si="28"/>
        <v>Y</v>
      </c>
      <c r="G309" s="4" t="str">
        <f>IF(COUNTIF(PublicHols[Date], A309)&gt;0, "Y", "N")</f>
        <v>N</v>
      </c>
      <c r="H309" s="3" t="str">
        <f>IFERROR(_xlfn.XLOOKUP(A309, PublicHols[Date], PublicHols[PH_Name]),"")</f>
        <v/>
      </c>
      <c r="I309" s="4" t="str">
        <f>IF(COUNTIF(EventsAll[Date], A309)&gt;0, "Y", "N")</f>
        <v>N</v>
      </c>
      <c r="J309" s="11" t="str">
        <f>IFERROR(_xlfn.XLOOKUP(A309, EventsAll[Date], EventsAll[Event]),"")</f>
        <v/>
      </c>
      <c r="K309" s="4" t="str" cm="1">
        <f t="array" ref="K309">IF(SUMPRODUCT((A309&gt;=SchoolHols[Start])*(A309&lt;=SchoolHols[End]))&gt;0,"Y","N")</f>
        <v>N</v>
      </c>
    </row>
    <row r="310" spans="1:11">
      <c r="A310" s="6">
        <f t="shared" si="29"/>
        <v>43409</v>
      </c>
      <c r="B310" s="4" t="str">
        <f t="shared" si="24"/>
        <v>05</v>
      </c>
      <c r="C310" s="4" t="str">
        <f t="shared" si="25"/>
        <v>11</v>
      </c>
      <c r="D310" s="4" t="str">
        <f t="shared" si="26"/>
        <v>2018</v>
      </c>
      <c r="E310" s="3" t="str">
        <f t="shared" si="27"/>
        <v>Monday</v>
      </c>
      <c r="F310" s="4" t="str">
        <f t="shared" si="28"/>
        <v>N</v>
      </c>
      <c r="G310" s="4" t="str">
        <f>IF(COUNTIF(PublicHols[Date], A310)&gt;0, "Y", "N")</f>
        <v>N</v>
      </c>
      <c r="H310" s="3" t="str">
        <f>IFERROR(_xlfn.XLOOKUP(A310, PublicHols[Date], PublicHols[PH_Name]),"")</f>
        <v/>
      </c>
      <c r="I310" s="4" t="str">
        <f>IF(COUNTIF(EventsAll[Date], A310)&gt;0, "Y", "N")</f>
        <v>N</v>
      </c>
      <c r="J310" s="11" t="str">
        <f>IFERROR(_xlfn.XLOOKUP(A310, EventsAll[Date], EventsAll[Event]),"")</f>
        <v/>
      </c>
      <c r="K310" s="4" t="str" cm="1">
        <f t="array" ref="K310">IF(SUMPRODUCT((A310&gt;=SchoolHols[Start])*(A310&lt;=SchoolHols[End]))&gt;0,"Y","N")</f>
        <v>N</v>
      </c>
    </row>
    <row r="311" spans="1:11">
      <c r="A311" s="6">
        <f t="shared" si="29"/>
        <v>43410</v>
      </c>
      <c r="B311" s="4" t="str">
        <f t="shared" si="24"/>
        <v>06</v>
      </c>
      <c r="C311" s="4" t="str">
        <f t="shared" si="25"/>
        <v>11</v>
      </c>
      <c r="D311" s="4" t="str">
        <f t="shared" si="26"/>
        <v>2018</v>
      </c>
      <c r="E311" s="3" t="str">
        <f t="shared" si="27"/>
        <v>Tuesday</v>
      </c>
      <c r="F311" s="4" t="str">
        <f t="shared" si="28"/>
        <v>N</v>
      </c>
      <c r="G311" s="4" t="str">
        <f>IF(COUNTIF(PublicHols[Date], A311)&gt;0, "Y", "N")</f>
        <v>N</v>
      </c>
      <c r="H311" s="3" t="str">
        <f>IFERROR(_xlfn.XLOOKUP(A311, PublicHols[Date], PublicHols[PH_Name]),"")</f>
        <v/>
      </c>
      <c r="I311" s="4" t="str">
        <f>IF(COUNTIF(EventsAll[Date], A311)&gt;0, "Y", "N")</f>
        <v>N</v>
      </c>
      <c r="J311" s="11" t="str">
        <f>IFERROR(_xlfn.XLOOKUP(A311, EventsAll[Date], EventsAll[Event]),"")</f>
        <v/>
      </c>
      <c r="K311" s="4" t="str" cm="1">
        <f t="array" ref="K311">IF(SUMPRODUCT((A311&gt;=SchoolHols[Start])*(A311&lt;=SchoolHols[End]))&gt;0,"Y","N")</f>
        <v>N</v>
      </c>
    </row>
    <row r="312" spans="1:11">
      <c r="A312" s="6">
        <f t="shared" si="29"/>
        <v>43411</v>
      </c>
      <c r="B312" s="4" t="str">
        <f t="shared" si="24"/>
        <v>07</v>
      </c>
      <c r="C312" s="4" t="str">
        <f t="shared" si="25"/>
        <v>11</v>
      </c>
      <c r="D312" s="4" t="str">
        <f t="shared" si="26"/>
        <v>2018</v>
      </c>
      <c r="E312" s="3" t="str">
        <f t="shared" si="27"/>
        <v>Wednesday</v>
      </c>
      <c r="F312" s="4" t="str">
        <f t="shared" si="28"/>
        <v>N</v>
      </c>
      <c r="G312" s="4" t="str">
        <f>IF(COUNTIF(PublicHols[Date], A312)&gt;0, "Y", "N")</f>
        <v>N</v>
      </c>
      <c r="H312" s="3" t="str">
        <f>IFERROR(_xlfn.XLOOKUP(A312, PublicHols[Date], PublicHols[PH_Name]),"")</f>
        <v/>
      </c>
      <c r="I312" s="4" t="str">
        <f>IF(COUNTIF(EventsAll[Date], A312)&gt;0, "Y", "N")</f>
        <v>N</v>
      </c>
      <c r="J312" s="11" t="str">
        <f>IFERROR(_xlfn.XLOOKUP(A312, EventsAll[Date], EventsAll[Event]),"")</f>
        <v/>
      </c>
      <c r="K312" s="4" t="str" cm="1">
        <f t="array" ref="K312">IF(SUMPRODUCT((A312&gt;=SchoolHols[Start])*(A312&lt;=SchoolHols[End]))&gt;0,"Y","N")</f>
        <v>N</v>
      </c>
    </row>
    <row r="313" spans="1:11">
      <c r="A313" s="6">
        <f t="shared" si="29"/>
        <v>43412</v>
      </c>
      <c r="B313" s="4" t="str">
        <f t="shared" si="24"/>
        <v>08</v>
      </c>
      <c r="C313" s="4" t="str">
        <f t="shared" si="25"/>
        <v>11</v>
      </c>
      <c r="D313" s="4" t="str">
        <f t="shared" si="26"/>
        <v>2018</v>
      </c>
      <c r="E313" s="3" t="str">
        <f t="shared" si="27"/>
        <v>Thursday</v>
      </c>
      <c r="F313" s="4" t="str">
        <f t="shared" si="28"/>
        <v>N</v>
      </c>
      <c r="G313" s="4" t="str">
        <f>IF(COUNTIF(PublicHols[Date], A313)&gt;0, "Y", "N")</f>
        <v>N</v>
      </c>
      <c r="H313" s="3" t="str">
        <f>IFERROR(_xlfn.XLOOKUP(A313, PublicHols[Date], PublicHols[PH_Name]),"")</f>
        <v/>
      </c>
      <c r="I313" s="4" t="str">
        <f>IF(COUNTIF(EventsAll[Date], A313)&gt;0, "Y", "N")</f>
        <v>N</v>
      </c>
      <c r="J313" s="11" t="str">
        <f>IFERROR(_xlfn.XLOOKUP(A313, EventsAll[Date], EventsAll[Event]),"")</f>
        <v/>
      </c>
      <c r="K313" s="4" t="str" cm="1">
        <f t="array" ref="K313">IF(SUMPRODUCT((A313&gt;=SchoolHols[Start])*(A313&lt;=SchoolHols[End]))&gt;0,"Y","N")</f>
        <v>N</v>
      </c>
    </row>
    <row r="314" spans="1:11">
      <c r="A314" s="6">
        <f t="shared" si="29"/>
        <v>43413</v>
      </c>
      <c r="B314" s="4" t="str">
        <f t="shared" si="24"/>
        <v>09</v>
      </c>
      <c r="C314" s="4" t="str">
        <f t="shared" si="25"/>
        <v>11</v>
      </c>
      <c r="D314" s="4" t="str">
        <f t="shared" si="26"/>
        <v>2018</v>
      </c>
      <c r="E314" s="3" t="str">
        <f t="shared" si="27"/>
        <v>Friday</v>
      </c>
      <c r="F314" s="4" t="str">
        <f t="shared" si="28"/>
        <v>N</v>
      </c>
      <c r="G314" s="4" t="str">
        <f>IF(COUNTIF(PublicHols[Date], A314)&gt;0, "Y", "N")</f>
        <v>N</v>
      </c>
      <c r="H314" s="3" t="str">
        <f>IFERROR(_xlfn.XLOOKUP(A314, PublicHols[Date], PublicHols[PH_Name]),"")</f>
        <v/>
      </c>
      <c r="I314" s="4" t="str">
        <f>IF(COUNTIF(EventsAll[Date], A314)&gt;0, "Y", "N")</f>
        <v>N</v>
      </c>
      <c r="J314" s="11" t="str">
        <f>IFERROR(_xlfn.XLOOKUP(A314, EventsAll[Date], EventsAll[Event]),"")</f>
        <v/>
      </c>
      <c r="K314" s="4" t="str" cm="1">
        <f t="array" ref="K314">IF(SUMPRODUCT((A314&gt;=SchoolHols[Start])*(A314&lt;=SchoolHols[End]))&gt;0,"Y","N")</f>
        <v>N</v>
      </c>
    </row>
    <row r="315" spans="1:11">
      <c r="A315" s="6">
        <f t="shared" si="29"/>
        <v>43414</v>
      </c>
      <c r="B315" s="4" t="str">
        <f t="shared" si="24"/>
        <v>10</v>
      </c>
      <c r="C315" s="4" t="str">
        <f t="shared" si="25"/>
        <v>11</v>
      </c>
      <c r="D315" s="4" t="str">
        <f t="shared" si="26"/>
        <v>2018</v>
      </c>
      <c r="E315" s="3" t="str">
        <f t="shared" si="27"/>
        <v>Saturday</v>
      </c>
      <c r="F315" s="4" t="str">
        <f t="shared" si="28"/>
        <v>N</v>
      </c>
      <c r="G315" s="4" t="str">
        <f>IF(COUNTIF(PublicHols[Date], A315)&gt;0, "Y", "N")</f>
        <v>N</v>
      </c>
      <c r="H315" s="3" t="str">
        <f>IFERROR(_xlfn.XLOOKUP(A315, PublicHols[Date], PublicHols[PH_Name]),"")</f>
        <v/>
      </c>
      <c r="I315" s="4" t="str">
        <f>IF(COUNTIF(EventsAll[Date], A315)&gt;0, "Y", "N")</f>
        <v>N</v>
      </c>
      <c r="J315" s="11" t="str">
        <f>IFERROR(_xlfn.XLOOKUP(A315, EventsAll[Date], EventsAll[Event]),"")</f>
        <v/>
      </c>
      <c r="K315" s="4" t="str" cm="1">
        <f t="array" ref="K315">IF(SUMPRODUCT((A315&gt;=SchoolHols[Start])*(A315&lt;=SchoolHols[End]))&gt;0,"Y","N")</f>
        <v>N</v>
      </c>
    </row>
    <row r="316" spans="1:11">
      <c r="A316" s="6">
        <f t="shared" si="29"/>
        <v>43415</v>
      </c>
      <c r="B316" s="4" t="str">
        <f t="shared" si="24"/>
        <v>11</v>
      </c>
      <c r="C316" s="4" t="str">
        <f t="shared" si="25"/>
        <v>11</v>
      </c>
      <c r="D316" s="4" t="str">
        <f t="shared" si="26"/>
        <v>2018</v>
      </c>
      <c r="E316" s="3" t="str">
        <f t="shared" si="27"/>
        <v>Sunday</v>
      </c>
      <c r="F316" s="4" t="str">
        <f t="shared" si="28"/>
        <v>Y</v>
      </c>
      <c r="G316" s="4" t="str">
        <f>IF(COUNTIF(PublicHols[Date], A316)&gt;0, "Y", "N")</f>
        <v>N</v>
      </c>
      <c r="H316" s="3" t="str">
        <f>IFERROR(_xlfn.XLOOKUP(A316, PublicHols[Date], PublicHols[PH_Name]),"")</f>
        <v/>
      </c>
      <c r="I316" s="4" t="str">
        <f>IF(COUNTIF(EventsAll[Date], A316)&gt;0, "Y", "N")</f>
        <v>N</v>
      </c>
      <c r="J316" s="11" t="str">
        <f>IFERROR(_xlfn.XLOOKUP(A316, EventsAll[Date], EventsAll[Event]),"")</f>
        <v/>
      </c>
      <c r="K316" s="4" t="str" cm="1">
        <f t="array" ref="K316">IF(SUMPRODUCT((A316&gt;=SchoolHols[Start])*(A316&lt;=SchoolHols[End]))&gt;0,"Y","N")</f>
        <v>N</v>
      </c>
    </row>
    <row r="317" spans="1:11">
      <c r="A317" s="6">
        <f t="shared" si="29"/>
        <v>43416</v>
      </c>
      <c r="B317" s="4" t="str">
        <f t="shared" si="24"/>
        <v>12</v>
      </c>
      <c r="C317" s="4" t="str">
        <f t="shared" si="25"/>
        <v>11</v>
      </c>
      <c r="D317" s="4" t="str">
        <f t="shared" si="26"/>
        <v>2018</v>
      </c>
      <c r="E317" s="3" t="str">
        <f t="shared" si="27"/>
        <v>Monday</v>
      </c>
      <c r="F317" s="4" t="str">
        <f t="shared" si="28"/>
        <v>N</v>
      </c>
      <c r="G317" s="4" t="str">
        <f>IF(COUNTIF(PublicHols[Date], A317)&gt;0, "Y", "N")</f>
        <v>N</v>
      </c>
      <c r="H317" s="3" t="str">
        <f>IFERROR(_xlfn.XLOOKUP(A317, PublicHols[Date], PublicHols[PH_Name]),"")</f>
        <v/>
      </c>
      <c r="I317" s="4" t="str">
        <f>IF(COUNTIF(EventsAll[Date], A317)&gt;0, "Y", "N")</f>
        <v>N</v>
      </c>
      <c r="J317" s="11" t="str">
        <f>IFERROR(_xlfn.XLOOKUP(A317, EventsAll[Date], EventsAll[Event]),"")</f>
        <v/>
      </c>
      <c r="K317" s="4" t="str" cm="1">
        <f t="array" ref="K317">IF(SUMPRODUCT((A317&gt;=SchoolHols[Start])*(A317&lt;=SchoolHols[End]))&gt;0,"Y","N")</f>
        <v>N</v>
      </c>
    </row>
    <row r="318" spans="1:11">
      <c r="A318" s="6">
        <f t="shared" si="29"/>
        <v>43417</v>
      </c>
      <c r="B318" s="4" t="str">
        <f t="shared" si="24"/>
        <v>13</v>
      </c>
      <c r="C318" s="4" t="str">
        <f t="shared" si="25"/>
        <v>11</v>
      </c>
      <c r="D318" s="4" t="str">
        <f t="shared" si="26"/>
        <v>2018</v>
      </c>
      <c r="E318" s="3" t="str">
        <f t="shared" si="27"/>
        <v>Tuesday</v>
      </c>
      <c r="F318" s="4" t="str">
        <f t="shared" si="28"/>
        <v>N</v>
      </c>
      <c r="G318" s="4" t="str">
        <f>IF(COUNTIF(PublicHols[Date], A318)&gt;0, "Y", "N")</f>
        <v>N</v>
      </c>
      <c r="H318" s="3" t="str">
        <f>IFERROR(_xlfn.XLOOKUP(A318, PublicHols[Date], PublicHols[PH_Name]),"")</f>
        <v/>
      </c>
      <c r="I318" s="4" t="str">
        <f>IF(COUNTIF(EventsAll[Date], A318)&gt;0, "Y", "N")</f>
        <v>N</v>
      </c>
      <c r="J318" s="11" t="str">
        <f>IFERROR(_xlfn.XLOOKUP(A318, EventsAll[Date], EventsAll[Event]),"")</f>
        <v/>
      </c>
      <c r="K318" s="4" t="str" cm="1">
        <f t="array" ref="K318">IF(SUMPRODUCT((A318&gt;=SchoolHols[Start])*(A318&lt;=SchoolHols[End]))&gt;0,"Y","N")</f>
        <v>N</v>
      </c>
    </row>
    <row r="319" spans="1:11">
      <c r="A319" s="6">
        <f t="shared" si="29"/>
        <v>43418</v>
      </c>
      <c r="B319" s="4" t="str">
        <f t="shared" si="24"/>
        <v>14</v>
      </c>
      <c r="C319" s="4" t="str">
        <f t="shared" si="25"/>
        <v>11</v>
      </c>
      <c r="D319" s="4" t="str">
        <f t="shared" si="26"/>
        <v>2018</v>
      </c>
      <c r="E319" s="3" t="str">
        <f t="shared" si="27"/>
        <v>Wednesday</v>
      </c>
      <c r="F319" s="4" t="str">
        <f t="shared" si="28"/>
        <v>N</v>
      </c>
      <c r="G319" s="4" t="str">
        <f>IF(COUNTIF(PublicHols[Date], A319)&gt;0, "Y", "N")</f>
        <v>N</v>
      </c>
      <c r="H319" s="3" t="str">
        <f>IFERROR(_xlfn.XLOOKUP(A319, PublicHols[Date], PublicHols[PH_Name]),"")</f>
        <v/>
      </c>
      <c r="I319" s="4" t="str">
        <f>IF(COUNTIF(EventsAll[Date], A319)&gt;0, "Y", "N")</f>
        <v>N</v>
      </c>
      <c r="J319" s="11" t="str">
        <f>IFERROR(_xlfn.XLOOKUP(A319, EventsAll[Date], EventsAll[Event]),"")</f>
        <v/>
      </c>
      <c r="K319" s="4" t="str" cm="1">
        <f t="array" ref="K319">IF(SUMPRODUCT((A319&gt;=SchoolHols[Start])*(A319&lt;=SchoolHols[End]))&gt;0,"Y","N")</f>
        <v>N</v>
      </c>
    </row>
    <row r="320" spans="1:11">
      <c r="A320" s="6">
        <f t="shared" si="29"/>
        <v>43419</v>
      </c>
      <c r="B320" s="4" t="str">
        <f t="shared" si="24"/>
        <v>15</v>
      </c>
      <c r="C320" s="4" t="str">
        <f t="shared" si="25"/>
        <v>11</v>
      </c>
      <c r="D320" s="4" t="str">
        <f t="shared" si="26"/>
        <v>2018</v>
      </c>
      <c r="E320" s="3" t="str">
        <f t="shared" si="27"/>
        <v>Thursday</v>
      </c>
      <c r="F320" s="4" t="str">
        <f t="shared" si="28"/>
        <v>N</v>
      </c>
      <c r="G320" s="4" t="str">
        <f>IF(COUNTIF(PublicHols[Date], A320)&gt;0, "Y", "N")</f>
        <v>N</v>
      </c>
      <c r="H320" s="3" t="str">
        <f>IFERROR(_xlfn.XLOOKUP(A320, PublicHols[Date], PublicHols[PH_Name]),"")</f>
        <v/>
      </c>
      <c r="I320" s="4" t="str">
        <f>IF(COUNTIF(EventsAll[Date], A320)&gt;0, "Y", "N")</f>
        <v>N</v>
      </c>
      <c r="J320" s="11" t="str">
        <f>IFERROR(_xlfn.XLOOKUP(A320, EventsAll[Date], EventsAll[Event]),"")</f>
        <v/>
      </c>
      <c r="K320" s="4" t="str" cm="1">
        <f t="array" ref="K320">IF(SUMPRODUCT((A320&gt;=SchoolHols[Start])*(A320&lt;=SchoolHols[End]))&gt;0,"Y","N")</f>
        <v>N</v>
      </c>
    </row>
    <row r="321" spans="1:11">
      <c r="A321" s="6">
        <f t="shared" si="29"/>
        <v>43420</v>
      </c>
      <c r="B321" s="4" t="str">
        <f t="shared" si="24"/>
        <v>16</v>
      </c>
      <c r="C321" s="4" t="str">
        <f t="shared" si="25"/>
        <v>11</v>
      </c>
      <c r="D321" s="4" t="str">
        <f t="shared" si="26"/>
        <v>2018</v>
      </c>
      <c r="E321" s="3" t="str">
        <f t="shared" si="27"/>
        <v>Friday</v>
      </c>
      <c r="F321" s="4" t="str">
        <f t="shared" si="28"/>
        <v>N</v>
      </c>
      <c r="G321" s="4" t="str">
        <f>IF(COUNTIF(PublicHols[Date], A321)&gt;0, "Y", "N")</f>
        <v>N</v>
      </c>
      <c r="H321" s="3" t="str">
        <f>IFERROR(_xlfn.XLOOKUP(A321, PublicHols[Date], PublicHols[PH_Name]),"")</f>
        <v/>
      </c>
      <c r="I321" s="4" t="str">
        <f>IF(COUNTIF(EventsAll[Date], A321)&gt;0, "Y", "N")</f>
        <v>N</v>
      </c>
      <c r="J321" s="11" t="str">
        <f>IFERROR(_xlfn.XLOOKUP(A321, EventsAll[Date], EventsAll[Event]),"")</f>
        <v/>
      </c>
      <c r="K321" s="4" t="str" cm="1">
        <f t="array" ref="K321">IF(SUMPRODUCT((A321&gt;=SchoolHols[Start])*(A321&lt;=SchoolHols[End]))&gt;0,"Y","N")</f>
        <v>N</v>
      </c>
    </row>
    <row r="322" spans="1:11">
      <c r="A322" s="6">
        <f t="shared" si="29"/>
        <v>43421</v>
      </c>
      <c r="B322" s="4" t="str">
        <f t="shared" si="24"/>
        <v>17</v>
      </c>
      <c r="C322" s="4" t="str">
        <f t="shared" si="25"/>
        <v>11</v>
      </c>
      <c r="D322" s="4" t="str">
        <f t="shared" si="26"/>
        <v>2018</v>
      </c>
      <c r="E322" s="3" t="str">
        <f t="shared" si="27"/>
        <v>Saturday</v>
      </c>
      <c r="F322" s="4" t="str">
        <f t="shared" si="28"/>
        <v>N</v>
      </c>
      <c r="G322" s="4" t="str">
        <f>IF(COUNTIF(PublicHols[Date], A322)&gt;0, "Y", "N")</f>
        <v>N</v>
      </c>
      <c r="H322" s="3" t="str">
        <f>IFERROR(_xlfn.XLOOKUP(A322, PublicHols[Date], PublicHols[PH_Name]),"")</f>
        <v/>
      </c>
      <c r="I322" s="4" t="str">
        <f>IF(COUNTIF(EventsAll[Date], A322)&gt;0, "Y", "N")</f>
        <v>N</v>
      </c>
      <c r="J322" s="11" t="str">
        <f>IFERROR(_xlfn.XLOOKUP(A322, EventsAll[Date], EventsAll[Event]),"")</f>
        <v/>
      </c>
      <c r="K322" s="4" t="str" cm="1">
        <f t="array" ref="K322">IF(SUMPRODUCT((A322&gt;=SchoolHols[Start])*(A322&lt;=SchoolHols[End]))&gt;0,"Y","N")</f>
        <v>N</v>
      </c>
    </row>
    <row r="323" spans="1:11">
      <c r="A323" s="6">
        <f t="shared" si="29"/>
        <v>43422</v>
      </c>
      <c r="B323" s="4" t="str">
        <f t="shared" ref="B323:B366" si="30">TEXT($A323, "dd")</f>
        <v>18</v>
      </c>
      <c r="C323" s="4" t="str">
        <f t="shared" ref="C323:C366" si="31">TEXT($A323, "mm")</f>
        <v>11</v>
      </c>
      <c r="D323" s="4" t="str">
        <f t="shared" ref="D323:D366" si="32">TEXT($A323, "yyyy")</f>
        <v>2018</v>
      </c>
      <c r="E323" s="3" t="str">
        <f t="shared" ref="E323:E366" si="33">TEXT($A323, "dddd")</f>
        <v>Sunday</v>
      </c>
      <c r="F323" s="4" t="str">
        <f t="shared" ref="F323:F366" si="34">IF($E323="Sunday", "Y", "N")</f>
        <v>Y</v>
      </c>
      <c r="G323" s="4" t="str">
        <f>IF(COUNTIF(PublicHols[Date], A323)&gt;0, "Y", "N")</f>
        <v>N</v>
      </c>
      <c r="H323" s="3" t="str">
        <f>IFERROR(_xlfn.XLOOKUP(A323, PublicHols[Date], PublicHols[PH_Name]),"")</f>
        <v/>
      </c>
      <c r="I323" s="4" t="str">
        <f>IF(COUNTIF(EventsAll[Date], A323)&gt;0, "Y", "N")</f>
        <v>N</v>
      </c>
      <c r="J323" s="11" t="str">
        <f>IFERROR(_xlfn.XLOOKUP(A323, EventsAll[Date], EventsAll[Event]),"")</f>
        <v/>
      </c>
      <c r="K323" s="4" t="str" cm="1">
        <f t="array" ref="K323">IF(SUMPRODUCT((A323&gt;=SchoolHols[Start])*(A323&lt;=SchoolHols[End]))&gt;0,"Y","N")</f>
        <v>N</v>
      </c>
    </row>
    <row r="324" spans="1:11">
      <c r="A324" s="6">
        <f t="shared" ref="A324:A366" si="35">$A323+1</f>
        <v>43423</v>
      </c>
      <c r="B324" s="4" t="str">
        <f t="shared" si="30"/>
        <v>19</v>
      </c>
      <c r="C324" s="4" t="str">
        <f t="shared" si="31"/>
        <v>11</v>
      </c>
      <c r="D324" s="4" t="str">
        <f t="shared" si="32"/>
        <v>2018</v>
      </c>
      <c r="E324" s="3" t="str">
        <f t="shared" si="33"/>
        <v>Monday</v>
      </c>
      <c r="F324" s="4" t="str">
        <f t="shared" si="34"/>
        <v>N</v>
      </c>
      <c r="G324" s="4" t="str">
        <f>IF(COUNTIF(PublicHols[Date], A324)&gt;0, "Y", "N")</f>
        <v>N</v>
      </c>
      <c r="H324" s="3" t="str">
        <f>IFERROR(_xlfn.XLOOKUP(A324, PublicHols[Date], PublicHols[PH_Name]),"")</f>
        <v/>
      </c>
      <c r="I324" s="4" t="str">
        <f>IF(COUNTIF(EventsAll[Date], A324)&gt;0, "Y", "N")</f>
        <v>N</v>
      </c>
      <c r="J324" s="11" t="str">
        <f>IFERROR(_xlfn.XLOOKUP(A324, EventsAll[Date], EventsAll[Event]),"")</f>
        <v/>
      </c>
      <c r="K324" s="4" t="str" cm="1">
        <f t="array" ref="K324">IF(SUMPRODUCT((A324&gt;=SchoolHols[Start])*(A324&lt;=SchoolHols[End]))&gt;0,"Y","N")</f>
        <v>N</v>
      </c>
    </row>
    <row r="325" spans="1:11">
      <c r="A325" s="6">
        <f t="shared" si="35"/>
        <v>43424</v>
      </c>
      <c r="B325" s="4" t="str">
        <f t="shared" si="30"/>
        <v>20</v>
      </c>
      <c r="C325" s="4" t="str">
        <f t="shared" si="31"/>
        <v>11</v>
      </c>
      <c r="D325" s="4" t="str">
        <f t="shared" si="32"/>
        <v>2018</v>
      </c>
      <c r="E325" s="3" t="str">
        <f t="shared" si="33"/>
        <v>Tuesday</v>
      </c>
      <c r="F325" s="4" t="str">
        <f t="shared" si="34"/>
        <v>N</v>
      </c>
      <c r="G325" s="4" t="str">
        <f>IF(COUNTIF(PublicHols[Date], A325)&gt;0, "Y", "N")</f>
        <v>N</v>
      </c>
      <c r="H325" s="3" t="str">
        <f>IFERROR(_xlfn.XLOOKUP(A325, PublicHols[Date], PublicHols[PH_Name]),"")</f>
        <v/>
      </c>
      <c r="I325" s="4" t="str">
        <f>IF(COUNTIF(EventsAll[Date], A325)&gt;0, "Y", "N")</f>
        <v>N</v>
      </c>
      <c r="J325" s="11" t="str">
        <f>IFERROR(_xlfn.XLOOKUP(A325, EventsAll[Date], EventsAll[Event]),"")</f>
        <v/>
      </c>
      <c r="K325" s="4" t="str" cm="1">
        <f t="array" ref="K325">IF(SUMPRODUCT((A325&gt;=SchoolHols[Start])*(A325&lt;=SchoolHols[End]))&gt;0,"Y","N")</f>
        <v>N</v>
      </c>
    </row>
    <row r="326" spans="1:11">
      <c r="A326" s="6">
        <f t="shared" si="35"/>
        <v>43425</v>
      </c>
      <c r="B326" s="4" t="str">
        <f t="shared" si="30"/>
        <v>21</v>
      </c>
      <c r="C326" s="4" t="str">
        <f t="shared" si="31"/>
        <v>11</v>
      </c>
      <c r="D326" s="4" t="str">
        <f t="shared" si="32"/>
        <v>2018</v>
      </c>
      <c r="E326" s="3" t="str">
        <f t="shared" si="33"/>
        <v>Wednesday</v>
      </c>
      <c r="F326" s="4" t="str">
        <f t="shared" si="34"/>
        <v>N</v>
      </c>
      <c r="G326" s="4" t="str">
        <f>IF(COUNTIF(PublicHols[Date], A326)&gt;0, "Y", "N")</f>
        <v>N</v>
      </c>
      <c r="H326" s="3" t="str">
        <f>IFERROR(_xlfn.XLOOKUP(A326, PublicHols[Date], PublicHols[PH_Name]),"")</f>
        <v/>
      </c>
      <c r="I326" s="4" t="str">
        <f>IF(COUNTIF(EventsAll[Date], A326)&gt;0, "Y", "N")</f>
        <v>N</v>
      </c>
      <c r="J326" s="11" t="str">
        <f>IFERROR(_xlfn.XLOOKUP(A326, EventsAll[Date], EventsAll[Event]),"")</f>
        <v/>
      </c>
      <c r="K326" s="4" t="str" cm="1">
        <f t="array" ref="K326">IF(SUMPRODUCT((A326&gt;=SchoolHols[Start])*(A326&lt;=SchoolHols[End]))&gt;0,"Y","N")</f>
        <v>N</v>
      </c>
    </row>
    <row r="327" spans="1:11">
      <c r="A327" s="6">
        <f t="shared" si="35"/>
        <v>43426</v>
      </c>
      <c r="B327" s="4" t="str">
        <f t="shared" si="30"/>
        <v>22</v>
      </c>
      <c r="C327" s="4" t="str">
        <f t="shared" si="31"/>
        <v>11</v>
      </c>
      <c r="D327" s="4" t="str">
        <f t="shared" si="32"/>
        <v>2018</v>
      </c>
      <c r="E327" s="3" t="str">
        <f t="shared" si="33"/>
        <v>Thursday</v>
      </c>
      <c r="F327" s="4" t="str">
        <f t="shared" si="34"/>
        <v>N</v>
      </c>
      <c r="G327" s="4" t="str">
        <f>IF(COUNTIF(PublicHols[Date], A327)&gt;0, "Y", "N")</f>
        <v>N</v>
      </c>
      <c r="H327" s="3" t="str">
        <f>IFERROR(_xlfn.XLOOKUP(A327, PublicHols[Date], PublicHols[PH_Name]),"")</f>
        <v/>
      </c>
      <c r="I327" s="4" t="str">
        <f>IF(COUNTIF(EventsAll[Date], A327)&gt;0, "Y", "N")</f>
        <v>N</v>
      </c>
      <c r="J327" s="11" t="str">
        <f>IFERROR(_xlfn.XLOOKUP(A327, EventsAll[Date], EventsAll[Event]),"")</f>
        <v/>
      </c>
      <c r="K327" s="4" t="str" cm="1">
        <f t="array" ref="K327">IF(SUMPRODUCT((A327&gt;=SchoolHols[Start])*(A327&lt;=SchoolHols[End]))&gt;0,"Y","N")</f>
        <v>N</v>
      </c>
    </row>
    <row r="328" spans="1:11">
      <c r="A328" s="6">
        <f t="shared" si="35"/>
        <v>43427</v>
      </c>
      <c r="B328" s="4" t="str">
        <f t="shared" si="30"/>
        <v>23</v>
      </c>
      <c r="C328" s="4" t="str">
        <f t="shared" si="31"/>
        <v>11</v>
      </c>
      <c r="D328" s="4" t="str">
        <f t="shared" si="32"/>
        <v>2018</v>
      </c>
      <c r="E328" s="3" t="str">
        <f t="shared" si="33"/>
        <v>Friday</v>
      </c>
      <c r="F328" s="4" t="str">
        <f t="shared" si="34"/>
        <v>N</v>
      </c>
      <c r="G328" s="4" t="str">
        <f>IF(COUNTIF(PublicHols[Date], A328)&gt;0, "Y", "N")</f>
        <v>N</v>
      </c>
      <c r="H328" s="3" t="str">
        <f>IFERROR(_xlfn.XLOOKUP(A328, PublicHols[Date], PublicHols[PH_Name]),"")</f>
        <v/>
      </c>
      <c r="I328" s="4" t="str">
        <f>IF(COUNTIF(EventsAll[Date], A328)&gt;0, "Y", "N")</f>
        <v>Y</v>
      </c>
      <c r="J328" s="11" t="str">
        <f>IFERROR(_xlfn.XLOOKUP(A328, EventsAll[Date], EventsAll[Event]),"")</f>
        <v xml:space="preserve"> Black Friday</v>
      </c>
      <c r="K328" s="4" t="str" cm="1">
        <f t="array" ref="K328">IF(SUMPRODUCT((A328&gt;=SchoolHols[Start])*(A328&lt;=SchoolHols[End]))&gt;0,"Y","N")</f>
        <v>N</v>
      </c>
    </row>
    <row r="329" spans="1:11">
      <c r="A329" s="6">
        <f t="shared" si="35"/>
        <v>43428</v>
      </c>
      <c r="B329" s="4" t="str">
        <f t="shared" si="30"/>
        <v>24</v>
      </c>
      <c r="C329" s="4" t="str">
        <f t="shared" si="31"/>
        <v>11</v>
      </c>
      <c r="D329" s="4" t="str">
        <f t="shared" si="32"/>
        <v>2018</v>
      </c>
      <c r="E329" s="3" t="str">
        <f t="shared" si="33"/>
        <v>Saturday</v>
      </c>
      <c r="F329" s="4" t="str">
        <f t="shared" si="34"/>
        <v>N</v>
      </c>
      <c r="G329" s="4" t="str">
        <f>IF(COUNTIF(PublicHols[Date], A329)&gt;0, "Y", "N")</f>
        <v>N</v>
      </c>
      <c r="H329" s="3" t="str">
        <f>IFERROR(_xlfn.XLOOKUP(A329, PublicHols[Date], PublicHols[PH_Name]),"")</f>
        <v/>
      </c>
      <c r="I329" s="4" t="str">
        <f>IF(COUNTIF(EventsAll[Date], A329)&gt;0, "Y", "N")</f>
        <v>N</v>
      </c>
      <c r="J329" s="11" t="str">
        <f>IFERROR(_xlfn.XLOOKUP(A329, EventsAll[Date], EventsAll[Event]),"")</f>
        <v/>
      </c>
      <c r="K329" s="4" t="str" cm="1">
        <f t="array" ref="K329">IF(SUMPRODUCT((A329&gt;=SchoolHols[Start])*(A329&lt;=SchoolHols[End]))&gt;0,"Y","N")</f>
        <v>N</v>
      </c>
    </row>
    <row r="330" spans="1:11">
      <c r="A330" s="6">
        <f t="shared" si="35"/>
        <v>43429</v>
      </c>
      <c r="B330" s="4" t="str">
        <f t="shared" si="30"/>
        <v>25</v>
      </c>
      <c r="C330" s="4" t="str">
        <f t="shared" si="31"/>
        <v>11</v>
      </c>
      <c r="D330" s="4" t="str">
        <f t="shared" si="32"/>
        <v>2018</v>
      </c>
      <c r="E330" s="3" t="str">
        <f t="shared" si="33"/>
        <v>Sunday</v>
      </c>
      <c r="F330" s="4" t="str">
        <f t="shared" si="34"/>
        <v>Y</v>
      </c>
      <c r="G330" s="4" t="str">
        <f>IF(COUNTIF(PublicHols[Date], A330)&gt;0, "Y", "N")</f>
        <v>N</v>
      </c>
      <c r="H330" s="3" t="str">
        <f>IFERROR(_xlfn.XLOOKUP(A330, PublicHols[Date], PublicHols[PH_Name]),"")</f>
        <v/>
      </c>
      <c r="I330" s="4" t="str">
        <f>IF(COUNTIF(EventsAll[Date], A330)&gt;0, "Y", "N")</f>
        <v>N</v>
      </c>
      <c r="J330" s="11" t="str">
        <f>IFERROR(_xlfn.XLOOKUP(A330, EventsAll[Date], EventsAll[Event]),"")</f>
        <v/>
      </c>
      <c r="K330" s="4" t="str" cm="1">
        <f t="array" ref="K330">IF(SUMPRODUCT((A330&gt;=SchoolHols[Start])*(A330&lt;=SchoolHols[End]))&gt;0,"Y","N")</f>
        <v>N</v>
      </c>
    </row>
    <row r="331" spans="1:11">
      <c r="A331" s="6">
        <f t="shared" si="35"/>
        <v>43430</v>
      </c>
      <c r="B331" s="4" t="str">
        <f t="shared" si="30"/>
        <v>26</v>
      </c>
      <c r="C331" s="4" t="str">
        <f t="shared" si="31"/>
        <v>11</v>
      </c>
      <c r="D331" s="4" t="str">
        <f t="shared" si="32"/>
        <v>2018</v>
      </c>
      <c r="E331" s="3" t="str">
        <f t="shared" si="33"/>
        <v>Monday</v>
      </c>
      <c r="F331" s="4" t="str">
        <f t="shared" si="34"/>
        <v>N</v>
      </c>
      <c r="G331" s="4" t="str">
        <f>IF(COUNTIF(PublicHols[Date], A331)&gt;0, "Y", "N")</f>
        <v>N</v>
      </c>
      <c r="H331" s="3" t="str">
        <f>IFERROR(_xlfn.XLOOKUP(A331, PublicHols[Date], PublicHols[PH_Name]),"")</f>
        <v/>
      </c>
      <c r="I331" s="4" t="str">
        <f>IF(COUNTIF(EventsAll[Date], A331)&gt;0, "Y", "N")</f>
        <v>Y</v>
      </c>
      <c r="J331" s="11" t="str">
        <f>IFERROR(_xlfn.XLOOKUP(A331, EventsAll[Date], EventsAll[Event]),"")</f>
        <v xml:space="preserve"> Cyber Monday</v>
      </c>
      <c r="K331" s="4" t="str" cm="1">
        <f t="array" ref="K331">IF(SUMPRODUCT((A331&gt;=SchoolHols[Start])*(A331&lt;=SchoolHols[End]))&gt;0,"Y","N")</f>
        <v>N</v>
      </c>
    </row>
    <row r="332" spans="1:11">
      <c r="A332" s="6">
        <f t="shared" si="35"/>
        <v>43431</v>
      </c>
      <c r="B332" s="4" t="str">
        <f t="shared" si="30"/>
        <v>27</v>
      </c>
      <c r="C332" s="4" t="str">
        <f t="shared" si="31"/>
        <v>11</v>
      </c>
      <c r="D332" s="4" t="str">
        <f t="shared" si="32"/>
        <v>2018</v>
      </c>
      <c r="E332" s="3" t="str">
        <f t="shared" si="33"/>
        <v>Tuesday</v>
      </c>
      <c r="F332" s="4" t="str">
        <f t="shared" si="34"/>
        <v>N</v>
      </c>
      <c r="G332" s="4" t="str">
        <f>IF(COUNTIF(PublicHols[Date], A332)&gt;0, "Y", "N")</f>
        <v>N</v>
      </c>
      <c r="H332" s="3" t="str">
        <f>IFERROR(_xlfn.XLOOKUP(A332, PublicHols[Date], PublicHols[PH_Name]),"")</f>
        <v/>
      </c>
      <c r="I332" s="4" t="str">
        <f>IF(COUNTIF(EventsAll[Date], A332)&gt;0, "Y", "N")</f>
        <v>N</v>
      </c>
      <c r="J332" s="11" t="str">
        <f>IFERROR(_xlfn.XLOOKUP(A332, EventsAll[Date], EventsAll[Event]),"")</f>
        <v/>
      </c>
      <c r="K332" s="4" t="str" cm="1">
        <f t="array" ref="K332">IF(SUMPRODUCT((A332&gt;=SchoolHols[Start])*(A332&lt;=SchoolHols[End]))&gt;0,"Y","N")</f>
        <v>N</v>
      </c>
    </row>
    <row r="333" spans="1:11">
      <c r="A333" s="6">
        <f t="shared" si="35"/>
        <v>43432</v>
      </c>
      <c r="B333" s="4" t="str">
        <f t="shared" si="30"/>
        <v>28</v>
      </c>
      <c r="C333" s="4" t="str">
        <f t="shared" si="31"/>
        <v>11</v>
      </c>
      <c r="D333" s="4" t="str">
        <f t="shared" si="32"/>
        <v>2018</v>
      </c>
      <c r="E333" s="3" t="str">
        <f t="shared" si="33"/>
        <v>Wednesday</v>
      </c>
      <c r="F333" s="4" t="str">
        <f t="shared" si="34"/>
        <v>N</v>
      </c>
      <c r="G333" s="4" t="str">
        <f>IF(COUNTIF(PublicHols[Date], A333)&gt;0, "Y", "N")</f>
        <v>N</v>
      </c>
      <c r="H333" s="3" t="str">
        <f>IFERROR(_xlfn.XLOOKUP(A333, PublicHols[Date], PublicHols[PH_Name]),"")</f>
        <v/>
      </c>
      <c r="I333" s="4" t="str">
        <f>IF(COUNTIF(EventsAll[Date], A333)&gt;0, "Y", "N")</f>
        <v>N</v>
      </c>
      <c r="J333" s="11" t="str">
        <f>IFERROR(_xlfn.XLOOKUP(A333, EventsAll[Date], EventsAll[Event]),"")</f>
        <v/>
      </c>
      <c r="K333" s="4" t="str" cm="1">
        <f t="array" ref="K333">IF(SUMPRODUCT((A333&gt;=SchoolHols[Start])*(A333&lt;=SchoolHols[End]))&gt;0,"Y","N")</f>
        <v>N</v>
      </c>
    </row>
    <row r="334" spans="1:11">
      <c r="A334" s="6">
        <f t="shared" si="35"/>
        <v>43433</v>
      </c>
      <c r="B334" s="4" t="str">
        <f t="shared" si="30"/>
        <v>29</v>
      </c>
      <c r="C334" s="4" t="str">
        <f t="shared" si="31"/>
        <v>11</v>
      </c>
      <c r="D334" s="4" t="str">
        <f t="shared" si="32"/>
        <v>2018</v>
      </c>
      <c r="E334" s="3" t="str">
        <f t="shared" si="33"/>
        <v>Thursday</v>
      </c>
      <c r="F334" s="4" t="str">
        <f t="shared" si="34"/>
        <v>N</v>
      </c>
      <c r="G334" s="4" t="str">
        <f>IF(COUNTIF(PublicHols[Date], A334)&gt;0, "Y", "N")</f>
        <v>N</v>
      </c>
      <c r="H334" s="3" t="str">
        <f>IFERROR(_xlfn.XLOOKUP(A334, PublicHols[Date], PublicHols[PH_Name]),"")</f>
        <v/>
      </c>
      <c r="I334" s="4" t="str">
        <f>IF(COUNTIF(EventsAll[Date], A334)&gt;0, "Y", "N")</f>
        <v>N</v>
      </c>
      <c r="J334" s="11" t="str">
        <f>IFERROR(_xlfn.XLOOKUP(A334, EventsAll[Date], EventsAll[Event]),"")</f>
        <v/>
      </c>
      <c r="K334" s="4" t="str" cm="1">
        <f t="array" ref="K334">IF(SUMPRODUCT((A334&gt;=SchoolHols[Start])*(A334&lt;=SchoolHols[End]))&gt;0,"Y","N")</f>
        <v>N</v>
      </c>
    </row>
    <row r="335" spans="1:11">
      <c r="A335" s="6">
        <f t="shared" si="35"/>
        <v>43434</v>
      </c>
      <c r="B335" s="4" t="str">
        <f t="shared" si="30"/>
        <v>30</v>
      </c>
      <c r="C335" s="4" t="str">
        <f t="shared" si="31"/>
        <v>11</v>
      </c>
      <c r="D335" s="4" t="str">
        <f t="shared" si="32"/>
        <v>2018</v>
      </c>
      <c r="E335" s="3" t="str">
        <f t="shared" si="33"/>
        <v>Friday</v>
      </c>
      <c r="F335" s="4" t="str">
        <f t="shared" si="34"/>
        <v>N</v>
      </c>
      <c r="G335" s="4" t="str">
        <f>IF(COUNTIF(PublicHols[Date], A335)&gt;0, "Y", "N")</f>
        <v>N</v>
      </c>
      <c r="H335" s="3" t="str">
        <f>IFERROR(_xlfn.XLOOKUP(A335, PublicHols[Date], PublicHols[PH_Name]),"")</f>
        <v/>
      </c>
      <c r="I335" s="4" t="str">
        <f>IF(COUNTIF(EventsAll[Date], A335)&gt;0, "Y", "N")</f>
        <v>N</v>
      </c>
      <c r="J335" s="11" t="str">
        <f>IFERROR(_xlfn.XLOOKUP(A335, EventsAll[Date], EventsAll[Event]),"")</f>
        <v/>
      </c>
      <c r="K335" s="4" t="str" cm="1">
        <f t="array" ref="K335">IF(SUMPRODUCT((A335&gt;=SchoolHols[Start])*(A335&lt;=SchoolHols[End]))&gt;0,"Y","N")</f>
        <v>N</v>
      </c>
    </row>
    <row r="336" spans="1:11">
      <c r="A336" s="6">
        <f t="shared" si="35"/>
        <v>43435</v>
      </c>
      <c r="B336" s="4" t="str">
        <f t="shared" si="30"/>
        <v>01</v>
      </c>
      <c r="C336" s="4" t="str">
        <f t="shared" si="31"/>
        <v>12</v>
      </c>
      <c r="D336" s="4" t="str">
        <f t="shared" si="32"/>
        <v>2018</v>
      </c>
      <c r="E336" s="3" t="str">
        <f t="shared" si="33"/>
        <v>Saturday</v>
      </c>
      <c r="F336" s="4" t="str">
        <f t="shared" si="34"/>
        <v>N</v>
      </c>
      <c r="G336" s="4" t="str">
        <f>IF(COUNTIF(PublicHols[Date], A336)&gt;0, "Y", "N")</f>
        <v>N</v>
      </c>
      <c r="H336" s="3" t="str">
        <f>IFERROR(_xlfn.XLOOKUP(A336, PublicHols[Date], PublicHols[PH_Name]),"")</f>
        <v/>
      </c>
      <c r="I336" s="4" t="str">
        <f>IF(COUNTIF(EventsAll[Date], A336)&gt;0, "Y", "N")</f>
        <v>Y</v>
      </c>
      <c r="J336" s="11" t="str">
        <f>IFERROR(_xlfn.XLOOKUP(A336, EventsAll[Date], EventsAll[Event]),"")</f>
        <v xml:space="preserve"> Start of Festive Trading</v>
      </c>
      <c r="K336" s="4" t="str" cm="1">
        <f t="array" ref="K336">IF(SUMPRODUCT((A336&gt;=SchoolHols[Start])*(A336&lt;=SchoolHols[End]))&gt;0,"Y","N")</f>
        <v>N</v>
      </c>
    </row>
    <row r="337" spans="1:11">
      <c r="A337" s="6">
        <f t="shared" si="35"/>
        <v>43436</v>
      </c>
      <c r="B337" s="4" t="str">
        <f t="shared" si="30"/>
        <v>02</v>
      </c>
      <c r="C337" s="4" t="str">
        <f t="shared" si="31"/>
        <v>12</v>
      </c>
      <c r="D337" s="4" t="str">
        <f t="shared" si="32"/>
        <v>2018</v>
      </c>
      <c r="E337" s="3" t="str">
        <f t="shared" si="33"/>
        <v>Sunday</v>
      </c>
      <c r="F337" s="4" t="str">
        <f t="shared" si="34"/>
        <v>Y</v>
      </c>
      <c r="G337" s="4" t="str">
        <f>IF(COUNTIF(PublicHols[Date], A337)&gt;0, "Y", "N")</f>
        <v>N</v>
      </c>
      <c r="H337" s="3" t="str">
        <f>IFERROR(_xlfn.XLOOKUP(A337, PublicHols[Date], PublicHols[PH_Name]),"")</f>
        <v/>
      </c>
      <c r="I337" s="4" t="str">
        <f>IF(COUNTIF(EventsAll[Date], A337)&gt;0, "Y", "N")</f>
        <v>N</v>
      </c>
      <c r="J337" s="11" t="str">
        <f>IFERROR(_xlfn.XLOOKUP(A337, EventsAll[Date], EventsAll[Event]),"")</f>
        <v/>
      </c>
      <c r="K337" s="4" t="str" cm="1">
        <f t="array" ref="K337">IF(SUMPRODUCT((A337&gt;=SchoolHols[Start])*(A337&lt;=SchoolHols[End]))&gt;0,"Y","N")</f>
        <v>N</v>
      </c>
    </row>
    <row r="338" spans="1:11">
      <c r="A338" s="6">
        <f t="shared" si="35"/>
        <v>43437</v>
      </c>
      <c r="B338" s="4" t="str">
        <f t="shared" si="30"/>
        <v>03</v>
      </c>
      <c r="C338" s="4" t="str">
        <f t="shared" si="31"/>
        <v>12</v>
      </c>
      <c r="D338" s="4" t="str">
        <f t="shared" si="32"/>
        <v>2018</v>
      </c>
      <c r="E338" s="3" t="str">
        <f t="shared" si="33"/>
        <v>Monday</v>
      </c>
      <c r="F338" s="4" t="str">
        <f t="shared" si="34"/>
        <v>N</v>
      </c>
      <c r="G338" s="4" t="str">
        <f>IF(COUNTIF(PublicHols[Date], A338)&gt;0, "Y", "N")</f>
        <v>N</v>
      </c>
      <c r="H338" s="3" t="str">
        <f>IFERROR(_xlfn.XLOOKUP(A338, PublicHols[Date], PublicHols[PH_Name]),"")</f>
        <v/>
      </c>
      <c r="I338" s="4" t="str">
        <f>IF(COUNTIF(EventsAll[Date], A338)&gt;0, "Y", "N")</f>
        <v>N</v>
      </c>
      <c r="J338" s="11" t="str">
        <f>IFERROR(_xlfn.XLOOKUP(A338, EventsAll[Date], EventsAll[Event]),"")</f>
        <v/>
      </c>
      <c r="K338" s="4" t="str" cm="1">
        <f t="array" ref="K338">IF(SUMPRODUCT((A338&gt;=SchoolHols[Start])*(A338&lt;=SchoolHols[End]))&gt;0,"Y","N")</f>
        <v>N</v>
      </c>
    </row>
    <row r="339" spans="1:11">
      <c r="A339" s="6">
        <f t="shared" si="35"/>
        <v>43438</v>
      </c>
      <c r="B339" s="4" t="str">
        <f t="shared" si="30"/>
        <v>04</v>
      </c>
      <c r="C339" s="4" t="str">
        <f t="shared" si="31"/>
        <v>12</v>
      </c>
      <c r="D339" s="4" t="str">
        <f t="shared" si="32"/>
        <v>2018</v>
      </c>
      <c r="E339" s="3" t="str">
        <f t="shared" si="33"/>
        <v>Tuesday</v>
      </c>
      <c r="F339" s="4" t="str">
        <f t="shared" si="34"/>
        <v>N</v>
      </c>
      <c r="G339" s="4" t="str">
        <f>IF(COUNTIF(PublicHols[Date], A339)&gt;0, "Y", "N")</f>
        <v>N</v>
      </c>
      <c r="H339" s="3" t="str">
        <f>IFERROR(_xlfn.XLOOKUP(A339, PublicHols[Date], PublicHols[PH_Name]),"")</f>
        <v/>
      </c>
      <c r="I339" s="4" t="str">
        <f>IF(COUNTIF(EventsAll[Date], A339)&gt;0, "Y", "N")</f>
        <v>N</v>
      </c>
      <c r="J339" s="11" t="str">
        <f>IFERROR(_xlfn.XLOOKUP(A339, EventsAll[Date], EventsAll[Event]),"")</f>
        <v/>
      </c>
      <c r="K339" s="4" t="str" cm="1">
        <f t="array" ref="K339">IF(SUMPRODUCT((A339&gt;=SchoolHols[Start])*(A339&lt;=SchoolHols[End]))&gt;0,"Y","N")</f>
        <v>N</v>
      </c>
    </row>
    <row r="340" spans="1:11">
      <c r="A340" s="6">
        <f t="shared" si="35"/>
        <v>43439</v>
      </c>
      <c r="B340" s="4" t="str">
        <f t="shared" si="30"/>
        <v>05</v>
      </c>
      <c r="C340" s="4" t="str">
        <f t="shared" si="31"/>
        <v>12</v>
      </c>
      <c r="D340" s="4" t="str">
        <f t="shared" si="32"/>
        <v>2018</v>
      </c>
      <c r="E340" s="3" t="str">
        <f t="shared" si="33"/>
        <v>Wednesday</v>
      </c>
      <c r="F340" s="4" t="str">
        <f t="shared" si="34"/>
        <v>N</v>
      </c>
      <c r="G340" s="4" t="str">
        <f>IF(COUNTIF(PublicHols[Date], A340)&gt;0, "Y", "N")</f>
        <v>N</v>
      </c>
      <c r="H340" s="3" t="str">
        <f>IFERROR(_xlfn.XLOOKUP(A340, PublicHols[Date], PublicHols[PH_Name]),"")</f>
        <v/>
      </c>
      <c r="I340" s="4" t="str">
        <f>IF(COUNTIF(EventsAll[Date], A340)&gt;0, "Y", "N")</f>
        <v>N</v>
      </c>
      <c r="J340" s="11" t="str">
        <f>IFERROR(_xlfn.XLOOKUP(A340, EventsAll[Date], EventsAll[Event]),"")</f>
        <v/>
      </c>
      <c r="K340" s="4" t="str" cm="1">
        <f t="array" ref="K340">IF(SUMPRODUCT((A340&gt;=SchoolHols[Start])*(A340&lt;=SchoolHols[End]))&gt;0,"Y","N")</f>
        <v>N</v>
      </c>
    </row>
    <row r="341" spans="1:11">
      <c r="A341" s="6">
        <f t="shared" si="35"/>
        <v>43440</v>
      </c>
      <c r="B341" s="4" t="str">
        <f t="shared" si="30"/>
        <v>06</v>
      </c>
      <c r="C341" s="4" t="str">
        <f t="shared" si="31"/>
        <v>12</v>
      </c>
      <c r="D341" s="4" t="str">
        <f t="shared" si="32"/>
        <v>2018</v>
      </c>
      <c r="E341" s="3" t="str">
        <f t="shared" si="33"/>
        <v>Thursday</v>
      </c>
      <c r="F341" s="4" t="str">
        <f t="shared" si="34"/>
        <v>N</v>
      </c>
      <c r="G341" s="4" t="str">
        <f>IF(COUNTIF(PublicHols[Date], A341)&gt;0, "Y", "N")</f>
        <v>N</v>
      </c>
      <c r="H341" s="3" t="str">
        <f>IFERROR(_xlfn.XLOOKUP(A341, PublicHols[Date], PublicHols[PH_Name]),"")</f>
        <v/>
      </c>
      <c r="I341" s="4" t="str">
        <f>IF(COUNTIF(EventsAll[Date], A341)&gt;0, "Y", "N")</f>
        <v>N</v>
      </c>
      <c r="J341" s="11" t="str">
        <f>IFERROR(_xlfn.XLOOKUP(A341, EventsAll[Date], EventsAll[Event]),"")</f>
        <v/>
      </c>
      <c r="K341" s="4" t="str" cm="1">
        <f t="array" ref="K341">IF(SUMPRODUCT((A341&gt;=SchoolHols[Start])*(A341&lt;=SchoolHols[End]))&gt;0,"Y","N")</f>
        <v>N</v>
      </c>
    </row>
    <row r="342" spans="1:11">
      <c r="A342" s="6">
        <f t="shared" si="35"/>
        <v>43441</v>
      </c>
      <c r="B342" s="4" t="str">
        <f t="shared" si="30"/>
        <v>07</v>
      </c>
      <c r="C342" s="4" t="str">
        <f t="shared" si="31"/>
        <v>12</v>
      </c>
      <c r="D342" s="4" t="str">
        <f t="shared" si="32"/>
        <v>2018</v>
      </c>
      <c r="E342" s="3" t="str">
        <f t="shared" si="33"/>
        <v>Friday</v>
      </c>
      <c r="F342" s="4" t="str">
        <f t="shared" si="34"/>
        <v>N</v>
      </c>
      <c r="G342" s="4" t="str">
        <f>IF(COUNTIF(PublicHols[Date], A342)&gt;0, "Y", "N")</f>
        <v>N</v>
      </c>
      <c r="H342" s="3" t="str">
        <f>IFERROR(_xlfn.XLOOKUP(A342, PublicHols[Date], PublicHols[PH_Name]),"")</f>
        <v/>
      </c>
      <c r="I342" s="4" t="str">
        <f>IF(COUNTIF(EventsAll[Date], A342)&gt;0, "Y", "N")</f>
        <v>N</v>
      </c>
      <c r="J342" s="11" t="str">
        <f>IFERROR(_xlfn.XLOOKUP(A342, EventsAll[Date], EventsAll[Event]),"")</f>
        <v/>
      </c>
      <c r="K342" s="4" t="str" cm="1">
        <f t="array" ref="K342">IF(SUMPRODUCT((A342&gt;=SchoolHols[Start])*(A342&lt;=SchoolHols[End]))&gt;0,"Y","N")</f>
        <v>N</v>
      </c>
    </row>
    <row r="343" spans="1:11">
      <c r="A343" s="6">
        <f t="shared" si="35"/>
        <v>43442</v>
      </c>
      <c r="B343" s="4" t="str">
        <f t="shared" si="30"/>
        <v>08</v>
      </c>
      <c r="C343" s="4" t="str">
        <f t="shared" si="31"/>
        <v>12</v>
      </c>
      <c r="D343" s="4" t="str">
        <f t="shared" si="32"/>
        <v>2018</v>
      </c>
      <c r="E343" s="3" t="str">
        <f t="shared" si="33"/>
        <v>Saturday</v>
      </c>
      <c r="F343" s="4" t="str">
        <f t="shared" si="34"/>
        <v>N</v>
      </c>
      <c r="G343" s="4" t="str">
        <f>IF(COUNTIF(PublicHols[Date], A343)&gt;0, "Y", "N")</f>
        <v>N</v>
      </c>
      <c r="H343" s="3" t="str">
        <f>IFERROR(_xlfn.XLOOKUP(A343, PublicHols[Date], PublicHols[PH_Name]),"")</f>
        <v/>
      </c>
      <c r="I343" s="4" t="str">
        <f>IF(COUNTIF(EventsAll[Date], A343)&gt;0, "Y", "N")</f>
        <v>N</v>
      </c>
      <c r="J343" s="11" t="str">
        <f>IFERROR(_xlfn.XLOOKUP(A343, EventsAll[Date], EventsAll[Event]),"")</f>
        <v/>
      </c>
      <c r="K343" s="4" t="str" cm="1">
        <f t="array" ref="K343">IF(SUMPRODUCT((A343&gt;=SchoolHols[Start])*(A343&lt;=SchoolHols[End]))&gt;0,"Y","N")</f>
        <v>N</v>
      </c>
    </row>
    <row r="344" spans="1:11">
      <c r="A344" s="6">
        <f t="shared" si="35"/>
        <v>43443</v>
      </c>
      <c r="B344" s="4" t="str">
        <f t="shared" si="30"/>
        <v>09</v>
      </c>
      <c r="C344" s="4" t="str">
        <f t="shared" si="31"/>
        <v>12</v>
      </c>
      <c r="D344" s="4" t="str">
        <f t="shared" si="32"/>
        <v>2018</v>
      </c>
      <c r="E344" s="3" t="str">
        <f t="shared" si="33"/>
        <v>Sunday</v>
      </c>
      <c r="F344" s="4" t="str">
        <f t="shared" si="34"/>
        <v>Y</v>
      </c>
      <c r="G344" s="4" t="str">
        <f>IF(COUNTIF(PublicHols[Date], A344)&gt;0, "Y", "N")</f>
        <v>N</v>
      </c>
      <c r="H344" s="3" t="str">
        <f>IFERROR(_xlfn.XLOOKUP(A344, PublicHols[Date], PublicHols[PH_Name]),"")</f>
        <v/>
      </c>
      <c r="I344" s="4" t="str">
        <f>IF(COUNTIF(EventsAll[Date], A344)&gt;0, "Y", "N")</f>
        <v>N</v>
      </c>
      <c r="J344" s="11" t="str">
        <f>IFERROR(_xlfn.XLOOKUP(A344, EventsAll[Date], EventsAll[Event]),"")</f>
        <v/>
      </c>
      <c r="K344" s="4" t="str" cm="1">
        <f t="array" ref="K344">IF(SUMPRODUCT((A344&gt;=SchoolHols[Start])*(A344&lt;=SchoolHols[End]))&gt;0,"Y","N")</f>
        <v>N</v>
      </c>
    </row>
    <row r="345" spans="1:11">
      <c r="A345" s="6">
        <f t="shared" si="35"/>
        <v>43444</v>
      </c>
      <c r="B345" s="4" t="str">
        <f t="shared" si="30"/>
        <v>10</v>
      </c>
      <c r="C345" s="4" t="str">
        <f t="shared" si="31"/>
        <v>12</v>
      </c>
      <c r="D345" s="4" t="str">
        <f t="shared" si="32"/>
        <v>2018</v>
      </c>
      <c r="E345" s="3" t="str">
        <f t="shared" si="33"/>
        <v>Monday</v>
      </c>
      <c r="F345" s="4" t="str">
        <f t="shared" si="34"/>
        <v>N</v>
      </c>
      <c r="G345" s="4" t="str">
        <f>IF(COUNTIF(PublicHols[Date], A345)&gt;0, "Y", "N")</f>
        <v>N</v>
      </c>
      <c r="H345" s="3" t="str">
        <f>IFERROR(_xlfn.XLOOKUP(A345, PublicHols[Date], PublicHols[PH_Name]),"")</f>
        <v/>
      </c>
      <c r="I345" s="4" t="str">
        <f>IF(COUNTIF(EventsAll[Date], A345)&gt;0, "Y", "N")</f>
        <v>N</v>
      </c>
      <c r="J345" s="11" t="str">
        <f>IFERROR(_xlfn.XLOOKUP(A345, EventsAll[Date], EventsAll[Event]),"")</f>
        <v/>
      </c>
      <c r="K345" s="4" t="str" cm="1">
        <f t="array" ref="K345">IF(SUMPRODUCT((A345&gt;=SchoolHols[Start])*(A345&lt;=SchoolHols[End]))&gt;0,"Y","N")</f>
        <v>N</v>
      </c>
    </row>
    <row r="346" spans="1:11">
      <c r="A346" s="6">
        <f t="shared" si="35"/>
        <v>43445</v>
      </c>
      <c r="B346" s="4" t="str">
        <f t="shared" si="30"/>
        <v>11</v>
      </c>
      <c r="C346" s="4" t="str">
        <f t="shared" si="31"/>
        <v>12</v>
      </c>
      <c r="D346" s="4" t="str">
        <f t="shared" si="32"/>
        <v>2018</v>
      </c>
      <c r="E346" s="3" t="str">
        <f t="shared" si="33"/>
        <v>Tuesday</v>
      </c>
      <c r="F346" s="4" t="str">
        <f t="shared" si="34"/>
        <v>N</v>
      </c>
      <c r="G346" s="4" t="str">
        <f>IF(COUNTIF(PublicHols[Date], A346)&gt;0, "Y", "N")</f>
        <v>N</v>
      </c>
      <c r="H346" s="3" t="str">
        <f>IFERROR(_xlfn.XLOOKUP(A346, PublicHols[Date], PublicHols[PH_Name]),"")</f>
        <v/>
      </c>
      <c r="I346" s="4" t="str">
        <f>IF(COUNTIF(EventsAll[Date], A346)&gt;0, "Y", "N")</f>
        <v>N</v>
      </c>
      <c r="J346" s="11" t="str">
        <f>IFERROR(_xlfn.XLOOKUP(A346, EventsAll[Date], EventsAll[Event]),"")</f>
        <v/>
      </c>
      <c r="K346" s="4" t="str" cm="1">
        <f t="array" ref="K346">IF(SUMPRODUCT((A346&gt;=SchoolHols[Start])*(A346&lt;=SchoolHols[End]))&gt;0,"Y","N")</f>
        <v>N</v>
      </c>
    </row>
    <row r="347" spans="1:11">
      <c r="A347" s="6">
        <f t="shared" si="35"/>
        <v>43446</v>
      </c>
      <c r="B347" s="4" t="str">
        <f t="shared" si="30"/>
        <v>12</v>
      </c>
      <c r="C347" s="4" t="str">
        <f t="shared" si="31"/>
        <v>12</v>
      </c>
      <c r="D347" s="4" t="str">
        <f t="shared" si="32"/>
        <v>2018</v>
      </c>
      <c r="E347" s="3" t="str">
        <f t="shared" si="33"/>
        <v>Wednesday</v>
      </c>
      <c r="F347" s="4" t="str">
        <f t="shared" si="34"/>
        <v>N</v>
      </c>
      <c r="G347" s="4" t="str">
        <f>IF(COUNTIF(PublicHols[Date], A347)&gt;0, "Y", "N")</f>
        <v>N</v>
      </c>
      <c r="H347" s="3" t="str">
        <f>IFERROR(_xlfn.XLOOKUP(A347, PublicHols[Date], PublicHols[PH_Name]),"")</f>
        <v/>
      </c>
      <c r="I347" s="4" t="str">
        <f>IF(COUNTIF(EventsAll[Date], A347)&gt;0, "Y", "N")</f>
        <v>N</v>
      </c>
      <c r="J347" s="11" t="str">
        <f>IFERROR(_xlfn.XLOOKUP(A347, EventsAll[Date], EventsAll[Event]),"")</f>
        <v/>
      </c>
      <c r="K347" s="4" t="str" cm="1">
        <f t="array" ref="K347">IF(SUMPRODUCT((A347&gt;=SchoolHols[Start])*(A347&lt;=SchoolHols[End]))&gt;0,"Y","N")</f>
        <v>Y</v>
      </c>
    </row>
    <row r="348" spans="1:11">
      <c r="A348" s="6">
        <f t="shared" si="35"/>
        <v>43447</v>
      </c>
      <c r="B348" s="4" t="str">
        <f t="shared" si="30"/>
        <v>13</v>
      </c>
      <c r="C348" s="4" t="str">
        <f t="shared" si="31"/>
        <v>12</v>
      </c>
      <c r="D348" s="4" t="str">
        <f t="shared" si="32"/>
        <v>2018</v>
      </c>
      <c r="E348" s="3" t="str">
        <f t="shared" si="33"/>
        <v>Thursday</v>
      </c>
      <c r="F348" s="4" t="str">
        <f t="shared" si="34"/>
        <v>N</v>
      </c>
      <c r="G348" s="4" t="str">
        <f>IF(COUNTIF(PublicHols[Date], A348)&gt;0, "Y", "N")</f>
        <v>N</v>
      </c>
      <c r="H348" s="3" t="str">
        <f>IFERROR(_xlfn.XLOOKUP(A348, PublicHols[Date], PublicHols[PH_Name]),"")</f>
        <v/>
      </c>
      <c r="I348" s="4" t="str">
        <f>IF(COUNTIF(EventsAll[Date], A348)&gt;0, "Y", "N")</f>
        <v>N</v>
      </c>
      <c r="J348" s="11" t="str">
        <f>IFERROR(_xlfn.XLOOKUP(A348, EventsAll[Date], EventsAll[Event]),"")</f>
        <v/>
      </c>
      <c r="K348" s="4" t="str" cm="1">
        <f t="array" ref="K348">IF(SUMPRODUCT((A348&gt;=SchoolHols[Start])*(A348&lt;=SchoolHols[End]))&gt;0,"Y","N")</f>
        <v>Y</v>
      </c>
    </row>
    <row r="349" spans="1:11">
      <c r="A349" s="6">
        <f t="shared" si="35"/>
        <v>43448</v>
      </c>
      <c r="B349" s="4" t="str">
        <f t="shared" si="30"/>
        <v>14</v>
      </c>
      <c r="C349" s="4" t="str">
        <f t="shared" si="31"/>
        <v>12</v>
      </c>
      <c r="D349" s="4" t="str">
        <f t="shared" si="32"/>
        <v>2018</v>
      </c>
      <c r="E349" s="3" t="str">
        <f t="shared" si="33"/>
        <v>Friday</v>
      </c>
      <c r="F349" s="4" t="str">
        <f t="shared" si="34"/>
        <v>N</v>
      </c>
      <c r="G349" s="4" t="str">
        <f>IF(COUNTIF(PublicHols[Date], A349)&gt;0, "Y", "N")</f>
        <v>N</v>
      </c>
      <c r="H349" s="3" t="str">
        <f>IFERROR(_xlfn.XLOOKUP(A349, PublicHols[Date], PublicHols[PH_Name]),"")</f>
        <v/>
      </c>
      <c r="I349" s="4" t="str">
        <f>IF(COUNTIF(EventsAll[Date], A349)&gt;0, "Y", "N")</f>
        <v>N</v>
      </c>
      <c r="J349" s="11" t="str">
        <f>IFERROR(_xlfn.XLOOKUP(A349, EventsAll[Date], EventsAll[Event]),"")</f>
        <v/>
      </c>
      <c r="K349" s="4" t="str" cm="1">
        <f t="array" ref="K349">IF(SUMPRODUCT((A349&gt;=SchoolHols[Start])*(A349&lt;=SchoolHols[End]))&gt;0,"Y","N")</f>
        <v>Y</v>
      </c>
    </row>
    <row r="350" spans="1:11">
      <c r="A350" s="6">
        <f t="shared" si="35"/>
        <v>43449</v>
      </c>
      <c r="B350" s="4" t="str">
        <f t="shared" si="30"/>
        <v>15</v>
      </c>
      <c r="C350" s="4" t="str">
        <f t="shared" si="31"/>
        <v>12</v>
      </c>
      <c r="D350" s="4" t="str">
        <f t="shared" si="32"/>
        <v>2018</v>
      </c>
      <c r="E350" s="3" t="str">
        <f t="shared" si="33"/>
        <v>Saturday</v>
      </c>
      <c r="F350" s="4" t="str">
        <f t="shared" si="34"/>
        <v>N</v>
      </c>
      <c r="G350" s="4" t="str">
        <f>IF(COUNTIF(PublicHols[Date], A350)&gt;0, "Y", "N")</f>
        <v>N</v>
      </c>
      <c r="H350" s="3" t="str">
        <f>IFERROR(_xlfn.XLOOKUP(A350, PublicHols[Date], PublicHols[PH_Name]),"")</f>
        <v/>
      </c>
      <c r="I350" s="4" t="str">
        <f>IF(COUNTIF(EventsAll[Date], A350)&gt;0, "Y", "N")</f>
        <v>Y</v>
      </c>
      <c r="J350" s="11" t="str">
        <f>IFERROR(_xlfn.XLOOKUP(A350, EventsAll[Date], EventsAll[Event]),"")</f>
        <v xml:space="preserve"> Peak Festive Trading</v>
      </c>
      <c r="K350" s="4" t="str" cm="1">
        <f t="array" ref="K350">IF(SUMPRODUCT((A350&gt;=SchoolHols[Start])*(A350&lt;=SchoolHols[End]))&gt;0,"Y","N")</f>
        <v>Y</v>
      </c>
    </row>
    <row r="351" spans="1:11">
      <c r="A351" s="6">
        <f t="shared" si="35"/>
        <v>43450</v>
      </c>
      <c r="B351" s="4" t="str">
        <f t="shared" si="30"/>
        <v>16</v>
      </c>
      <c r="C351" s="4" t="str">
        <f t="shared" si="31"/>
        <v>12</v>
      </c>
      <c r="D351" s="4" t="str">
        <f t="shared" si="32"/>
        <v>2018</v>
      </c>
      <c r="E351" s="3" t="str">
        <f t="shared" si="33"/>
        <v>Sunday</v>
      </c>
      <c r="F351" s="4" t="str">
        <f t="shared" si="34"/>
        <v>Y</v>
      </c>
      <c r="G351" s="4" t="str">
        <f>IF(COUNTIF(PublicHols[Date], A351)&gt;0, "Y", "N")</f>
        <v>Y</v>
      </c>
      <c r="H351" s="3" t="str">
        <f>IFERROR(_xlfn.XLOOKUP(A351, PublicHols[Date], PublicHols[PH_Name]),"")</f>
        <v>Day of Reconciliation</v>
      </c>
      <c r="I351" s="4" t="str">
        <f>IF(COUNTIF(EventsAll[Date], A351)&gt;0, "Y", "N")</f>
        <v>N</v>
      </c>
      <c r="J351" s="11" t="str">
        <f>IFERROR(_xlfn.XLOOKUP(A351, EventsAll[Date], EventsAll[Event]),"")</f>
        <v/>
      </c>
      <c r="K351" s="4" t="str" cm="1">
        <f t="array" ref="K351">IF(SUMPRODUCT((A351&gt;=SchoolHols[Start])*(A351&lt;=SchoolHols[End]))&gt;0,"Y","N")</f>
        <v>Y</v>
      </c>
    </row>
    <row r="352" spans="1:11">
      <c r="A352" s="6">
        <f t="shared" si="35"/>
        <v>43451</v>
      </c>
      <c r="B352" s="4" t="str">
        <f t="shared" si="30"/>
        <v>17</v>
      </c>
      <c r="C352" s="4" t="str">
        <f t="shared" si="31"/>
        <v>12</v>
      </c>
      <c r="D352" s="4" t="str">
        <f t="shared" si="32"/>
        <v>2018</v>
      </c>
      <c r="E352" s="3" t="str">
        <f t="shared" si="33"/>
        <v>Monday</v>
      </c>
      <c r="F352" s="4" t="str">
        <f t="shared" si="34"/>
        <v>N</v>
      </c>
      <c r="G352" s="4" t="str">
        <f>IF(COUNTIF(PublicHols[Date], A352)&gt;0, "Y", "N")</f>
        <v>Y</v>
      </c>
      <c r="H352" s="3" t="str">
        <f>IFERROR(_xlfn.XLOOKUP(A352, PublicHols[Date], PublicHols[PH_Name]),"")</f>
        <v>Public Holiday (Observed)</v>
      </c>
      <c r="I352" s="4" t="str">
        <f>IF(COUNTIF(EventsAll[Date], A352)&gt;0, "Y", "N")</f>
        <v>N</v>
      </c>
      <c r="J352" s="11" t="str">
        <f>IFERROR(_xlfn.XLOOKUP(A352, EventsAll[Date], EventsAll[Event]),"")</f>
        <v/>
      </c>
      <c r="K352" s="4" t="str" cm="1">
        <f t="array" ref="K352">IF(SUMPRODUCT((A352&gt;=SchoolHols[Start])*(A352&lt;=SchoolHols[End]))&gt;0,"Y","N")</f>
        <v>Y</v>
      </c>
    </row>
    <row r="353" spans="1:11">
      <c r="A353" s="6">
        <f t="shared" si="35"/>
        <v>43452</v>
      </c>
      <c r="B353" s="4" t="str">
        <f t="shared" si="30"/>
        <v>18</v>
      </c>
      <c r="C353" s="4" t="str">
        <f t="shared" si="31"/>
        <v>12</v>
      </c>
      <c r="D353" s="4" t="str">
        <f t="shared" si="32"/>
        <v>2018</v>
      </c>
      <c r="E353" s="3" t="str">
        <f t="shared" si="33"/>
        <v>Tuesday</v>
      </c>
      <c r="F353" s="4" t="str">
        <f t="shared" si="34"/>
        <v>N</v>
      </c>
      <c r="G353" s="4" t="str">
        <f>IF(COUNTIF(PublicHols[Date], A353)&gt;0, "Y", "N")</f>
        <v>N</v>
      </c>
      <c r="H353" s="3" t="str">
        <f>IFERROR(_xlfn.XLOOKUP(A353, PublicHols[Date], PublicHols[PH_Name]),"")</f>
        <v/>
      </c>
      <c r="I353" s="4" t="str">
        <f>IF(COUNTIF(EventsAll[Date], A353)&gt;0, "Y", "N")</f>
        <v>N</v>
      </c>
      <c r="J353" s="11" t="str">
        <f>IFERROR(_xlfn.XLOOKUP(A353, EventsAll[Date], EventsAll[Event]),"")</f>
        <v/>
      </c>
      <c r="K353" s="4" t="str" cm="1">
        <f t="array" ref="K353">IF(SUMPRODUCT((A353&gt;=SchoolHols[Start])*(A353&lt;=SchoolHols[End]))&gt;0,"Y","N")</f>
        <v>Y</v>
      </c>
    </row>
    <row r="354" spans="1:11">
      <c r="A354" s="6">
        <f t="shared" si="35"/>
        <v>43453</v>
      </c>
      <c r="B354" s="4" t="str">
        <f t="shared" si="30"/>
        <v>19</v>
      </c>
      <c r="C354" s="4" t="str">
        <f t="shared" si="31"/>
        <v>12</v>
      </c>
      <c r="D354" s="4" t="str">
        <f t="shared" si="32"/>
        <v>2018</v>
      </c>
      <c r="E354" s="3" t="str">
        <f t="shared" si="33"/>
        <v>Wednesday</v>
      </c>
      <c r="F354" s="4" t="str">
        <f t="shared" si="34"/>
        <v>N</v>
      </c>
      <c r="G354" s="4" t="str">
        <f>IF(COUNTIF(PublicHols[Date], A354)&gt;0, "Y", "N")</f>
        <v>N</v>
      </c>
      <c r="H354" s="3" t="str">
        <f>IFERROR(_xlfn.XLOOKUP(A354, PublicHols[Date], PublicHols[PH_Name]),"")</f>
        <v/>
      </c>
      <c r="I354" s="4" t="str">
        <f>IF(COUNTIF(EventsAll[Date], A354)&gt;0, "Y", "N")</f>
        <v>N</v>
      </c>
      <c r="J354" s="11" t="str">
        <f>IFERROR(_xlfn.XLOOKUP(A354, EventsAll[Date], EventsAll[Event]),"")</f>
        <v/>
      </c>
      <c r="K354" s="4" t="str" cm="1">
        <f t="array" ref="K354">IF(SUMPRODUCT((A354&gt;=SchoolHols[Start])*(A354&lt;=SchoolHols[End]))&gt;0,"Y","N")</f>
        <v>Y</v>
      </c>
    </row>
    <row r="355" spans="1:11">
      <c r="A355" s="6">
        <f t="shared" si="35"/>
        <v>43454</v>
      </c>
      <c r="B355" s="4" t="str">
        <f t="shared" si="30"/>
        <v>20</v>
      </c>
      <c r="C355" s="4" t="str">
        <f t="shared" si="31"/>
        <v>12</v>
      </c>
      <c r="D355" s="4" t="str">
        <f t="shared" si="32"/>
        <v>2018</v>
      </c>
      <c r="E355" s="3" t="str">
        <f t="shared" si="33"/>
        <v>Thursday</v>
      </c>
      <c r="F355" s="4" t="str">
        <f t="shared" si="34"/>
        <v>N</v>
      </c>
      <c r="G355" s="4" t="str">
        <f>IF(COUNTIF(PublicHols[Date], A355)&gt;0, "Y", "N")</f>
        <v>N</v>
      </c>
      <c r="H355" s="3" t="str">
        <f>IFERROR(_xlfn.XLOOKUP(A355, PublicHols[Date], PublicHols[PH_Name]),"")</f>
        <v/>
      </c>
      <c r="I355" s="4" t="str">
        <f>IF(COUNTIF(EventsAll[Date], A355)&gt;0, "Y", "N")</f>
        <v>N</v>
      </c>
      <c r="J355" s="11" t="str">
        <f>IFERROR(_xlfn.XLOOKUP(A355, EventsAll[Date], EventsAll[Event]),"")</f>
        <v/>
      </c>
      <c r="K355" s="4" t="str" cm="1">
        <f t="array" ref="K355">IF(SUMPRODUCT((A355&gt;=SchoolHols[Start])*(A355&lt;=SchoolHols[End]))&gt;0,"Y","N")</f>
        <v>Y</v>
      </c>
    </row>
    <row r="356" spans="1:11">
      <c r="A356" s="6">
        <f t="shared" si="35"/>
        <v>43455</v>
      </c>
      <c r="B356" s="4" t="str">
        <f t="shared" si="30"/>
        <v>21</v>
      </c>
      <c r="C356" s="4" t="str">
        <f t="shared" si="31"/>
        <v>12</v>
      </c>
      <c r="D356" s="4" t="str">
        <f t="shared" si="32"/>
        <v>2018</v>
      </c>
      <c r="E356" s="3" t="str">
        <f t="shared" si="33"/>
        <v>Friday</v>
      </c>
      <c r="F356" s="4" t="str">
        <f t="shared" si="34"/>
        <v>N</v>
      </c>
      <c r="G356" s="4" t="str">
        <f>IF(COUNTIF(PublicHols[Date], A356)&gt;0, "Y", "N")</f>
        <v>N</v>
      </c>
      <c r="H356" s="3" t="str">
        <f>IFERROR(_xlfn.XLOOKUP(A356, PublicHols[Date], PublicHols[PH_Name]),"")</f>
        <v/>
      </c>
      <c r="I356" s="4" t="str">
        <f>IF(COUNTIF(EventsAll[Date], A356)&gt;0, "Y", "N")</f>
        <v>N</v>
      </c>
      <c r="J356" s="11" t="str">
        <f>IFERROR(_xlfn.XLOOKUP(A356, EventsAll[Date], EventsAll[Event]),"")</f>
        <v/>
      </c>
      <c r="K356" s="4" t="str" cm="1">
        <f t="array" ref="K356">IF(SUMPRODUCT((A356&gt;=SchoolHols[Start])*(A356&lt;=SchoolHols[End]))&gt;0,"Y","N")</f>
        <v>Y</v>
      </c>
    </row>
    <row r="357" spans="1:11">
      <c r="A357" s="6">
        <f t="shared" si="35"/>
        <v>43456</v>
      </c>
      <c r="B357" s="4" t="str">
        <f t="shared" si="30"/>
        <v>22</v>
      </c>
      <c r="C357" s="4" t="str">
        <f t="shared" si="31"/>
        <v>12</v>
      </c>
      <c r="D357" s="4" t="str">
        <f t="shared" si="32"/>
        <v>2018</v>
      </c>
      <c r="E357" s="3" t="str">
        <f t="shared" si="33"/>
        <v>Saturday</v>
      </c>
      <c r="F357" s="4" t="str">
        <f t="shared" si="34"/>
        <v>N</v>
      </c>
      <c r="G357" s="4" t="str">
        <f>IF(COUNTIF(PublicHols[Date], A357)&gt;0, "Y", "N")</f>
        <v>N</v>
      </c>
      <c r="H357" s="3" t="str">
        <f>IFERROR(_xlfn.XLOOKUP(A357, PublicHols[Date], PublicHols[PH_Name]),"")</f>
        <v/>
      </c>
      <c r="I357" s="4" t="str">
        <f>IF(COUNTIF(EventsAll[Date], A357)&gt;0, "Y", "N")</f>
        <v>N</v>
      </c>
      <c r="J357" s="11" t="str">
        <f>IFERROR(_xlfn.XLOOKUP(A357, EventsAll[Date], EventsAll[Event]),"")</f>
        <v/>
      </c>
      <c r="K357" s="4" t="str" cm="1">
        <f t="array" ref="K357">IF(SUMPRODUCT((A357&gt;=SchoolHols[Start])*(A357&lt;=SchoolHols[End]))&gt;0,"Y","N")</f>
        <v>Y</v>
      </c>
    </row>
    <row r="358" spans="1:11">
      <c r="A358" s="6">
        <f t="shared" si="35"/>
        <v>43457</v>
      </c>
      <c r="B358" s="4" t="str">
        <f t="shared" si="30"/>
        <v>23</v>
      </c>
      <c r="C358" s="4" t="str">
        <f t="shared" si="31"/>
        <v>12</v>
      </c>
      <c r="D358" s="4" t="str">
        <f t="shared" si="32"/>
        <v>2018</v>
      </c>
      <c r="E358" s="3" t="str">
        <f t="shared" si="33"/>
        <v>Sunday</v>
      </c>
      <c r="F358" s="4" t="str">
        <f t="shared" si="34"/>
        <v>Y</v>
      </c>
      <c r="G358" s="4" t="str">
        <f>IF(COUNTIF(PublicHols[Date], A358)&gt;0, "Y", "N")</f>
        <v>N</v>
      </c>
      <c r="H358" s="3" t="str">
        <f>IFERROR(_xlfn.XLOOKUP(A358, PublicHols[Date], PublicHols[PH_Name]),"")</f>
        <v/>
      </c>
      <c r="I358" s="4" t="str">
        <f>IF(COUNTIF(EventsAll[Date], A358)&gt;0, "Y", "N")</f>
        <v>N</v>
      </c>
      <c r="J358" s="11" t="str">
        <f>IFERROR(_xlfn.XLOOKUP(A358, EventsAll[Date], EventsAll[Event]),"")</f>
        <v/>
      </c>
      <c r="K358" s="4" t="str" cm="1">
        <f t="array" ref="K358">IF(SUMPRODUCT((A358&gt;=SchoolHols[Start])*(A358&lt;=SchoolHols[End]))&gt;0,"Y","N")</f>
        <v>Y</v>
      </c>
    </row>
    <row r="359" spans="1:11">
      <c r="A359" s="6">
        <f t="shared" si="35"/>
        <v>43458</v>
      </c>
      <c r="B359" s="4" t="str">
        <f t="shared" si="30"/>
        <v>24</v>
      </c>
      <c r="C359" s="4" t="str">
        <f t="shared" si="31"/>
        <v>12</v>
      </c>
      <c r="D359" s="4" t="str">
        <f t="shared" si="32"/>
        <v>2018</v>
      </c>
      <c r="E359" s="3" t="str">
        <f t="shared" si="33"/>
        <v>Monday</v>
      </c>
      <c r="F359" s="4" t="str">
        <f t="shared" si="34"/>
        <v>N</v>
      </c>
      <c r="G359" s="4" t="str">
        <f>IF(COUNTIF(PublicHols[Date], A359)&gt;0, "Y", "N")</f>
        <v>N</v>
      </c>
      <c r="H359" s="3" t="str">
        <f>IFERROR(_xlfn.XLOOKUP(A359, PublicHols[Date], PublicHols[PH_Name]),"")</f>
        <v/>
      </c>
      <c r="I359" s="4" t="str">
        <f>IF(COUNTIF(EventsAll[Date], A359)&gt;0, "Y", "N")</f>
        <v>N</v>
      </c>
      <c r="J359" s="11" t="str">
        <f>IFERROR(_xlfn.XLOOKUP(A359, EventsAll[Date], EventsAll[Event]),"")</f>
        <v/>
      </c>
      <c r="K359" s="4" t="str" cm="1">
        <f t="array" ref="K359">IF(SUMPRODUCT((A359&gt;=SchoolHols[Start])*(A359&lt;=SchoolHols[End]))&gt;0,"Y","N")</f>
        <v>Y</v>
      </c>
    </row>
    <row r="360" spans="1:11">
      <c r="A360" s="6">
        <f t="shared" si="35"/>
        <v>43459</v>
      </c>
      <c r="B360" s="4" t="str">
        <f t="shared" si="30"/>
        <v>25</v>
      </c>
      <c r="C360" s="4" t="str">
        <f t="shared" si="31"/>
        <v>12</v>
      </c>
      <c r="D360" s="4" t="str">
        <f t="shared" si="32"/>
        <v>2018</v>
      </c>
      <c r="E360" s="3" t="str">
        <f t="shared" si="33"/>
        <v>Tuesday</v>
      </c>
      <c r="F360" s="4" t="str">
        <f t="shared" si="34"/>
        <v>N</v>
      </c>
      <c r="G360" s="4" t="str">
        <f>IF(COUNTIF(PublicHols[Date], A360)&gt;0, "Y", "N")</f>
        <v>Y</v>
      </c>
      <c r="H360" s="3" t="str">
        <f>IFERROR(_xlfn.XLOOKUP(A360, PublicHols[Date], PublicHols[PH_Name]),"")</f>
        <v>Christmas Day</v>
      </c>
      <c r="I360" s="4" t="str">
        <f>IF(COUNTIF(EventsAll[Date], A360)&gt;0, "Y", "N")</f>
        <v>N</v>
      </c>
      <c r="J360" s="11" t="str">
        <f>IFERROR(_xlfn.XLOOKUP(A360, EventsAll[Date], EventsAll[Event]),"")</f>
        <v/>
      </c>
      <c r="K360" s="4" t="str" cm="1">
        <f t="array" ref="K360">IF(SUMPRODUCT((A360&gt;=SchoolHols[Start])*(A360&lt;=SchoolHols[End]))&gt;0,"Y","N")</f>
        <v>Y</v>
      </c>
    </row>
    <row r="361" spans="1:11">
      <c r="A361" s="6">
        <f t="shared" si="35"/>
        <v>43460</v>
      </c>
      <c r="B361" s="4" t="str">
        <f t="shared" si="30"/>
        <v>26</v>
      </c>
      <c r="C361" s="4" t="str">
        <f t="shared" si="31"/>
        <v>12</v>
      </c>
      <c r="D361" s="4" t="str">
        <f t="shared" si="32"/>
        <v>2018</v>
      </c>
      <c r="E361" s="3" t="str">
        <f t="shared" si="33"/>
        <v>Wednesday</v>
      </c>
      <c r="F361" s="4" t="str">
        <f t="shared" si="34"/>
        <v>N</v>
      </c>
      <c r="G361" s="4" t="str">
        <f>IF(COUNTIF(PublicHols[Date], A361)&gt;0, "Y", "N")</f>
        <v>Y</v>
      </c>
      <c r="H361" s="3" t="str">
        <f>IFERROR(_xlfn.XLOOKUP(A361, PublicHols[Date], PublicHols[PH_Name]),"")</f>
        <v>Day of Goodwill</v>
      </c>
      <c r="I361" s="4" t="str">
        <f>IF(COUNTIF(EventsAll[Date], A361)&gt;0, "Y", "N")</f>
        <v>N</v>
      </c>
      <c r="J361" s="11" t="str">
        <f>IFERROR(_xlfn.XLOOKUP(A361, EventsAll[Date], EventsAll[Event]),"")</f>
        <v/>
      </c>
      <c r="K361" s="4" t="str" cm="1">
        <f t="array" ref="K361">IF(SUMPRODUCT((A361&gt;=SchoolHols[Start])*(A361&lt;=SchoolHols[End]))&gt;0,"Y","N")</f>
        <v>Y</v>
      </c>
    </row>
    <row r="362" spans="1:11">
      <c r="A362" s="6">
        <f t="shared" si="35"/>
        <v>43461</v>
      </c>
      <c r="B362" s="4" t="str">
        <f t="shared" si="30"/>
        <v>27</v>
      </c>
      <c r="C362" s="4" t="str">
        <f t="shared" si="31"/>
        <v>12</v>
      </c>
      <c r="D362" s="4" t="str">
        <f t="shared" si="32"/>
        <v>2018</v>
      </c>
      <c r="E362" s="3" t="str">
        <f t="shared" si="33"/>
        <v>Thursday</v>
      </c>
      <c r="F362" s="4" t="str">
        <f t="shared" si="34"/>
        <v>N</v>
      </c>
      <c r="G362" s="4" t="str">
        <f>IF(COUNTIF(PublicHols[Date], A362)&gt;0, "Y", "N")</f>
        <v>N</v>
      </c>
      <c r="H362" s="3" t="str">
        <f>IFERROR(_xlfn.XLOOKUP(A362, PublicHols[Date], PublicHols[PH_Name]),"")</f>
        <v/>
      </c>
      <c r="I362" s="4" t="str">
        <f>IF(COUNTIF(EventsAll[Date], A362)&gt;0, "Y", "N")</f>
        <v>N</v>
      </c>
      <c r="J362" s="11" t="str">
        <f>IFERROR(_xlfn.XLOOKUP(A362, EventsAll[Date], EventsAll[Event]),"")</f>
        <v/>
      </c>
      <c r="K362" s="4" t="str" cm="1">
        <f t="array" ref="K362">IF(SUMPRODUCT((A362&gt;=SchoolHols[Start])*(A362&lt;=SchoolHols[End]))&gt;0,"Y","N")</f>
        <v>Y</v>
      </c>
    </row>
    <row r="363" spans="1:11">
      <c r="A363" s="6">
        <f t="shared" si="35"/>
        <v>43462</v>
      </c>
      <c r="B363" s="4" t="str">
        <f t="shared" si="30"/>
        <v>28</v>
      </c>
      <c r="C363" s="4" t="str">
        <f t="shared" si="31"/>
        <v>12</v>
      </c>
      <c r="D363" s="4" t="str">
        <f t="shared" si="32"/>
        <v>2018</v>
      </c>
      <c r="E363" s="3" t="str">
        <f t="shared" si="33"/>
        <v>Friday</v>
      </c>
      <c r="F363" s="4" t="str">
        <f t="shared" si="34"/>
        <v>N</v>
      </c>
      <c r="G363" s="4" t="str">
        <f>IF(COUNTIF(PublicHols[Date], A363)&gt;0, "Y", "N")</f>
        <v>N</v>
      </c>
      <c r="H363" s="3" t="str">
        <f>IFERROR(_xlfn.XLOOKUP(A363, PublicHols[Date], PublicHols[PH_Name]),"")</f>
        <v/>
      </c>
      <c r="I363" s="4" t="str">
        <f>IF(COUNTIF(EventsAll[Date], A363)&gt;0, "Y", "N")</f>
        <v>N</v>
      </c>
      <c r="J363" s="11" t="str">
        <f>IFERROR(_xlfn.XLOOKUP(A363, EventsAll[Date], EventsAll[Event]),"")</f>
        <v/>
      </c>
      <c r="K363" s="4" t="str" cm="1">
        <f t="array" ref="K363">IF(SUMPRODUCT((A363&gt;=SchoolHols[Start])*(A363&lt;=SchoolHols[End]))&gt;0,"Y","N")</f>
        <v>Y</v>
      </c>
    </row>
    <row r="364" spans="1:11">
      <c r="A364" s="6">
        <f t="shared" si="35"/>
        <v>43463</v>
      </c>
      <c r="B364" s="4" t="str">
        <f t="shared" si="30"/>
        <v>29</v>
      </c>
      <c r="C364" s="4" t="str">
        <f t="shared" si="31"/>
        <v>12</v>
      </c>
      <c r="D364" s="4" t="str">
        <f t="shared" si="32"/>
        <v>2018</v>
      </c>
      <c r="E364" s="3" t="str">
        <f t="shared" si="33"/>
        <v>Saturday</v>
      </c>
      <c r="F364" s="4" t="str">
        <f t="shared" si="34"/>
        <v>N</v>
      </c>
      <c r="G364" s="4" t="str">
        <f>IF(COUNTIF(PublicHols[Date], A364)&gt;0, "Y", "N")</f>
        <v>N</v>
      </c>
      <c r="H364" s="3" t="str">
        <f>IFERROR(_xlfn.XLOOKUP(A364, PublicHols[Date], PublicHols[PH_Name]),"")</f>
        <v/>
      </c>
      <c r="I364" s="4" t="str">
        <f>IF(COUNTIF(EventsAll[Date], A364)&gt;0, "Y", "N")</f>
        <v>N</v>
      </c>
      <c r="J364" s="11" t="str">
        <f>IFERROR(_xlfn.XLOOKUP(A364, EventsAll[Date], EventsAll[Event]),"")</f>
        <v/>
      </c>
      <c r="K364" s="4" t="str" cm="1">
        <f t="array" ref="K364">IF(SUMPRODUCT((A364&gt;=SchoolHols[Start])*(A364&lt;=SchoolHols[End]))&gt;0,"Y","N")</f>
        <v>Y</v>
      </c>
    </row>
    <row r="365" spans="1:11">
      <c r="A365" s="6">
        <f t="shared" si="35"/>
        <v>43464</v>
      </c>
      <c r="B365" s="4" t="str">
        <f t="shared" si="30"/>
        <v>30</v>
      </c>
      <c r="C365" s="4" t="str">
        <f t="shared" si="31"/>
        <v>12</v>
      </c>
      <c r="D365" s="4" t="str">
        <f t="shared" si="32"/>
        <v>2018</v>
      </c>
      <c r="E365" s="3" t="str">
        <f t="shared" si="33"/>
        <v>Sunday</v>
      </c>
      <c r="F365" s="4" t="str">
        <f t="shared" si="34"/>
        <v>Y</v>
      </c>
      <c r="G365" s="4" t="str">
        <f>IF(COUNTIF(PublicHols[Date], A365)&gt;0, "Y", "N")</f>
        <v>N</v>
      </c>
      <c r="H365" s="3" t="str">
        <f>IFERROR(_xlfn.XLOOKUP(A365, PublicHols[Date], PublicHols[PH_Name]),"")</f>
        <v/>
      </c>
      <c r="I365" s="4" t="str">
        <f>IF(COUNTIF(EventsAll[Date], A365)&gt;0, "Y", "N")</f>
        <v>N</v>
      </c>
      <c r="J365" s="11" t="str">
        <f>IFERROR(_xlfn.XLOOKUP(A365, EventsAll[Date], EventsAll[Event]),"")</f>
        <v/>
      </c>
      <c r="K365" s="4" t="str" cm="1">
        <f t="array" ref="K365">IF(SUMPRODUCT((A365&gt;=SchoolHols[Start])*(A365&lt;=SchoolHols[End]))&gt;0,"Y","N")</f>
        <v>Y</v>
      </c>
    </row>
    <row r="366" spans="1:11">
      <c r="A366" s="6">
        <f t="shared" si="35"/>
        <v>43465</v>
      </c>
      <c r="B366" s="4" t="str">
        <f t="shared" si="30"/>
        <v>31</v>
      </c>
      <c r="C366" s="4" t="str">
        <f t="shared" si="31"/>
        <v>12</v>
      </c>
      <c r="D366" s="4" t="str">
        <f t="shared" si="32"/>
        <v>2018</v>
      </c>
      <c r="E366" s="3" t="str">
        <f t="shared" si="33"/>
        <v>Monday</v>
      </c>
      <c r="F366" s="4" t="str">
        <f t="shared" si="34"/>
        <v>N</v>
      </c>
      <c r="G366" s="4" t="str">
        <f>IF(COUNTIF(PublicHols[Date], A366)&gt;0, "Y", "N")</f>
        <v>N</v>
      </c>
      <c r="H366" s="3" t="str">
        <f>IFERROR(_xlfn.XLOOKUP(A366, PublicHols[Date], PublicHols[PH_Name]),"")</f>
        <v/>
      </c>
      <c r="I366" s="4" t="str">
        <f>IF(COUNTIF(EventsAll[Date], A366)&gt;0, "Y", "N")</f>
        <v>Y</v>
      </c>
      <c r="J366" s="11" t="str">
        <f>IFERROR(_xlfn.XLOOKUP(A366, EventsAll[Date], EventsAll[Event]),"")</f>
        <v>New Years Eve</v>
      </c>
      <c r="K366" s="4" t="str" cm="1">
        <f t="array" ref="K366">IF(SUMPRODUCT((A366&gt;=SchoolHols[Start])*(A366&lt;=SchoolHols[End]))&gt;0,"Y","N")</f>
        <v>Y</v>
      </c>
    </row>
  </sheetData>
  <sheetProtection sheet="1" selectLockedCells="1"/>
  <phoneticPr fontId="2" type="noConversion"/>
  <conditionalFormatting sqref="A2:K367">
    <cfRule type="expression" dxfId="3" priority="1">
      <formula>$G2="Y"</formula>
    </cfRule>
    <cfRule type="expression" dxfId="2" priority="2">
      <formula>$F2="Y"</formula>
    </cfRule>
    <cfRule type="expression" dxfId="1" priority="3">
      <formula>$I2="Y"</formula>
    </cfRule>
    <cfRule type="expression" dxfId="0" priority="6" stopIfTrue="1">
      <formula>$K2="Y"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1B4EB2-B138-4ECC-9946-6206221C6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Payroll Calender</dc:title>
  <dc:subject>Work Porfolio Demo</dc:subject>
  <dc:creator>openpyxl</dc:creator>
  <cp:keywords>Calender</cp:keywords>
  <dc:description/>
  <cp:lastModifiedBy>Keith Coetzee</cp:lastModifiedBy>
  <cp:revision/>
  <dcterms:created xsi:type="dcterms:W3CDTF">2026-04-24T12:27:18Z</dcterms:created>
  <dcterms:modified xsi:type="dcterms:W3CDTF">2026-05-03T13:15:23Z</dcterms:modified>
  <cp:category/>
  <cp:contentStatus/>
</cp:coreProperties>
</file>