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keith\Downloads\"/>
    </mc:Choice>
  </mc:AlternateContent>
  <xr:revisionPtr revIDLastSave="0" documentId="13_ncr:1_{CA7A2547-34E5-4D25-8D3E-7AB873371D10}" xr6:coauthVersionLast="47" xr6:coauthVersionMax="47" xr10:uidLastSave="{00000000-0000-0000-0000-000000000000}"/>
  <workbookProtection lockStructure="1"/>
  <bookViews>
    <workbookView xWindow="-110" yWindow="-110" windowWidth="38620" windowHeight="21100" xr2:uid="{00000000-000D-0000-FFFF-FFFF00000000}"/>
  </bookViews>
  <sheets>
    <sheet name="README" sheetId="1" r:id="rId1"/>
    <sheet name="DocInfo &amp; Library" sheetId="2" r:id="rId2"/>
    <sheet name="Emp_List" sheetId="3" r:id="rId3"/>
    <sheet name="Gazetted_Rates" sheetId="4" r:id="rId4"/>
    <sheet name="HR_Private" sheetId="5" r:id="rId5"/>
    <sheet name="Role_codes" sheetId="6" r:id="rId6"/>
  </sheets>
  <definedNames>
    <definedName name="_xlnm.Print_Area" localSheetId="0">README!$A$1:$D$30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6" i="6" l="1"/>
  <c r="D16" i="6"/>
  <c r="E15" i="6"/>
  <c r="D15" i="6"/>
  <c r="E14" i="6"/>
  <c r="D14" i="6"/>
  <c r="E13" i="6"/>
  <c r="D13" i="6"/>
  <c r="E12" i="6"/>
  <c r="D12" i="6"/>
  <c r="E11" i="6"/>
  <c r="D11" i="6"/>
  <c r="E10" i="6"/>
  <c r="D10" i="6"/>
  <c r="E9" i="6"/>
  <c r="D9" i="6"/>
  <c r="E8" i="6"/>
  <c r="D8" i="6"/>
  <c r="E7" i="6"/>
  <c r="D7" i="6"/>
  <c r="E6" i="6"/>
  <c r="D6" i="6"/>
  <c r="E5" i="6"/>
  <c r="D5" i="6"/>
  <c r="E4" i="6"/>
  <c r="D4" i="6"/>
  <c r="E3" i="6"/>
  <c r="D3" i="6"/>
  <c r="E2" i="6"/>
  <c r="D2" i="6"/>
  <c r="L200" i="5"/>
  <c r="K200" i="5"/>
  <c r="I200" i="5" a="1"/>
  <c r="I200" i="5"/>
  <c r="L199" i="5"/>
  <c r="I199" i="5" a="1"/>
  <c r="I199" i="5"/>
  <c r="L198" i="5"/>
  <c r="I198" i="5" a="1"/>
  <c r="I198" i="5"/>
  <c r="L197" i="5"/>
  <c r="I197" i="5" a="1"/>
  <c r="I197" i="5"/>
  <c r="L196" i="5"/>
  <c r="I196" i="5" a="1"/>
  <c r="I196" i="5"/>
  <c r="L195" i="5"/>
  <c r="I195" i="5" a="1"/>
  <c r="I195" i="5"/>
  <c r="L194" i="5"/>
  <c r="I194" i="5" a="1"/>
  <c r="I194" i="5"/>
  <c r="L193" i="5"/>
  <c r="I193" i="5" a="1"/>
  <c r="I193" i="5"/>
  <c r="L192" i="5"/>
  <c r="I192" i="5" a="1"/>
  <c r="I192" i="5"/>
  <c r="L191" i="5"/>
  <c r="I191" i="5" a="1"/>
  <c r="I191" i="5"/>
  <c r="L190" i="5"/>
  <c r="I190" i="5" a="1"/>
  <c r="I190" i="5"/>
  <c r="L189" i="5"/>
  <c r="I189" i="5" a="1"/>
  <c r="I189" i="5"/>
  <c r="L188" i="5"/>
  <c r="I188" i="5" a="1"/>
  <c r="I188" i="5"/>
  <c r="L187" i="5"/>
  <c r="I187" i="5" a="1"/>
  <c r="I187" i="5"/>
  <c r="L186" i="5"/>
  <c r="I186" i="5" a="1"/>
  <c r="I186" i="5"/>
  <c r="L185" i="5"/>
  <c r="I185" i="5" a="1"/>
  <c r="I185" i="5"/>
  <c r="L184" i="5"/>
  <c r="I184" i="5" a="1"/>
  <c r="I184" i="5"/>
  <c r="L183" i="5"/>
  <c r="I183" i="5" a="1"/>
  <c r="I183" i="5"/>
  <c r="L182" i="5"/>
  <c r="I182" i="5" a="1"/>
  <c r="I182" i="5"/>
  <c r="L181" i="5"/>
  <c r="I181" i="5" a="1"/>
  <c r="I181" i="5"/>
  <c r="L180" i="5"/>
  <c r="I180" i="5" a="1"/>
  <c r="I180" i="5"/>
  <c r="L179" i="5"/>
  <c r="I179" i="5" a="1"/>
  <c r="I179" i="5"/>
  <c r="L178" i="5"/>
  <c r="I178" i="5" a="1"/>
  <c r="I178" i="5"/>
  <c r="L177" i="5"/>
  <c r="I177" i="5" a="1"/>
  <c r="I177" i="5"/>
  <c r="L176" i="5"/>
  <c r="I176" i="5" a="1"/>
  <c r="I176" i="5"/>
  <c r="L175" i="5"/>
  <c r="I175" i="5" a="1"/>
  <c r="I175" i="5"/>
  <c r="L174" i="5"/>
  <c r="I174" i="5" a="1"/>
  <c r="I174" i="5"/>
  <c r="L173" i="5"/>
  <c r="I173" i="5" a="1"/>
  <c r="I173" i="5"/>
  <c r="L172" i="5"/>
  <c r="I172" i="5" a="1"/>
  <c r="I172" i="5"/>
  <c r="L171" i="5"/>
  <c r="I171" i="5" a="1"/>
  <c r="I171" i="5"/>
  <c r="L170" i="5"/>
  <c r="I170" i="5" a="1"/>
  <c r="I170" i="5"/>
  <c r="L169" i="5"/>
  <c r="I169" i="5" a="1"/>
  <c r="I169" i="5"/>
  <c r="L168" i="5"/>
  <c r="I168" i="5" a="1"/>
  <c r="I168" i="5"/>
  <c r="L167" i="5"/>
  <c r="I167" i="5" a="1"/>
  <c r="I167" i="5"/>
  <c r="L166" i="5"/>
  <c r="I166" i="5" a="1"/>
  <c r="I166" i="5"/>
  <c r="L165" i="5"/>
  <c r="I165" i="5" a="1"/>
  <c r="I165" i="5"/>
  <c r="L164" i="5"/>
  <c r="I164" i="5" a="1"/>
  <c r="I164" i="5"/>
  <c r="L163" i="5"/>
  <c r="I163" i="5" a="1"/>
  <c r="I163" i="5"/>
  <c r="L162" i="5"/>
  <c r="I162" i="5" a="1"/>
  <c r="I162" i="5"/>
  <c r="L161" i="5"/>
  <c r="I161" i="5" a="1"/>
  <c r="I161" i="5"/>
  <c r="L160" i="5"/>
  <c r="I160" i="5" a="1"/>
  <c r="I160" i="5"/>
  <c r="L159" i="5"/>
  <c r="I159" i="5" a="1"/>
  <c r="I159" i="5"/>
  <c r="L158" i="5"/>
  <c r="I158" i="5" a="1"/>
  <c r="I158" i="5"/>
  <c r="L157" i="5"/>
  <c r="I157" i="5" a="1"/>
  <c r="I157" i="5"/>
  <c r="L156" i="5"/>
  <c r="I156" i="5" a="1"/>
  <c r="I156" i="5"/>
  <c r="L155" i="5"/>
  <c r="I155" i="5" a="1"/>
  <c r="I155" i="5"/>
  <c r="L154" i="5"/>
  <c r="I154" i="5" a="1"/>
  <c r="I154" i="5"/>
  <c r="L153" i="5"/>
  <c r="I153" i="5" a="1"/>
  <c r="I153" i="5"/>
  <c r="L152" i="5"/>
  <c r="I152" i="5" a="1"/>
  <c r="I152" i="5"/>
  <c r="L151" i="5"/>
  <c r="I151" i="5" a="1"/>
  <c r="I151" i="5"/>
  <c r="L150" i="5"/>
  <c r="I150" i="5" a="1"/>
  <c r="I150" i="5"/>
  <c r="L149" i="5"/>
  <c r="I149" i="5" a="1"/>
  <c r="I149" i="5"/>
  <c r="L148" i="5"/>
  <c r="I148" i="5" a="1"/>
  <c r="I148" i="5"/>
  <c r="L147" i="5"/>
  <c r="I147" i="5" a="1"/>
  <c r="I147" i="5"/>
  <c r="L146" i="5"/>
  <c r="I146" i="5" a="1"/>
  <c r="I146" i="5"/>
  <c r="L145" i="5"/>
  <c r="I145" i="5" a="1"/>
  <c r="I145" i="5"/>
  <c r="L144" i="5"/>
  <c r="I144" i="5" a="1"/>
  <c r="I144" i="5"/>
  <c r="L143" i="5"/>
  <c r="I143" i="5" a="1"/>
  <c r="I143" i="5"/>
  <c r="L142" i="5"/>
  <c r="I142" i="5" a="1"/>
  <c r="L141" i="5"/>
  <c r="I141" i="5" a="1"/>
  <c r="L140" i="5"/>
  <c r="I140" i="5" a="1"/>
  <c r="L139" i="5"/>
  <c r="I139" i="5" a="1"/>
  <c r="L138" i="5"/>
  <c r="I138" i="5" a="1"/>
  <c r="L137" i="5"/>
  <c r="I137" i="5" a="1"/>
  <c r="L136" i="5"/>
  <c r="I136" i="5" a="1"/>
  <c r="L135" i="5"/>
  <c r="I135" i="5" a="1"/>
  <c r="L134" i="5"/>
  <c r="I134" i="5" a="1"/>
  <c r="L133" i="5"/>
  <c r="I133" i="5" a="1"/>
  <c r="L132" i="5"/>
  <c r="I132" i="5" a="1"/>
  <c r="L131" i="5"/>
  <c r="I131" i="5" a="1"/>
  <c r="L130" i="5"/>
  <c r="I130" i="5" a="1"/>
  <c r="L129" i="5"/>
  <c r="I129" i="5" a="1"/>
  <c r="L128" i="5"/>
  <c r="I128" i="5" a="1"/>
  <c r="L127" i="5"/>
  <c r="I127" i="5" a="1"/>
  <c r="L126" i="5"/>
  <c r="I126" i="5" a="1"/>
  <c r="L125" i="5"/>
  <c r="I125" i="5" a="1"/>
  <c r="L124" i="5"/>
  <c r="I124" i="5" a="1"/>
  <c r="L123" i="5"/>
  <c r="I123" i="5" a="1"/>
  <c r="L122" i="5"/>
  <c r="I122" i="5" a="1"/>
  <c r="L121" i="5"/>
  <c r="I121" i="5" a="1"/>
  <c r="L120" i="5"/>
  <c r="I120" i="5" a="1"/>
  <c r="L119" i="5"/>
  <c r="I119" i="5" a="1"/>
  <c r="L118" i="5"/>
  <c r="I118" i="5" a="1"/>
  <c r="L117" i="5"/>
  <c r="I117" i="5" a="1"/>
  <c r="L116" i="5"/>
  <c r="I116" i="5" a="1"/>
  <c r="L115" i="5"/>
  <c r="I115" i="5" a="1"/>
  <c r="L114" i="5"/>
  <c r="I114" i="5" a="1"/>
  <c r="L113" i="5"/>
  <c r="I113" i="5" a="1"/>
  <c r="L112" i="5"/>
  <c r="I112" i="5" a="1"/>
  <c r="L111" i="5"/>
  <c r="I111" i="5" a="1"/>
  <c r="L110" i="5"/>
  <c r="I110" i="5" a="1"/>
  <c r="L109" i="5"/>
  <c r="I109" i="5" a="1"/>
  <c r="L108" i="5"/>
  <c r="I108" i="5" a="1"/>
  <c r="L107" i="5"/>
  <c r="I107" i="5" a="1"/>
  <c r="L106" i="5"/>
  <c r="I106" i="5" a="1"/>
  <c r="L105" i="5"/>
  <c r="I105" i="5" a="1"/>
  <c r="L104" i="5"/>
  <c r="I104" i="5" a="1"/>
  <c r="L103" i="5"/>
  <c r="I103" i="5" a="1"/>
  <c r="L102" i="5"/>
  <c r="I102" i="5" a="1"/>
  <c r="L101" i="5"/>
  <c r="I101" i="5" a="1"/>
  <c r="L100" i="5"/>
  <c r="I100" i="5" a="1"/>
  <c r="L99" i="5"/>
  <c r="I99" i="5" a="1"/>
  <c r="L98" i="5"/>
  <c r="I98" i="5" a="1"/>
  <c r="L97" i="5"/>
  <c r="I97" i="5" a="1"/>
  <c r="L96" i="5"/>
  <c r="I96" i="5" a="1"/>
  <c r="L95" i="5"/>
  <c r="I95" i="5" a="1"/>
  <c r="L94" i="5"/>
  <c r="I94" i="5" a="1"/>
  <c r="L93" i="5"/>
  <c r="I93" i="5" a="1"/>
  <c r="L92" i="5"/>
  <c r="I92" i="5" a="1"/>
  <c r="L91" i="5"/>
  <c r="I91" i="5" a="1"/>
  <c r="L90" i="5"/>
  <c r="I90" i="5" a="1"/>
  <c r="L89" i="5"/>
  <c r="I89" i="5" a="1"/>
  <c r="L88" i="5"/>
  <c r="I88" i="5" a="1"/>
  <c r="L87" i="5"/>
  <c r="I87" i="5" a="1"/>
  <c r="L86" i="5"/>
  <c r="I86" i="5" a="1"/>
  <c r="L85" i="5"/>
  <c r="I85" i="5" a="1"/>
  <c r="L84" i="5"/>
  <c r="I84" i="5" a="1"/>
  <c r="L83" i="5"/>
  <c r="I83" i="5" a="1"/>
  <c r="L82" i="5"/>
  <c r="I82" i="5" a="1"/>
  <c r="L81" i="5"/>
  <c r="I81" i="5" a="1"/>
  <c r="L80" i="5"/>
  <c r="I80" i="5" a="1"/>
  <c r="L79" i="5"/>
  <c r="I79" i="5" a="1"/>
  <c r="L78" i="5"/>
  <c r="I78" i="5" a="1"/>
  <c r="L77" i="5"/>
  <c r="I77" i="5" a="1"/>
  <c r="L76" i="5"/>
  <c r="I76" i="5" a="1"/>
  <c r="L75" i="5"/>
  <c r="I75" i="5" a="1"/>
  <c r="L74" i="5"/>
  <c r="I74" i="5" a="1"/>
  <c r="L73" i="5"/>
  <c r="I73" i="5" a="1"/>
  <c r="I73" i="5"/>
  <c r="L72" i="5"/>
  <c r="I72" i="5" a="1"/>
  <c r="I72" i="5"/>
  <c r="L71" i="5"/>
  <c r="I71" i="5" a="1"/>
  <c r="I71" i="5"/>
  <c r="L70" i="5"/>
  <c r="I70" i="5" a="1"/>
  <c r="I70" i="5"/>
  <c r="L69" i="5"/>
  <c r="I69" i="5" a="1"/>
  <c r="I69" i="5"/>
  <c r="L68" i="5"/>
  <c r="I68" i="5" a="1"/>
  <c r="I68" i="5"/>
  <c r="L67" i="5"/>
  <c r="I67" i="5" a="1"/>
  <c r="I67" i="5"/>
  <c r="L66" i="5"/>
  <c r="I66" i="5" a="1"/>
  <c r="I66" i="5"/>
  <c r="L65" i="5"/>
  <c r="I65" i="5" a="1"/>
  <c r="I65" i="5"/>
  <c r="L64" i="5"/>
  <c r="I64" i="5" a="1"/>
  <c r="I64" i="5"/>
  <c r="L63" i="5"/>
  <c r="I63" i="5" a="1"/>
  <c r="I63" i="5"/>
  <c r="L62" i="5"/>
  <c r="I62" i="5" a="1"/>
  <c r="I62" i="5"/>
  <c r="L61" i="5"/>
  <c r="I61" i="5" a="1"/>
  <c r="I61" i="5"/>
  <c r="L60" i="5"/>
  <c r="I60" i="5" a="1"/>
  <c r="I60" i="5"/>
  <c r="L59" i="5"/>
  <c r="I59" i="5" a="1"/>
  <c r="I59" i="5"/>
  <c r="L58" i="5"/>
  <c r="I58" i="5" a="1"/>
  <c r="I58" i="5"/>
  <c r="L57" i="5"/>
  <c r="I57" i="5" a="1"/>
  <c r="I57" i="5"/>
  <c r="L56" i="5"/>
  <c r="I56" i="5" a="1"/>
  <c r="I56" i="5"/>
  <c r="L55" i="5"/>
  <c r="I55" i="5" a="1"/>
  <c r="I55" i="5"/>
  <c r="L54" i="5"/>
  <c r="I54" i="5" a="1"/>
  <c r="I54" i="5"/>
  <c r="L53" i="5"/>
  <c r="I53" i="5" a="1"/>
  <c r="I53" i="5"/>
  <c r="L52" i="5"/>
  <c r="I52" i="5" a="1"/>
  <c r="I52" i="5"/>
  <c r="L51" i="5"/>
  <c r="I51" i="5" a="1"/>
  <c r="I51" i="5"/>
  <c r="L50" i="5"/>
  <c r="I50" i="5" a="1"/>
  <c r="I50" i="5"/>
  <c r="L49" i="5"/>
  <c r="I49" i="5" a="1"/>
  <c r="I49" i="5"/>
  <c r="L48" i="5"/>
  <c r="I48" i="5" a="1"/>
  <c r="I48" i="5"/>
  <c r="L47" i="5"/>
  <c r="I47" i="5" a="1"/>
  <c r="I47" i="5"/>
  <c r="L46" i="5"/>
  <c r="I46" i="5" a="1"/>
  <c r="I46" i="5"/>
  <c r="L45" i="5"/>
  <c r="I45" i="5" a="1"/>
  <c r="I45" i="5"/>
  <c r="L44" i="5"/>
  <c r="I44" i="5" a="1"/>
  <c r="I44" i="5"/>
  <c r="L43" i="5"/>
  <c r="I43" i="5" a="1"/>
  <c r="I43" i="5"/>
  <c r="L42" i="5"/>
  <c r="I42" i="5" a="1"/>
  <c r="I42" i="5"/>
  <c r="L41" i="5"/>
  <c r="I41" i="5" a="1"/>
  <c r="I41" i="5"/>
  <c r="L40" i="5"/>
  <c r="I40" i="5" a="1"/>
  <c r="I40" i="5"/>
  <c r="L39" i="5"/>
  <c r="I39" i="5" a="1"/>
  <c r="I39" i="5"/>
  <c r="L38" i="5"/>
  <c r="I38" i="5" a="1"/>
  <c r="I38" i="5"/>
  <c r="L37" i="5"/>
  <c r="I37" i="5" a="1"/>
  <c r="I37" i="5"/>
  <c r="L36" i="5"/>
  <c r="I36" i="5" a="1"/>
  <c r="I36" i="5"/>
  <c r="L35" i="5"/>
  <c r="I35" i="5" a="1"/>
  <c r="I35" i="5"/>
  <c r="L34" i="5"/>
  <c r="I34" i="5" a="1"/>
  <c r="I34" i="5"/>
  <c r="L33" i="5"/>
  <c r="I33" i="5" a="1"/>
  <c r="I33" i="5"/>
  <c r="L32" i="5"/>
  <c r="I32" i="5" a="1"/>
  <c r="I32" i="5"/>
  <c r="L31" i="5"/>
  <c r="I31" i="5" a="1"/>
  <c r="I31" i="5"/>
  <c r="L30" i="5"/>
  <c r="I30" i="5" a="1"/>
  <c r="I30" i="5"/>
  <c r="L29" i="5"/>
  <c r="I29" i="5" a="1"/>
  <c r="I29" i="5"/>
  <c r="L28" i="5"/>
  <c r="I28" i="5" a="1"/>
  <c r="I28" i="5"/>
  <c r="L27" i="5"/>
  <c r="I27" i="5" a="1"/>
  <c r="I27" i="5"/>
  <c r="L26" i="5"/>
  <c r="I26" i="5" a="1"/>
  <c r="I26" i="5"/>
  <c r="L25" i="5"/>
  <c r="I25" i="5" a="1"/>
  <c r="I25" i="5"/>
  <c r="L24" i="5"/>
  <c r="I24" i="5" a="1"/>
  <c r="I24" i="5"/>
  <c r="L23" i="5"/>
  <c r="I23" i="5" a="1"/>
  <c r="I23" i="5"/>
  <c r="L22" i="5"/>
  <c r="I22" i="5" a="1"/>
  <c r="I22" i="5"/>
  <c r="L21" i="5"/>
  <c r="I21" i="5" a="1"/>
  <c r="I21" i="5"/>
  <c r="L20" i="5"/>
  <c r="I20" i="5" a="1"/>
  <c r="I20" i="5"/>
  <c r="L19" i="5"/>
  <c r="I19" i="5" a="1"/>
  <c r="I19" i="5"/>
  <c r="L18" i="5"/>
  <c r="I18" i="5" a="1"/>
  <c r="I18" i="5"/>
  <c r="L17" i="5"/>
  <c r="I17" i="5" a="1"/>
  <c r="I17" i="5"/>
  <c r="L16" i="5"/>
  <c r="I16" i="5" a="1"/>
  <c r="I16" i="5"/>
  <c r="L15" i="5"/>
  <c r="I15" i="5" a="1"/>
  <c r="I15" i="5"/>
  <c r="L14" i="5"/>
  <c r="I14" i="5" a="1"/>
  <c r="I14" i="5"/>
  <c r="L13" i="5"/>
  <c r="I13" i="5" a="1"/>
  <c r="I13" i="5"/>
  <c r="L12" i="5"/>
  <c r="I12" i="5" a="1"/>
  <c r="I12" i="5"/>
  <c r="L11" i="5"/>
  <c r="I11" i="5" a="1"/>
  <c r="I11" i="5"/>
  <c r="L10" i="5"/>
  <c r="G200" i="3"/>
  <c r="G199" i="3"/>
  <c r="G198" i="3"/>
  <c r="G197" i="3"/>
  <c r="G196" i="3"/>
  <c r="G195" i="3"/>
  <c r="G194" i="3"/>
  <c r="G193" i="3"/>
  <c r="G192" i="3"/>
  <c r="G191" i="3"/>
  <c r="G190" i="3"/>
  <c r="G189" i="3"/>
  <c r="G188" i="3"/>
  <c r="G187" i="3"/>
  <c r="G186" i="3"/>
  <c r="G185" i="3"/>
  <c r="G184" i="3"/>
  <c r="G183" i="3"/>
  <c r="G182" i="3"/>
  <c r="G181" i="3"/>
  <c r="G180" i="3"/>
  <c r="G179" i="3"/>
  <c r="G178" i="3"/>
  <c r="G177" i="3"/>
  <c r="G176" i="3"/>
  <c r="G175" i="3"/>
  <c r="G174" i="3"/>
  <c r="G173" i="3"/>
  <c r="G172" i="3"/>
  <c r="G171" i="3"/>
  <c r="G170" i="3"/>
  <c r="G169" i="3"/>
  <c r="G168" i="3"/>
  <c r="G167" i="3"/>
  <c r="G166" i="3"/>
  <c r="G165" i="3"/>
  <c r="G164" i="3"/>
  <c r="G163" i="3"/>
  <c r="G162" i="3"/>
  <c r="G161" i="3"/>
  <c r="G160" i="3"/>
  <c r="G159" i="3"/>
  <c r="G158" i="3"/>
  <c r="G157" i="3"/>
  <c r="G156" i="3"/>
  <c r="G155" i="3"/>
  <c r="G154" i="3"/>
  <c r="G153" i="3"/>
  <c r="G152" i="3"/>
  <c r="G151" i="3"/>
  <c r="G150" i="3"/>
  <c r="G149" i="3"/>
  <c r="G148" i="3"/>
  <c r="G147" i="3"/>
  <c r="G146" i="3"/>
  <c r="G145" i="3"/>
  <c r="G144" i="3"/>
  <c r="G143" i="3"/>
  <c r="G142" i="3"/>
  <c r="G141" i="3"/>
  <c r="G140" i="3"/>
  <c r="G139" i="3"/>
  <c r="G138" i="3"/>
  <c r="G137" i="3"/>
  <c r="G136" i="3"/>
  <c r="G135" i="3"/>
  <c r="G134" i="3"/>
  <c r="G133" i="3"/>
  <c r="G132" i="3"/>
  <c r="G131" i="3"/>
  <c r="G130" i="3"/>
  <c r="G129" i="3"/>
  <c r="G128" i="3"/>
  <c r="G127" i="3"/>
  <c r="G126" i="3"/>
  <c r="G125" i="3"/>
  <c r="G124" i="3"/>
  <c r="G123" i="3"/>
  <c r="G122" i="3"/>
  <c r="G121" i="3"/>
  <c r="G120" i="3"/>
  <c r="G119" i="3"/>
  <c r="G118" i="3"/>
  <c r="G117" i="3"/>
  <c r="G116" i="3"/>
  <c r="G115" i="3"/>
  <c r="G114" i="3"/>
  <c r="G113" i="3"/>
  <c r="G112" i="3"/>
  <c r="G111" i="3"/>
  <c r="G110" i="3"/>
  <c r="G109" i="3"/>
  <c r="G108" i="3"/>
  <c r="G107" i="3"/>
  <c r="G106" i="3"/>
  <c r="G105" i="3"/>
  <c r="G104" i="3"/>
  <c r="G103" i="3"/>
  <c r="G102" i="3"/>
  <c r="G101" i="3"/>
  <c r="G100" i="3"/>
  <c r="G99" i="3"/>
  <c r="G98" i="3"/>
  <c r="G97" i="3"/>
  <c r="G96" i="3"/>
  <c r="G95" i="3"/>
  <c r="G94" i="3"/>
  <c r="G93" i="3"/>
  <c r="G92" i="3"/>
  <c r="G91" i="3"/>
  <c r="G90" i="3"/>
  <c r="G89" i="3"/>
  <c r="G88" i="3"/>
  <c r="G87" i="3"/>
  <c r="G86" i="3"/>
  <c r="G85" i="3"/>
  <c r="G84" i="3"/>
  <c r="G83" i="3"/>
  <c r="G82" i="3"/>
  <c r="G81" i="3"/>
  <c r="G80" i="3"/>
  <c r="G79" i="3"/>
  <c r="G78" i="3"/>
  <c r="G77" i="3"/>
  <c r="G76" i="3"/>
  <c r="G75" i="3"/>
  <c r="G74" i="3"/>
  <c r="G73" i="3"/>
  <c r="G72" i="3"/>
  <c r="G71" i="3"/>
  <c r="G70" i="3"/>
  <c r="G69" i="3"/>
  <c r="G68" i="3"/>
  <c r="G67" i="3"/>
  <c r="G66" i="3"/>
  <c r="G65" i="3"/>
  <c r="G64" i="3"/>
  <c r="G63" i="3"/>
  <c r="G62" i="3"/>
  <c r="G61" i="3"/>
  <c r="G60" i="3"/>
  <c r="G59" i="3"/>
  <c r="G58" i="3"/>
  <c r="G57" i="3"/>
  <c r="G56" i="3"/>
  <c r="G55" i="3"/>
  <c r="G54" i="3"/>
  <c r="G53" i="3"/>
  <c r="G52" i="3"/>
  <c r="G51" i="3"/>
  <c r="G50" i="3"/>
  <c r="G49" i="3"/>
  <c r="G48" i="3"/>
  <c r="G47" i="3"/>
  <c r="G46" i="3"/>
  <c r="G45" i="3"/>
  <c r="G44" i="3"/>
  <c r="G43" i="3"/>
  <c r="G42" i="3"/>
  <c r="G41" i="3"/>
  <c r="G40" i="3"/>
  <c r="G39" i="3"/>
  <c r="G38" i="3"/>
  <c r="G37" i="3"/>
  <c r="G36" i="3"/>
  <c r="G35" i="3"/>
  <c r="G34" i="3"/>
  <c r="G33" i="3"/>
  <c r="G32" i="3"/>
  <c r="G31" i="3"/>
  <c r="G30" i="3"/>
  <c r="G29" i="3"/>
  <c r="G28" i="3"/>
  <c r="G27" i="3"/>
  <c r="G26" i="3"/>
  <c r="G25" i="3"/>
  <c r="G24" i="3"/>
  <c r="G23" i="3"/>
  <c r="G22" i="3"/>
  <c r="G21" i="3"/>
  <c r="G20" i="3"/>
  <c r="G19" i="3"/>
  <c r="G18" i="3"/>
  <c r="G17" i="3"/>
  <c r="G16" i="3"/>
  <c r="G15" i="3"/>
  <c r="G14" i="3"/>
  <c r="G13" i="3"/>
  <c r="G12" i="3"/>
  <c r="G11" i="3"/>
  <c r="G10" i="3"/>
  <c r="G9" i="3"/>
  <c r="G8" i="3"/>
  <c r="G7" i="3"/>
  <c r="A7" i="3"/>
  <c r="G6" i="3"/>
  <c r="K73" i="5" l="1"/>
  <c r="K72" i="5"/>
  <c r="K71" i="5"/>
  <c r="K70" i="5"/>
  <c r="K69" i="5"/>
  <c r="K68" i="5"/>
  <c r="K67" i="5"/>
  <c r="K66" i="5"/>
  <c r="K65" i="5"/>
  <c r="K64" i="5"/>
  <c r="K63" i="5"/>
  <c r="K62" i="5"/>
  <c r="K61" i="5"/>
  <c r="K60" i="5"/>
  <c r="K59" i="5"/>
  <c r="K58" i="5"/>
  <c r="K57" i="5"/>
  <c r="K56" i="5"/>
  <c r="K55" i="5"/>
  <c r="K54" i="5"/>
  <c r="K53" i="5"/>
  <c r="K52" i="5"/>
  <c r="K51" i="5"/>
  <c r="K50" i="5"/>
  <c r="K49" i="5"/>
  <c r="K48" i="5"/>
  <c r="K47" i="5"/>
  <c r="K46" i="5"/>
  <c r="K45" i="5"/>
  <c r="K44" i="5"/>
  <c r="K43" i="5"/>
  <c r="K42" i="5"/>
  <c r="K41" i="5"/>
  <c r="K40" i="5"/>
  <c r="K39" i="5"/>
  <c r="K38" i="5"/>
  <c r="K37" i="5"/>
  <c r="K36" i="5"/>
  <c r="K35" i="5"/>
  <c r="K34" i="5"/>
  <c r="K33" i="5"/>
  <c r="K32" i="5"/>
  <c r="K31" i="5"/>
  <c r="K30" i="5"/>
  <c r="K29" i="5"/>
  <c r="K28" i="5"/>
  <c r="K27" i="5"/>
  <c r="K26" i="5"/>
  <c r="K25" i="5"/>
  <c r="K24" i="5"/>
  <c r="K23" i="5"/>
  <c r="K22" i="5"/>
  <c r="K21" i="5"/>
  <c r="K20" i="5"/>
  <c r="K19" i="5"/>
  <c r="K18" i="5"/>
  <c r="K17" i="5"/>
  <c r="K16" i="5"/>
  <c r="K15" i="5"/>
  <c r="K14" i="5"/>
  <c r="K13" i="5"/>
  <c r="K12" i="5"/>
  <c r="K11" i="5"/>
  <c r="I142" i="5"/>
  <c r="K142" i="5" s="1"/>
  <c r="I141" i="5"/>
  <c r="K141" i="5" s="1"/>
  <c r="I139" i="5"/>
  <c r="K139" i="5" s="1"/>
  <c r="I137" i="5"/>
  <c r="K137" i="5" s="1"/>
  <c r="I135" i="5"/>
  <c r="K135" i="5" s="1"/>
  <c r="I133" i="5"/>
  <c r="K133" i="5" s="1"/>
  <c r="I131" i="5"/>
  <c r="K131" i="5" s="1"/>
  <c r="I129" i="5"/>
  <c r="K129" i="5" s="1"/>
  <c r="I127" i="5"/>
  <c r="K127" i="5" s="1"/>
  <c r="I125" i="5"/>
  <c r="K125" i="5" s="1"/>
  <c r="I123" i="5"/>
  <c r="K123" i="5" s="1"/>
  <c r="I121" i="5"/>
  <c r="K121" i="5" s="1"/>
  <c r="I119" i="5"/>
  <c r="K119" i="5" s="1"/>
  <c r="I117" i="5"/>
  <c r="K117" i="5" s="1"/>
  <c r="I115" i="5"/>
  <c r="K115" i="5" s="1"/>
  <c r="I113" i="5"/>
  <c r="K113" i="5" s="1"/>
  <c r="I111" i="5"/>
  <c r="K111" i="5" s="1"/>
  <c r="I108" i="5"/>
  <c r="K108" i="5" s="1"/>
  <c r="I106" i="5"/>
  <c r="K106" i="5" s="1"/>
  <c r="I104" i="5"/>
  <c r="K104" i="5" s="1"/>
  <c r="I102" i="5"/>
  <c r="K102" i="5" s="1"/>
  <c r="I100" i="5"/>
  <c r="K100" i="5" s="1"/>
  <c r="I98" i="5"/>
  <c r="K98" i="5" s="1"/>
  <c r="I96" i="5"/>
  <c r="K96" i="5" s="1"/>
  <c r="I94" i="5"/>
  <c r="K94" i="5" s="1"/>
  <c r="I92" i="5"/>
  <c r="K92" i="5" s="1"/>
  <c r="I90" i="5"/>
  <c r="K90" i="5" s="1"/>
  <c r="I88" i="5"/>
  <c r="K88" i="5" s="1"/>
  <c r="I86" i="5"/>
  <c r="K86" i="5" s="1"/>
  <c r="I84" i="5"/>
  <c r="K84" i="5" s="1"/>
  <c r="I82" i="5"/>
  <c r="K82" i="5" s="1"/>
  <c r="I80" i="5"/>
  <c r="K80" i="5" s="1"/>
  <c r="I78" i="5"/>
  <c r="K78" i="5" s="1"/>
  <c r="I76" i="5"/>
  <c r="K76" i="5" s="1"/>
  <c r="I74" i="5"/>
  <c r="K74" i="5" s="1"/>
  <c r="A8" i="3"/>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K199" i="5"/>
  <c r="K198" i="5"/>
  <c r="K197" i="5"/>
  <c r="K196" i="5"/>
  <c r="K195" i="5"/>
  <c r="K194" i="5"/>
  <c r="K193" i="5"/>
  <c r="K192" i="5"/>
  <c r="K191" i="5"/>
  <c r="K190" i="5"/>
  <c r="K189" i="5"/>
  <c r="K188" i="5"/>
  <c r="K187" i="5"/>
  <c r="K186" i="5"/>
  <c r="K185" i="5"/>
  <c r="K184" i="5"/>
  <c r="K183" i="5"/>
  <c r="K182" i="5"/>
  <c r="K181" i="5"/>
  <c r="K180" i="5"/>
  <c r="K179" i="5"/>
  <c r="K178" i="5"/>
  <c r="K177" i="5"/>
  <c r="K176" i="5"/>
  <c r="K175" i="5"/>
  <c r="K174" i="5"/>
  <c r="K173" i="5"/>
  <c r="K172" i="5"/>
  <c r="K171" i="5"/>
  <c r="K170" i="5"/>
  <c r="K169" i="5"/>
  <c r="K168" i="5"/>
  <c r="K167" i="5"/>
  <c r="K166" i="5"/>
  <c r="K165" i="5"/>
  <c r="K164" i="5"/>
  <c r="K163" i="5"/>
  <c r="K162" i="5"/>
  <c r="K161" i="5"/>
  <c r="K160" i="5"/>
  <c r="K159" i="5"/>
  <c r="K158" i="5"/>
  <c r="K157" i="5"/>
  <c r="K156" i="5"/>
  <c r="K155" i="5"/>
  <c r="K154" i="5"/>
  <c r="K153" i="5"/>
  <c r="K152" i="5"/>
  <c r="K151" i="5"/>
  <c r="K150" i="5"/>
  <c r="K149" i="5"/>
  <c r="K148" i="5"/>
  <c r="K147" i="5"/>
  <c r="K146" i="5"/>
  <c r="K145" i="5"/>
  <c r="K144" i="5"/>
  <c r="K143" i="5"/>
  <c r="I140" i="5"/>
  <c r="K140" i="5" s="1"/>
  <c r="I138" i="5"/>
  <c r="K138" i="5" s="1"/>
  <c r="I136" i="5"/>
  <c r="K136" i="5" s="1"/>
  <c r="I134" i="5"/>
  <c r="K134" i="5" s="1"/>
  <c r="I132" i="5"/>
  <c r="K132" i="5" s="1"/>
  <c r="I130" i="5"/>
  <c r="K130" i="5" s="1"/>
  <c r="I128" i="5"/>
  <c r="K128" i="5" s="1"/>
  <c r="I126" i="5"/>
  <c r="K126" i="5" s="1"/>
  <c r="I124" i="5"/>
  <c r="K124" i="5" s="1"/>
  <c r="I122" i="5"/>
  <c r="K122" i="5" s="1"/>
  <c r="I120" i="5"/>
  <c r="K120" i="5" s="1"/>
  <c r="I118" i="5"/>
  <c r="K118" i="5" s="1"/>
  <c r="I116" i="5"/>
  <c r="K116" i="5" s="1"/>
  <c r="I114" i="5"/>
  <c r="K114" i="5" s="1"/>
  <c r="I112" i="5"/>
  <c r="K112" i="5" s="1"/>
  <c r="I110" i="5"/>
  <c r="K110" i="5" s="1"/>
  <c r="I109" i="5"/>
  <c r="K109" i="5" s="1"/>
  <c r="I107" i="5"/>
  <c r="K107" i="5" s="1"/>
  <c r="I105" i="5"/>
  <c r="K105" i="5" s="1"/>
  <c r="I103" i="5"/>
  <c r="K103" i="5" s="1"/>
  <c r="I101" i="5"/>
  <c r="K101" i="5" s="1"/>
  <c r="I99" i="5"/>
  <c r="K99" i="5" s="1"/>
  <c r="I97" i="5"/>
  <c r="K97" i="5" s="1"/>
  <c r="I95" i="5"/>
  <c r="K95" i="5" s="1"/>
  <c r="I93" i="5"/>
  <c r="K93" i="5" s="1"/>
  <c r="I91" i="5"/>
  <c r="K91" i="5" s="1"/>
  <c r="I89" i="5"/>
  <c r="K89" i="5" s="1"/>
  <c r="I87" i="5"/>
  <c r="K87" i="5" s="1"/>
  <c r="I85" i="5"/>
  <c r="K85" i="5" s="1"/>
  <c r="I83" i="5"/>
  <c r="K83" i="5" s="1"/>
  <c r="I81" i="5"/>
  <c r="K81" i="5" s="1"/>
  <c r="I79" i="5"/>
  <c r="K79" i="5" s="1"/>
  <c r="I77" i="5"/>
  <c r="K77" i="5" s="1"/>
  <c r="I75" i="5"/>
  <c r="K75" i="5" s="1"/>
  <c r="A46" i="3" l="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6" i="5" a="1"/>
  <c r="B6" i="5" l="1"/>
  <c r="C6" i="5"/>
  <c r="D6" i="5"/>
  <c r="E6" i="5"/>
  <c r="F6" i="5"/>
  <c r="G6" i="5"/>
  <c r="H6" i="5"/>
  <c r="A7" i="5"/>
  <c r="L6" i="5" s="1"/>
  <c r="B7" i="5"/>
  <c r="C7" i="5"/>
  <c r="D7" i="5"/>
  <c r="E7" i="5"/>
  <c r="F7" i="5"/>
  <c r="G7" i="5"/>
  <c r="H7" i="5"/>
  <c r="A8" i="5"/>
  <c r="L7" i="5" s="1"/>
  <c r="B8" i="5"/>
  <c r="C8" i="5"/>
  <c r="D8" i="5"/>
  <c r="E8" i="5"/>
  <c r="F8" i="5"/>
  <c r="G8" i="5"/>
  <c r="H8" i="5"/>
  <c r="A9" i="5"/>
  <c r="L8" i="5" s="1"/>
  <c r="B9" i="5"/>
  <c r="C9" i="5"/>
  <c r="D9" i="5"/>
  <c r="E9" i="5"/>
  <c r="F9" i="5"/>
  <c r="G9" i="5"/>
  <c r="H9" i="5"/>
  <c r="A10" i="5"/>
  <c r="B10" i="5"/>
  <c r="C10" i="5"/>
  <c r="D10" i="5"/>
  <c r="E10" i="5"/>
  <c r="F10" i="5"/>
  <c r="G10" i="5"/>
  <c r="H10" i="5"/>
  <c r="A6" i="5"/>
  <c r="I6" i="5" l="1" a="1"/>
  <c r="I6" i="5" s="1"/>
  <c r="K6" i="5"/>
  <c r="I7" i="5" a="1"/>
  <c r="I7" i="5" s="1"/>
  <c r="I8" i="5" a="1"/>
  <c r="I8" i="5" s="1"/>
  <c r="K8" i="5"/>
  <c r="I9" i="5" a="1"/>
  <c r="I9" i="5" s="1"/>
  <c r="K9" i="5"/>
  <c r="I10" i="5" a="1"/>
  <c r="I10" i="5" s="1"/>
  <c r="K10" i="5"/>
  <c r="L9" i="5"/>
  <c r="K7" i="5" l="1"/>
</calcChain>
</file>

<file path=xl/sharedStrings.xml><?xml version="1.0" encoding="utf-8"?>
<sst xmlns="http://schemas.openxmlformats.org/spreadsheetml/2006/main" count="217" uniqueCount="170">
  <si>
    <t>WHOLESALE &amp; RETAIL MINIMUM WAGE TABLE (Area B)</t>
  </si>
  <si>
    <t>Minimum wages for the period</t>
  </si>
  <si>
    <t>1/02/2017 to 31/01/2018</t>
  </si>
  <si>
    <t>Job Category</t>
  </si>
  <si>
    <t>27Hrs or Less</t>
  </si>
  <si>
    <t>CI 2(3)(b)</t>
  </si>
  <si>
    <t>CI 2(3)(a)</t>
  </si>
  <si>
    <t>R.p.h</t>
  </si>
  <si>
    <t>General Assistant/Trolley Controller</t>
  </si>
  <si>
    <t>Security Guard</t>
  </si>
  <si>
    <t>Forklift Operator</t>
  </si>
  <si>
    <t>Driver &lt;3500kg</t>
  </si>
  <si>
    <t>Merchandiser/ Shop Assistant/ Checker</t>
  </si>
  <si>
    <t>Cashier</t>
  </si>
  <si>
    <t>Driver 3501 &lt;9000kg</t>
  </si>
  <si>
    <t>Clerk/Sales Assistant/ Sales Person/ Block Man/ Baker/ Deli Assistant</t>
  </si>
  <si>
    <t>Driver 9001&lt;16000kg</t>
  </si>
  <si>
    <t>Displayer</t>
  </si>
  <si>
    <t>09Driver 16001kg&gt;</t>
  </si>
  <si>
    <t>Supervisor</t>
  </si>
  <si>
    <t>Trainee Manager</t>
  </si>
  <si>
    <t>Assistant Manager</t>
  </si>
  <si>
    <t>Manager</t>
  </si>
  <si>
    <t>BCEA-COMPLIANT WORKFORCE MANAGEMENT SYSTEM
Employee List &amp; Payroll Rate Engine  |  Wholesale &amp; Retail Sector</t>
  </si>
  <si>
    <t>Built by Keith Coetzee  |  linkedin.com/in/keithcoetzeeza  |  github.com/KeithCoetzee-ZA</t>
  </si>
  <si>
    <t>WHAT THIS SYSTEM DOES</t>
  </si>
  <si>
    <t>SHEET ARCHITECTURE</t>
  </si>
  <si>
    <t>Emp_List
(Master Register)</t>
  </si>
  <si>
    <t>Gazetted_Rates
(Compliance Foundation)</t>
  </si>
  <si>
    <t>Role_codes
(Translation Layer)</t>
  </si>
  <si>
    <t>HR_Private
(Protected Payroll Layer)</t>
  </si>
  <si>
    <t>DocInfo &amp; Library
(Build Documentation)</t>
  </si>
  <si>
    <t>The system's own technical manual. Formula construction notes, conditional formatting rules, cell protection specifications, unlocked range definitions, and dropdown list source data are all documented here in structured format with colour-coded instruction categories. Any competent Excel user can reconstruct, extend, or maintain this system from this sheet alone. It is the difference between a tool that works and a tool that lasts.</t>
  </si>
  <si>
    <t>27-Hour Threshold</t>
  </si>
  <si>
    <t>The BCEA and Wholesale &amp; Retail Sectoral Determination create two distinct minimum wage obligations based on contracted hours. This system encodes that boundary as a contract type classifier (C/&gt;27hrs, D/&lt;27hrs) and uses it to drive rate selection automatically. The person capturing employees does not need to know the gazette. They select the contract type. The system applies the law.</t>
  </si>
  <si>
    <t>Gazette Rate Propagation</t>
  </si>
  <si>
    <t>When the Department of Labour publishes revised sectoral minimum wages each financial year, one update to the Gazetted_Rates sheet cascades through Role_codes and HR_Private simultaneously. Every employee's derived rate updates without any further intervention. Compliance is maintained at system level.</t>
  </si>
  <si>
    <t>Overtime Rate Derivation</t>
  </si>
  <si>
    <t>Roster Exclusion Logic</t>
  </si>
  <si>
    <t>Access Control Architecture</t>
  </si>
  <si>
    <t>LEGISLATIVE CONTEXT</t>
  </si>
  <si>
    <t>github.com/KeithCoetzee-ZA  |  linkedin.com/in/keithcoetzeeza  |  Available immediately  |  Remote-ready</t>
  </si>
  <si>
    <t>--W/S Emp_List--</t>
  </si>
  <si>
    <t>--=Copy Formatting in from the Master Template, for first 5 rows from A1--</t>
  </si>
  <si>
    <t>$A6=First Employee number</t>
  </si>
  <si>
    <t>SA7=A6+1</t>
  </si>
  <si>
    <t>--Drop down list for Designations--</t>
  </si>
  <si>
    <t>--Gen. Asst., Sec.Guard, Forklift Op., Driver, Merchandiser, Cashier, Clerk, Sales Asst., BlockMan, Baker, Deli Asst., Supervisor, Trainee Man., Asst. Manager, Manager--</t>
  </si>
  <si>
    <t>--Drop Down List for Contract Type--</t>
  </si>
  <si>
    <t>--P, M, C, D (P=Permanent, pulls into planning rosters. M=Store Manager/Owner, does not pull into planning rosters. C=&gt;27 Hours, for hourly rates as per Gazette. D=&lt;27 Hours, for hourly rates as per Gazette)--</t>
  </si>
  <si>
    <t>--Role Codes - to pull the role code in for the Designation selected from the previous drop down menu, in $F6--</t>
  </si>
  <si>
    <t>=XLOOKUP($D7, Role_codes!$B$2:$B$16, Role_codes!$A$2:$A$16, "") --Copy, and paste the formula down to row 200--</t>
  </si>
  <si>
    <t>--Conditional Formatting</t>
  </si>
  <si>
    <t xml:space="preserve">=$A6&gt;0 </t>
  </si>
  <si>
    <t>--Format all borders in Teal (Hex Code: #104861)--</t>
  </si>
  <si>
    <t>--Range--</t>
  </si>
  <si>
    <t>==$A$6:$E200</t>
  </si>
  <si>
    <t>--W/S Gazetted_Rates--</t>
  </si>
  <si>
    <t>--To update for each Financial Year--</t>
  </si>
  <si>
    <t>--Area B--</t>
  </si>
  <si>
    <t>--Capture the rates as per the Gazette--</t>
  </si>
  <si>
    <t>--Rate &lt; 27 Hours--</t>
  </si>
  <si>
    <t>=Gazetted_Rates!B7</t>
  </si>
  <si>
    <t>--Rate &gt; 27 Hours--</t>
  </si>
  <si>
    <t>=Gazetted_Rates!C7</t>
  </si>
  <si>
    <t>--W/S Role_codes--</t>
  </si>
  <si>
    <t>--To convert Roles as per Government Gazette into Role codes for Payroll--</t>
  </si>
  <si>
    <t>--</t>
  </si>
  <si>
    <t>--W/S HR_Private--</t>
  </si>
  <si>
    <t>--To pull and sort the Employees by Surname, then Name form the Emp_List, in A6--</t>
  </si>
  <si>
    <t>=IFERROR(SORTBY(FILTER(Emp_List!$A$6:$G$200, Emp_List!$G$6:$G$200="YES"), FILTER(Emp_List!$C$6:$C$200, Emp_List!$G$6:$G$200="YES"), 1, FILTER(Emp_List!$B$6:$B$200, Emp_List!$G$6:$G$200="YES"), 1),"")</t>
  </si>
  <si>
    <t>--Rates per Employee--</t>
  </si>
  <si>
    <t>=IF(OR($E6="P",$E6="M"),"", XLOOKUP($F6, Role_codes!$A$2:$A$16, CHOOSECOLS(Role_codes!$D$2:$E$16, IF($E6="C",1,2)),""))</t>
  </si>
  <si>
    <t>--Rates to pull through to the rosters--</t>
  </si>
  <si>
    <t>=IF(OR($E6="P",$E6="M"), I6, H6)</t>
  </si>
  <si>
    <t>--Conversion of Monthly Salaries to hourly rates for the purposes of Overtime calculations--</t>
  </si>
  <si>
    <t>=IF($A7="","", IF(OR($E7="P",$E7="M"), $I7/180, $I7))</t>
  </si>
  <si>
    <t>=$A$6:$E200</t>
  </si>
  <si>
    <t>--Protections--</t>
  </si>
  <si>
    <t>--W/S Emp_list--</t>
  </si>
  <si>
    <t>--Unlocked Cells = $B6:$E200 &amp; $G6:$G200--</t>
  </si>
  <si>
    <t>--Unlocked Cells = $A3 (Merged with B3&amp;C3)</t>
  </si>
  <si>
    <t>--Unlocked Cells = $J6:$J200 (For the purposes of capturing Salaries)</t>
  </si>
  <si>
    <t>--No Unlocked cells--</t>
  </si>
  <si>
    <t>--W/S DocInfo &amp; Library--</t>
  </si>
  <si>
    <t>--Conditional Formatting--</t>
  </si>
  <si>
    <t>=LEFT($A1, 2)="--" --Format fill Light Orange, tick "Stop if True"--</t>
  </si>
  <si>
    <t>=$A$1:$A$77</t>
  </si>
  <si>
    <t>--If cell contains "W/S" -- Format fill light blue, Font = Bold--</t>
  </si>
  <si>
    <t>COMPANY LOGO/BRANDING</t>
  </si>
  <si>
    <t>SHEET NAME</t>
  </si>
  <si>
    <t>Emp_Num</t>
  </si>
  <si>
    <t>Name</t>
  </si>
  <si>
    <t>Surname</t>
  </si>
  <si>
    <t>Designation</t>
  </si>
  <si>
    <t>Department</t>
  </si>
  <si>
    <t>Contract Type</t>
  </si>
  <si>
    <t>Role Codes</t>
  </si>
  <si>
    <t>Active Yes/No</t>
  </si>
  <si>
    <t>Juan</t>
  </si>
  <si>
    <t>Carlos</t>
  </si>
  <si>
    <t>Sales Asst.</t>
  </si>
  <si>
    <t>Bakery</t>
  </si>
  <si>
    <t>D</t>
  </si>
  <si>
    <t>YES</t>
  </si>
  <si>
    <t>Ian</t>
  </si>
  <si>
    <t>Mac Greggor</t>
  </si>
  <si>
    <t>Asst. Manager</t>
  </si>
  <si>
    <t>Floor</t>
  </si>
  <si>
    <t>M</t>
  </si>
  <si>
    <t>Ann</t>
  </si>
  <si>
    <t>Juco</t>
  </si>
  <si>
    <t>C</t>
  </si>
  <si>
    <t>Carlo</t>
  </si>
  <si>
    <t>Baker</t>
  </si>
  <si>
    <t>P</t>
  </si>
  <si>
    <t>Marty</t>
  </si>
  <si>
    <t>Blythe</t>
  </si>
  <si>
    <t>Management</t>
  </si>
  <si>
    <t>Salary</t>
  </si>
  <si>
    <t>Convert</t>
  </si>
  <si>
    <t>EMPLOYEE PAYROLL</t>
  </si>
  <si>
    <t xml:space="preserve">Roster </t>
  </si>
  <si>
    <t>Hourly</t>
  </si>
  <si>
    <t>Rate</t>
  </si>
  <si>
    <t xml:space="preserve">Salary Monthly </t>
  </si>
  <si>
    <t>Cost Rate</t>
  </si>
  <si>
    <t>Base Rate</t>
  </si>
  <si>
    <t>Role Code</t>
  </si>
  <si>
    <t>Role Name</t>
  </si>
  <si>
    <t>Role Name - Extended</t>
  </si>
  <si>
    <t>Rate &lt;27Hr</t>
  </si>
  <si>
    <t>Rate &gt;27Hr</t>
  </si>
  <si>
    <t>GEN01</t>
  </si>
  <si>
    <t>Gen. Asst.</t>
  </si>
  <si>
    <t>SEC01</t>
  </si>
  <si>
    <t>Sec.Guard</t>
  </si>
  <si>
    <t>FLO01</t>
  </si>
  <si>
    <t>Forklift Op</t>
  </si>
  <si>
    <t>DRV01</t>
  </si>
  <si>
    <t>Driver</t>
  </si>
  <si>
    <t>MER01</t>
  </si>
  <si>
    <t>Merchandiser</t>
  </si>
  <si>
    <t>CAS01</t>
  </si>
  <si>
    <t>CLK01</t>
  </si>
  <si>
    <t>Clerk</t>
  </si>
  <si>
    <t>SAL01</t>
  </si>
  <si>
    <t>Sales AssistantSales Person</t>
  </si>
  <si>
    <t>BLO01</t>
  </si>
  <si>
    <t>BlockMan</t>
  </si>
  <si>
    <t>Block Man</t>
  </si>
  <si>
    <t>BAK01</t>
  </si>
  <si>
    <t>DEL01</t>
  </si>
  <si>
    <t>Deli Asst.</t>
  </si>
  <si>
    <t>Deli Assistant</t>
  </si>
  <si>
    <t>SUP01</t>
  </si>
  <si>
    <t>TRM01</t>
  </si>
  <si>
    <t>Trainee Man.</t>
  </si>
  <si>
    <t>ASM01</t>
  </si>
  <si>
    <t>MAN01</t>
  </si>
  <si>
    <t>This is not a list of employees. It is a BCEA-compliant workforce management engine built around the Wholesale and Retail Sector Determination, governing minimum wages, contract classification, overtime eligibility, and payroll rate derivation for up to 195 employees across multiple departments and roles.
The system is designed so that compliance is structural, not procedural. The correct rate for any employee, under any contract type, in any gazette-defined role, is derived automatically from the legislation - not entered manually, not looked up, not trusted to memory. The law is built into the architecture.</t>
  </si>
  <si>
    <t>The operational spine of the system. Employee numbers auto-increment from a defined start point. Designations are controlled via dropdown - only gazette-recognised role names are selectable, eliminating free-text entry errors that would break downstream rate lookups. Contract type is classified as P (Permanent), M (Manager/Owner - excluded from planning rosters), C (above 27 hours), or D (below 27 hours) - the 27-hour threshold being the legislative boundary under the Sectoral Determination that triggers different minimum wage obligations. Role codes are derived via XLOOKUP from the Role_codes sheet the moment a designation is selected. Active/Inactive flagging controls which employees pull through to HR_Private. Conditional formatting fires on data presence - borders appear only on populated rows, keeping the register clean at scale.</t>
  </si>
  <si>
    <t>The legislative layer. Wholesale and Retail Sectoral Determination minimum wage rates are captured here by role, split across the two rate columns that correspond to the sub-27-hour and above-27-hour thresholds (CI 2(3)(b) and CI 2(3)(a) respectively). This sheet is the single update point for each new financial year - change the gazette rates here, and the correction propagates automatically through every downstream calculation in the system. No employee record needs to be touched. No formula needs to be rewritten. Compliance updates in one place.</t>
  </si>
  <si>
    <t>The bridge between human-readable designations and payroll-executable data. Every gazette-recognised role maps to a role code, a full extended description, and both gazette rate columns. When HR_Private needs to derive a rate for a specific employee, it uses this sheet via XLOOKUP with CHOOSECOLS - selecting the correct rate column (sub-27hr or above-27hr) based on the employee's contract type classification. The system never applies the wrong rate to the wrong contract type because the selection logic is encoded in the formula, not left to the person running payroll.</t>
  </si>
  <si>
    <t>The payroll execution sheet - access-controlled, selectively unlocked, and structurally separated from the operational register. Active employees are pulled from Emp_List using a FILTER function with SORTBY, sorted by Surname then Name, updating automatically as the master register changes. Hourly rates for gazette employees are derived from Role_codes based on contract type. Monthly salaries for permanent and management employees are captured in the unlocked salary column. The overtime conversion formula (monthly salary ÷ 180) produces the hourly equivalent required for overtime calculations under the BCEA - automatically, for every salaried employee, without manual intervention. The Roster Cost Rate column distinguishes between the gazette rate (for planning) and the actual rate (for payroll), ensuring that workforce planning and cost modelling draw from the correct figure for their respective purposes.</t>
  </si>
  <si>
    <t>COMPLIANCE BY DESIGN - NOT BY PROCEDURE</t>
  </si>
  <si>
    <t>The BCEA requires overtime to be calculated at 1.5x the employee's ordinary hourly rate. For monthly-salaried employees, that hourly rate is not stated - it must be derived. This system applies the standard 180-hour conversion (monthly salary ÷ 180) automatically for every permanent and management employee, producing the base hourly rate from which overtime can be correctly calculated downstream in the planning rosters.</t>
  </si>
  <si>
    <t>Management and owner-level employees (Contract Type M) are flagged to exclude from planning rosters - they appear in HR_Private for payroll purposes but do not pull through to shift planning tools. This prevents their cost rates from distorting hourly workforce planning calculations that are built around gazette-rate employees.</t>
  </si>
  <si>
    <t>Sheet protection with selective unlocking ensures data integrity at scale. In Emp_List, only the employee data input range is unlocked - structural columns are protected. In HR_Private, only the salary capture column is unlocked - all derived fields are formula-protected. In Gazetted_Rates, only the annual rate update cell is unlocked. Role_codes is fully locked. The system is designed to be used correctly by default.</t>
  </si>
  <si>
    <t>This system is built on the Basic Conditions of Employment Act (BCEA) and the Wholesale and Retail Sector Sectoral Determination issued under it. The Sectoral Determination sets minimum wages by role and contracted hours for the sector, updated annually by the Department of Labour. The 27-hour weekly threshold, the role classifications, the rate differentials, and the overtime calculation methodology are all statutory obligations - not operational preferences.
Building compliance into system architecture rather than relying on procedural adherence is the difference between a workforce management tool and a liability. This system is the former.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</si>
</sst>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R&quot;#,##0.00;[Red]\-&quot;R&quot;#,##0.00"/>
  </numFmts>
  <fonts count="16" x14ac:knownFonts="1">
    <font>
      <sz val="11"/>
      <color theme="1"/>
      <name val="Aptos Narrow"/>
      <family val="2"/>
      <scheme val="minor"/>
    </font>
    <font>
      <b/>
      <sz val="11"/>
      <color theme="0"/>
      <name val="Aptos Narrow"/>
      <family val="2"/>
      <scheme val="minor"/>
    </font>
    <font>
      <b/>
      <sz val="11"/>
      <color theme="1"/>
      <name val="Aptos Narrow"/>
      <family val="2"/>
      <scheme val="minor"/>
    </font>
    <font>
      <b/>
      <sz val="12"/>
      <color theme="0"/>
      <name val="Aptos Narrow"/>
      <family val="2"/>
      <scheme val="minor"/>
    </font>
    <font>
      <sz val="12"/>
      <name val="Aptos Narrow"/>
      <family val="2"/>
      <scheme val="minor"/>
    </font>
    <font>
      <sz val="12"/>
      <color theme="1"/>
      <name val="Aptos Narrow"/>
      <family val="2"/>
      <scheme val="minor"/>
    </font>
    <font>
      <b/>
      <sz val="11"/>
      <color theme="0"/>
      <name val="Aptos"/>
      <family val="2"/>
    </font>
    <font>
      <sz val="11"/>
      <color theme="1"/>
      <name val="Aptos"/>
      <family val="2"/>
    </font>
    <font>
      <b/>
      <sz val="22"/>
      <color theme="0"/>
      <name val="Aptos"/>
      <family val="2"/>
    </font>
    <font>
      <b/>
      <sz val="15"/>
      <color rgb="FFC9A84C"/>
      <name val="Arial"/>
    </font>
    <font>
      <i/>
      <sz val="9"/>
      <color rgb="FFC9A84C"/>
      <name val="Arial"/>
    </font>
    <font>
      <b/>
      <sz val="11"/>
      <color rgb="FFFFFFFF"/>
      <name val="Arial"/>
    </font>
    <font>
      <sz val="10"/>
      <color rgb="FF2C3E50"/>
      <name val="Arial"/>
    </font>
    <font>
      <sz val="10"/>
      <color rgb="FF1A2B35"/>
      <name val="Arial"/>
    </font>
    <font>
      <b/>
      <sz val="9"/>
      <color rgb="FF104861"/>
      <name val="Arial"/>
    </font>
    <font>
      <sz val="10"/>
      <color rgb="FF2C3E50"/>
      <name val="Arial"/>
      <family val="2"/>
    </font>
  </fonts>
  <fills count="12">
    <fill>
      <patternFill patternType="none"/>
    </fill>
    <fill>
      <patternFill patternType="gray125"/>
    </fill>
    <fill>
      <patternFill patternType="solid">
        <fgColor theme="4" tint="-0.249977111117893"/>
        <bgColor indexed="64"/>
      </patternFill>
    </fill>
    <fill>
      <patternFill patternType="solid">
        <fgColor theme="4" tint="0.79998168889431442"/>
        <bgColor indexed="64"/>
      </patternFill>
    </fill>
    <fill>
      <patternFill patternType="solid">
        <fgColor rgb="FF104861"/>
        <bgColor indexed="64"/>
      </patternFill>
    </fill>
    <fill>
      <patternFill patternType="solid">
        <fgColor rgb="FF104861"/>
      </patternFill>
    </fill>
    <fill>
      <patternFill patternType="solid">
        <fgColor rgb="FF1A6B87"/>
      </patternFill>
    </fill>
    <fill>
      <patternFill patternType="solid">
        <fgColor rgb="FFFFFFFF"/>
      </patternFill>
    </fill>
    <fill>
      <patternFill patternType="solid">
        <fgColor rgb="FFF2F6F8"/>
      </patternFill>
    </fill>
    <fill>
      <patternFill patternType="solid">
        <fgColor rgb="FFEBF5FB"/>
      </patternFill>
    </fill>
    <fill>
      <patternFill patternType="solid">
        <fgColor rgb="FFD6EAF2"/>
      </patternFill>
    </fill>
    <fill>
      <patternFill patternType="solid">
        <fgColor theme="0" tint="-0.14999847407452621"/>
        <bgColor indexed="64"/>
      </patternFill>
    </fill>
  </fills>
  <borders count="23">
    <border>
      <left/>
      <right/>
      <top/>
      <bottom/>
      <diagonal/>
    </border>
    <border>
      <left style="thin">
        <color theme="4" tint="-0.24994659260841701"/>
      </left>
      <right style="thin">
        <color theme="4" tint="-0.24994659260841701"/>
      </right>
      <top style="thin">
        <color theme="4" tint="-0.24994659260841701"/>
      </top>
      <bottom style="thin">
        <color theme="4" tint="-0.24994659260841701"/>
      </bottom>
      <diagonal/>
    </border>
    <border>
      <left/>
      <right/>
      <top style="thin">
        <color theme="4" tint="-0.499984740745262"/>
      </top>
      <bottom/>
      <diagonal/>
    </border>
    <border>
      <left/>
      <right style="thin">
        <color theme="4" tint="-0.499984740745262"/>
      </right>
      <top style="thin">
        <color theme="4" tint="-0.499984740745262"/>
      </top>
      <bottom/>
      <diagonal/>
    </border>
    <border>
      <left style="thin">
        <color theme="4" tint="-0.499984740745262"/>
      </left>
      <right/>
      <top/>
      <bottom/>
      <diagonal/>
    </border>
    <border>
      <left/>
      <right style="thin">
        <color theme="4" tint="-0.499984740745262"/>
      </right>
      <top/>
      <bottom/>
      <diagonal/>
    </border>
    <border>
      <left style="thin">
        <color theme="4" tint="-0.499984740745262"/>
      </left>
      <right/>
      <top/>
      <bottom style="thin">
        <color theme="4" tint="-0.499984740745262"/>
      </bottom>
      <diagonal/>
    </border>
    <border>
      <left/>
      <right/>
      <top/>
      <bottom style="thin">
        <color theme="4" tint="-0.499984740745262"/>
      </bottom>
      <diagonal/>
    </border>
    <border>
      <left/>
      <right style="thin">
        <color theme="4" tint="-0.499984740745262"/>
      </right>
      <top/>
      <bottom style="thin">
        <color theme="4" tint="-0.499984740745262"/>
      </bottom>
      <diagonal/>
    </border>
    <border>
      <left style="thin">
        <color theme="4" tint="-0.499984740745262"/>
      </left>
      <right style="thin">
        <color theme="4" tint="-0.499984740745262"/>
      </right>
      <top style="thin">
        <color theme="4" tint="-0.499984740745262"/>
      </top>
      <bottom style="thin">
        <color theme="4" tint="-0.499984740745262"/>
      </bottom>
      <diagonal/>
    </border>
    <border>
      <left/>
      <right/>
      <top style="thin">
        <color theme="4" tint="-0.24994659260841701"/>
      </top>
      <bottom/>
      <diagonal/>
    </border>
    <border>
      <left/>
      <right style="thin">
        <color theme="4" tint="-0.24994659260841701"/>
      </right>
      <top style="thin">
        <color theme="4" tint="-0.24994659260841701"/>
      </top>
      <bottom/>
      <diagonal/>
    </border>
    <border>
      <left/>
      <right style="thin">
        <color theme="4" tint="-0.24994659260841701"/>
      </right>
      <top style="thin">
        <color theme="4" tint="-0.24994659260841701"/>
      </top>
      <bottom style="thin">
        <color theme="4" tint="-0.24994659260841701"/>
      </bottom>
      <diagonal/>
    </border>
    <border>
      <left/>
      <right/>
      <top style="thin">
        <color theme="4" tint="-0.24994659260841701"/>
      </top>
      <bottom style="thin">
        <color theme="4" tint="-0.24994659260841701"/>
      </bottom>
      <diagonal/>
    </border>
    <border>
      <left style="thin">
        <color theme="4" tint="-0.24994659260841701"/>
      </left>
      <right style="thin">
        <color theme="4" tint="-0.24994659260841701"/>
      </right>
      <top/>
      <bottom style="thin">
        <color theme="4" tint="-0.24994659260841701"/>
      </bottom>
      <diagonal/>
    </border>
    <border>
      <left style="thin">
        <color rgb="FF104861"/>
      </left>
      <right style="thin">
        <color rgb="FF104861"/>
      </right>
      <top style="thin">
        <color rgb="FF104861"/>
      </top>
      <bottom style="thin">
        <color rgb="FF104861"/>
      </bottom>
      <diagonal/>
    </border>
    <border>
      <left style="thin">
        <color indexed="64"/>
      </left>
      <right style="thin">
        <color rgb="FF104861"/>
      </right>
      <top style="thin">
        <color indexed="64"/>
      </top>
      <bottom style="thin">
        <color indexed="64"/>
      </bottom>
      <diagonal/>
    </border>
    <border>
      <left/>
      <right style="thin">
        <color indexed="64"/>
      </right>
      <top style="thin">
        <color indexed="64"/>
      </top>
      <bottom style="thin">
        <color indexed="64"/>
      </bottom>
      <diagonal/>
    </border>
    <border>
      <left style="thin">
        <color theme="4" tint="-0.24994659260841701"/>
      </left>
      <right/>
      <top style="thin">
        <color theme="4" tint="-0.24994659260841701"/>
      </top>
      <bottom style="thin">
        <color theme="4" tint="-0.24994659260841701"/>
      </bottom>
      <diagonal/>
    </border>
    <border>
      <left style="thin">
        <color rgb="FF104861"/>
      </left>
      <right style="thin">
        <color rgb="FF104861"/>
      </right>
      <top style="thin">
        <color theme="4" tint="-0.24994659260841701"/>
      </top>
      <bottom style="thin">
        <color theme="4" tint="-0.24994659260841701"/>
      </bottom>
      <diagonal/>
    </border>
    <border>
      <left style="thin">
        <color theme="4" tint="-0.24994659260841701"/>
      </left>
      <right/>
      <top style="thin">
        <color theme="4" tint="-0.24994659260841701"/>
      </top>
      <bottom/>
      <diagonal/>
    </border>
    <border>
      <left style="thin">
        <color rgb="FF104861"/>
      </left>
      <right style="thin">
        <color rgb="FF104861"/>
      </right>
      <top style="thin">
        <color theme="4" tint="-0.24994659260841701"/>
      </top>
      <bottom/>
      <diagonal/>
    </border>
    <border>
      <left/>
      <right style="thin">
        <color rgb="FF104861"/>
      </right>
      <top style="thin">
        <color rgb="FF104861"/>
      </top>
      <bottom style="thin">
        <color rgb="FF104861"/>
      </bottom>
      <diagonal/>
    </border>
  </borders>
  <cellStyleXfs count="1">
    <xf numFmtId="0" fontId="0" fillId="0" borderId="0"/>
  </cellStyleXfs>
  <cellXfs count="81">
    <xf numFmtId="0" fontId="0" fillId="0" borderId="0" xfId="0"/>
    <xf numFmtId="0" fontId="0" fillId="0" borderId="0" xfId="0" applyProtection="1">
      <protection locked="0"/>
    </xf>
    <xf numFmtId="0" fontId="0" fillId="0" borderId="0" xfId="0" applyAlignment="1">
      <alignment wrapText="1"/>
    </xf>
    <xf numFmtId="8" fontId="0" fillId="0" borderId="0" xfId="0" applyNumberFormat="1" applyProtection="1">
      <protection locked="0"/>
    </xf>
    <xf numFmtId="0" fontId="3" fillId="2" borderId="1" xfId="0" applyFont="1" applyFill="1" applyBorder="1" applyAlignment="1">
      <alignment horizontal="center" vertical="center" wrapText="1"/>
    </xf>
    <xf numFmtId="0" fontId="3" fillId="2" borderId="1" xfId="0" applyFont="1" applyFill="1" applyBorder="1"/>
    <xf numFmtId="0" fontId="5" fillId="3" borderId="1" xfId="0" applyFont="1" applyFill="1" applyBorder="1" applyAlignment="1">
      <alignment wrapText="1"/>
    </xf>
    <xf numFmtId="8" fontId="5" fillId="0" borderId="1" xfId="0" applyNumberFormat="1" applyFont="1" applyBorder="1" applyProtection="1">
      <protection locked="0"/>
    </xf>
    <xf numFmtId="0" fontId="2" fillId="0" borderId="1" xfId="0" applyFont="1" applyBorder="1" applyProtection="1">
      <protection locked="0"/>
    </xf>
    <xf numFmtId="0" fontId="5" fillId="0" borderId="1" xfId="0" applyFont="1" applyBorder="1" applyAlignment="1" applyProtection="1">
      <alignment wrapText="1"/>
      <protection locked="0"/>
    </xf>
    <xf numFmtId="8" fontId="0" fillId="0" borderId="1" xfId="0" applyNumberFormat="1" applyBorder="1" applyProtection="1">
      <protection locked="0"/>
    </xf>
    <xf numFmtId="0" fontId="1" fillId="2" borderId="1" xfId="0" applyFont="1" applyFill="1" applyBorder="1" applyAlignment="1" applyProtection="1">
      <alignment horizontal="center" vertical="center"/>
      <protection locked="0"/>
    </xf>
    <xf numFmtId="0" fontId="2" fillId="0" borderId="0" xfId="0" applyFont="1" applyAlignment="1" applyProtection="1">
      <alignment horizontal="center" vertical="center"/>
      <protection locked="0"/>
    </xf>
    <xf numFmtId="0" fontId="0" fillId="0" borderId="0" xfId="0" quotePrefix="1" applyProtection="1">
      <protection locked="0"/>
    </xf>
    <xf numFmtId="0" fontId="6" fillId="4" borderId="0" xfId="0" applyFont="1" applyFill="1" applyAlignment="1">
      <alignment wrapText="1"/>
    </xf>
    <xf numFmtId="0" fontId="1" fillId="4" borderId="0" xfId="0" applyFont="1" applyFill="1"/>
    <xf numFmtId="0" fontId="1" fillId="4" borderId="0" xfId="0" applyFont="1" applyFill="1" applyAlignment="1">
      <alignment horizontal="center" vertical="center"/>
    </xf>
    <xf numFmtId="0" fontId="1" fillId="0" borderId="0" xfId="0" applyFont="1"/>
    <xf numFmtId="0" fontId="6" fillId="4" borderId="0" xfId="0" applyFont="1" applyFill="1" applyAlignment="1">
      <alignment horizontal="center" vertical="center" wrapText="1"/>
    </xf>
    <xf numFmtId="0" fontId="1" fillId="4" borderId="0" xfId="0" applyFont="1" applyFill="1" applyAlignment="1">
      <alignment horizontal="center" vertical="center" wrapText="1"/>
    </xf>
    <xf numFmtId="0" fontId="1" fillId="0" borderId="0" xfId="0" applyFont="1" applyAlignment="1">
      <alignment horizontal="center" vertical="center" wrapText="1"/>
    </xf>
    <xf numFmtId="8" fontId="0" fillId="0" borderId="0" xfId="0" applyNumberFormat="1"/>
    <xf numFmtId="0" fontId="7" fillId="0" borderId="0" xfId="0" applyFont="1" applyAlignment="1" applyProtection="1">
      <alignment wrapText="1"/>
      <protection locked="0"/>
    </xf>
    <xf numFmtId="0" fontId="7" fillId="0" borderId="0" xfId="0" applyFont="1" applyAlignment="1">
      <alignment wrapText="1"/>
    </xf>
    <xf numFmtId="0" fontId="7" fillId="0" borderId="0" xfId="0" applyFont="1" applyAlignment="1">
      <alignment horizontal="center" vertical="center" wrapText="1"/>
    </xf>
    <xf numFmtId="49" fontId="0" fillId="0" borderId="0" xfId="0" applyNumberFormat="1" applyAlignment="1">
      <alignment wrapText="1"/>
    </xf>
    <xf numFmtId="49" fontId="0" fillId="0" borderId="0" xfId="0" applyNumberFormat="1"/>
    <xf numFmtId="49" fontId="2" fillId="0" borderId="0" xfId="0" applyNumberFormat="1" applyFont="1" applyAlignment="1">
      <alignment vertical="top" wrapText="1"/>
    </xf>
    <xf numFmtId="49" fontId="0" fillId="0" borderId="0" xfId="0" applyNumberFormat="1" applyAlignment="1">
      <alignment vertical="top" wrapText="1"/>
    </xf>
    <xf numFmtId="0" fontId="8" fillId="4" borderId="0" xfId="0" applyFont="1" applyFill="1" applyAlignment="1">
      <alignment horizontal="center" vertical="center" wrapText="1"/>
    </xf>
    <xf numFmtId="0" fontId="3" fillId="2" borderId="1" xfId="0" applyFont="1" applyFill="1" applyBorder="1" applyAlignment="1">
      <alignment horizontal="center"/>
    </xf>
    <xf numFmtId="0" fontId="0" fillId="0" borderId="12" xfId="0" applyBorder="1"/>
    <xf numFmtId="0" fontId="0" fillId="0" borderId="13" xfId="0" applyBorder="1"/>
    <xf numFmtId="0" fontId="3" fillId="2" borderId="1" xfId="0" applyFont="1" applyFill="1" applyBorder="1" applyAlignment="1">
      <alignment horizontal="center" vertical="center" wrapText="1"/>
    </xf>
    <xf numFmtId="0" fontId="0" fillId="0" borderId="14" xfId="0" applyBorder="1"/>
    <xf numFmtId="0" fontId="4" fillId="0" borderId="1" xfId="0" applyFont="1" applyBorder="1" applyAlignment="1" applyProtection="1">
      <alignment horizontal="center"/>
      <protection locked="0"/>
    </xf>
    <xf numFmtId="0" fontId="0" fillId="0" borderId="13" xfId="0" applyBorder="1" applyProtection="1">
      <protection locked="0"/>
    </xf>
    <xf numFmtId="0" fontId="0" fillId="0" borderId="12" xfId="0" applyBorder="1" applyProtection="1">
      <protection locked="0"/>
    </xf>
    <xf numFmtId="0" fontId="6" fillId="4" borderId="2" xfId="0" applyFont="1" applyFill="1" applyBorder="1" applyAlignment="1">
      <alignment horizontal="left" wrapText="1"/>
    </xf>
    <xf numFmtId="0" fontId="0" fillId="0" borderId="2" xfId="0" applyBorder="1"/>
    <xf numFmtId="0" fontId="8" fillId="4" borderId="9" xfId="0" applyFont="1" applyFill="1" applyBorder="1" applyAlignment="1">
      <alignment horizontal="center" vertical="center" wrapText="1"/>
    </xf>
    <xf numFmtId="0" fontId="0" fillId="0" borderId="3" xfId="0" applyBorder="1"/>
    <xf numFmtId="0" fontId="0" fillId="0" borderId="4" xfId="0" applyBorder="1"/>
    <xf numFmtId="0" fontId="7" fillId="0" borderId="0" xfId="0" applyFont="1" applyAlignment="1">
      <alignment wrapText="1"/>
    </xf>
    <xf numFmtId="0" fontId="0" fillId="0" borderId="5" xfId="0" applyBorder="1"/>
    <xf numFmtId="0" fontId="0" fillId="0" borderId="6" xfId="0" applyBorder="1"/>
    <xf numFmtId="0" fontId="0" fillId="0" borderId="7" xfId="0" applyBorder="1"/>
    <xf numFmtId="0" fontId="0" fillId="0" borderId="8" xfId="0" applyBorder="1"/>
    <xf numFmtId="0" fontId="6" fillId="4" borderId="9" xfId="0" applyFont="1" applyFill="1" applyBorder="1" applyAlignment="1">
      <alignment horizontal="center" vertical="center" wrapText="1"/>
    </xf>
    <xf numFmtId="0" fontId="1" fillId="0" borderId="0" xfId="0" applyFont="1" applyAlignment="1">
      <alignment horizontal="center" vertical="center" wrapText="1"/>
    </xf>
    <xf numFmtId="0" fontId="0" fillId="5" borderId="0" xfId="0" applyFill="1" applyProtection="1"/>
    <xf numFmtId="0" fontId="0" fillId="0" borderId="0" xfId="0" applyProtection="1"/>
    <xf numFmtId="0" fontId="9" fillId="5" borderId="0" xfId="0" applyFont="1" applyFill="1" applyAlignment="1" applyProtection="1">
      <alignment horizontal="left" vertical="center" wrapText="1"/>
    </xf>
    <xf numFmtId="0" fontId="0" fillId="0" borderId="0" xfId="0" applyProtection="1"/>
    <xf numFmtId="0" fontId="0" fillId="6" borderId="0" xfId="0" applyFill="1" applyProtection="1"/>
    <xf numFmtId="0" fontId="10" fillId="6" borderId="0" xfId="0" applyFont="1" applyFill="1" applyAlignment="1" applyProtection="1">
      <alignment horizontal="left" vertical="center"/>
    </xf>
    <xf numFmtId="0" fontId="0" fillId="7" borderId="0" xfId="0" applyFill="1" applyProtection="1"/>
    <xf numFmtId="0" fontId="0" fillId="5" borderId="18" xfId="0" applyFill="1" applyBorder="1" applyProtection="1"/>
    <xf numFmtId="0" fontId="11" fillId="5" borderId="19" xfId="0" applyFont="1" applyFill="1" applyBorder="1" applyAlignment="1" applyProtection="1">
      <alignment horizontal="left" vertical="center"/>
    </xf>
    <xf numFmtId="0" fontId="0" fillId="0" borderId="13" xfId="0" applyBorder="1" applyProtection="1"/>
    <xf numFmtId="0" fontId="0" fillId="5" borderId="12" xfId="0" applyFill="1" applyBorder="1" applyProtection="1"/>
    <xf numFmtId="0" fontId="0" fillId="11" borderId="0" xfId="0" applyFill="1" applyProtection="1"/>
    <xf numFmtId="0" fontId="12" fillId="11" borderId="16" xfId="0" applyFont="1" applyFill="1" applyBorder="1" applyAlignment="1" applyProtection="1">
      <alignment horizontal="left" vertical="top" wrapText="1"/>
    </xf>
    <xf numFmtId="0" fontId="0" fillId="11" borderId="17" xfId="0" applyFill="1" applyBorder="1" applyProtection="1"/>
    <xf numFmtId="0" fontId="0" fillId="5" borderId="20" xfId="0" applyFill="1" applyBorder="1" applyProtection="1"/>
    <xf numFmtId="0" fontId="11" fillId="5" borderId="21" xfId="0" applyFont="1" applyFill="1" applyBorder="1" applyAlignment="1" applyProtection="1">
      <alignment horizontal="left" vertical="center"/>
    </xf>
    <xf numFmtId="0" fontId="0" fillId="0" borderId="10" xfId="0" applyBorder="1" applyProtection="1"/>
    <xf numFmtId="0" fontId="0" fillId="5" borderId="11" xfId="0" applyFill="1" applyBorder="1" applyProtection="1"/>
    <xf numFmtId="0" fontId="13" fillId="9" borderId="0" xfId="0" applyFont="1" applyFill="1" applyBorder="1" applyAlignment="1" applyProtection="1">
      <alignment horizontal="left" vertical="top" wrapText="1"/>
    </xf>
    <xf numFmtId="0" fontId="14" fillId="10" borderId="1" xfId="0" applyFont="1" applyFill="1" applyBorder="1" applyAlignment="1" applyProtection="1">
      <alignment horizontal="left" vertical="top" wrapText="1"/>
    </xf>
    <xf numFmtId="0" fontId="15" fillId="9" borderId="1" xfId="0" applyFont="1" applyFill="1" applyBorder="1" applyAlignment="1" applyProtection="1">
      <alignment horizontal="left" vertical="top" wrapText="1"/>
    </xf>
    <xf numFmtId="0" fontId="13" fillId="8" borderId="0" xfId="0" applyFont="1" applyFill="1" applyBorder="1" applyAlignment="1" applyProtection="1">
      <alignment horizontal="left" vertical="top" wrapText="1"/>
    </xf>
    <xf numFmtId="0" fontId="12" fillId="8" borderId="1" xfId="0" applyFont="1" applyFill="1" applyBorder="1" applyAlignment="1" applyProtection="1">
      <alignment horizontal="left" vertical="top" wrapText="1"/>
    </xf>
    <xf numFmtId="0" fontId="12" fillId="9" borderId="1" xfId="0" applyFont="1" applyFill="1" applyBorder="1" applyAlignment="1" applyProtection="1">
      <alignment horizontal="left" vertical="top" wrapText="1"/>
    </xf>
    <xf numFmtId="0" fontId="0" fillId="5" borderId="1" xfId="0" applyFill="1" applyBorder="1" applyProtection="1"/>
    <xf numFmtId="0" fontId="11" fillId="5" borderId="1" xfId="0" applyFont="1" applyFill="1" applyBorder="1" applyAlignment="1" applyProtection="1">
      <alignment horizontal="left" vertical="center"/>
    </xf>
    <xf numFmtId="0" fontId="0" fillId="0" borderId="1" xfId="0" applyBorder="1" applyProtection="1"/>
    <xf numFmtId="0" fontId="0" fillId="9" borderId="0" xfId="0" applyFill="1" applyProtection="1"/>
    <xf numFmtId="0" fontId="12" fillId="9" borderId="15" xfId="0" applyFont="1" applyFill="1" applyBorder="1" applyAlignment="1" applyProtection="1">
      <alignment horizontal="left" vertical="top" wrapText="1"/>
    </xf>
    <xf numFmtId="0" fontId="0" fillId="0" borderId="22" xfId="0" applyBorder="1" applyProtection="1"/>
    <xf numFmtId="0" fontId="10" fillId="5" borderId="19" xfId="0" applyFont="1" applyFill="1" applyBorder="1" applyAlignment="1" applyProtection="1">
      <alignment horizontal="center" vertical="center"/>
    </xf>
  </cellXfs>
  <cellStyles count="1">
    <cellStyle name="Normal" xfId="0" builtinId="0"/>
  </cellStyles>
  <dxfs count="6">
    <dxf>
      <border>
        <left style="thin">
          <color theme="3"/>
        </left>
        <right style="thin">
          <color theme="3"/>
        </right>
        <top style="thin">
          <color theme="3"/>
        </top>
        <bottom style="thin">
          <color theme="3"/>
        </bottom>
        <vertical/>
        <horizontal/>
      </border>
    </dxf>
    <dxf>
      <border>
        <left style="thin">
          <color theme="4" tint="-0.24994659260841701"/>
        </left>
        <right style="thin">
          <color theme="4" tint="-0.24994659260841701"/>
        </right>
        <top style="thin">
          <color theme="4" tint="-0.24994659260841701"/>
        </top>
        <bottom style="thin">
          <color theme="4" tint="-0.24994659260841701"/>
        </bottom>
        <vertical/>
        <horizontal/>
      </border>
    </dxf>
    <dxf>
      <border>
        <left style="thin">
          <color theme="4" tint="-0.24994659260841701"/>
        </left>
        <right style="thin">
          <color theme="4" tint="-0.24994659260841701"/>
        </right>
        <top style="thin">
          <color theme="4" tint="-0.24994659260841701"/>
        </top>
        <bottom style="thin">
          <color theme="4" tint="-0.24994659260841701"/>
        </bottom>
        <vertical/>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border>
    </dxf>
    <dxf>
      <fill>
        <patternFill>
          <bgColor theme="5" tint="0.79998168889431442"/>
        </patternFill>
      </fill>
    </dxf>
    <dxf>
      <font>
        <b/>
        <strike val="0"/>
      </font>
      <fill>
        <patternFill>
          <bgColor theme="3" tint="0.8999603259376811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1"/>
  <sheetViews>
    <sheetView showGridLines="0" tabSelected="1" zoomScaleNormal="100" workbookViewId="0">
      <selection activeCell="G28" sqref="A1:XFD1048576"/>
    </sheetView>
  </sheetViews>
  <sheetFormatPr defaultRowHeight="14.5" x14ac:dyDescent="0.35"/>
  <cols>
    <col min="1" max="1" width="3" style="51" customWidth="1"/>
    <col min="2" max="2" width="22" style="51" customWidth="1"/>
    <col min="3" max="3" width="72" style="51" customWidth="1"/>
    <col min="4" max="4" width="3" style="51" customWidth="1"/>
    <col min="5" max="16384" width="8.7265625" style="51"/>
  </cols>
  <sheetData>
    <row r="1" spans="1:4" ht="6" customHeight="1" x14ac:dyDescent="0.35">
      <c r="A1" s="50"/>
      <c r="B1" s="50"/>
      <c r="C1" s="50"/>
      <c r="D1" s="50"/>
    </row>
    <row r="2" spans="1:4" ht="54" customHeight="1" x14ac:dyDescent="0.35">
      <c r="A2" s="50"/>
      <c r="B2" s="52" t="s">
        <v>23</v>
      </c>
      <c r="C2" s="53"/>
      <c r="D2" s="50"/>
    </row>
    <row r="3" spans="1:4" ht="6" customHeight="1" x14ac:dyDescent="0.35">
      <c r="A3" s="50"/>
      <c r="B3" s="50"/>
      <c r="C3" s="50"/>
      <c r="D3" s="50"/>
    </row>
    <row r="4" spans="1:4" ht="18" customHeight="1" x14ac:dyDescent="0.35">
      <c r="A4" s="54"/>
      <c r="B4" s="55" t="s">
        <v>24</v>
      </c>
      <c r="C4" s="53"/>
      <c r="D4" s="54"/>
    </row>
    <row r="5" spans="1:4" ht="8" customHeight="1" x14ac:dyDescent="0.35">
      <c r="A5" s="56"/>
      <c r="B5" s="56"/>
      <c r="C5" s="56"/>
      <c r="D5" s="56"/>
    </row>
    <row r="6" spans="1:4" ht="22" customHeight="1" x14ac:dyDescent="0.35">
      <c r="A6" s="57"/>
      <c r="B6" s="58" t="s">
        <v>25</v>
      </c>
      <c r="C6" s="59"/>
      <c r="D6" s="60"/>
    </row>
    <row r="7" spans="1:4" ht="4" customHeight="1" x14ac:dyDescent="0.35">
      <c r="A7" s="61"/>
      <c r="B7" s="61"/>
      <c r="C7" s="61"/>
      <c r="D7" s="61"/>
    </row>
    <row r="8" spans="1:4" ht="95.5" customHeight="1" x14ac:dyDescent="0.35">
      <c r="A8" s="61"/>
      <c r="B8" s="62" t="s">
        <v>160</v>
      </c>
      <c r="C8" s="63"/>
      <c r="D8" s="61"/>
    </row>
    <row r="9" spans="1:4" ht="8" customHeight="1" x14ac:dyDescent="0.35">
      <c r="A9" s="61"/>
      <c r="B9" s="61"/>
      <c r="C9" s="61"/>
      <c r="D9" s="61"/>
    </row>
    <row r="10" spans="1:4" ht="22" customHeight="1" x14ac:dyDescent="0.35">
      <c r="A10" s="64"/>
      <c r="B10" s="65" t="s">
        <v>26</v>
      </c>
      <c r="C10" s="66"/>
      <c r="D10" s="67"/>
    </row>
    <row r="11" spans="1:4" ht="4" customHeight="1" x14ac:dyDescent="0.35">
      <c r="A11" s="68"/>
      <c r="B11" s="68"/>
      <c r="C11" s="68"/>
      <c r="D11" s="68"/>
    </row>
    <row r="12" spans="1:4" ht="90" customHeight="1" x14ac:dyDescent="0.35">
      <c r="A12" s="68"/>
      <c r="B12" s="69" t="s">
        <v>27</v>
      </c>
      <c r="C12" s="70" t="s">
        <v>161</v>
      </c>
      <c r="D12" s="68"/>
    </row>
    <row r="13" spans="1:4" ht="90" customHeight="1" x14ac:dyDescent="0.35">
      <c r="A13" s="71"/>
      <c r="B13" s="69" t="s">
        <v>28</v>
      </c>
      <c r="C13" s="72" t="s">
        <v>162</v>
      </c>
      <c r="D13" s="71"/>
    </row>
    <row r="14" spans="1:4" ht="90" customHeight="1" x14ac:dyDescent="0.35">
      <c r="A14" s="68"/>
      <c r="B14" s="69" t="s">
        <v>29</v>
      </c>
      <c r="C14" s="73" t="s">
        <v>163</v>
      </c>
      <c r="D14" s="68"/>
    </row>
    <row r="15" spans="1:4" ht="90" customHeight="1" x14ac:dyDescent="0.35">
      <c r="A15" s="71"/>
      <c r="B15" s="69" t="s">
        <v>30</v>
      </c>
      <c r="C15" s="72" t="s">
        <v>164</v>
      </c>
      <c r="D15" s="71"/>
    </row>
    <row r="16" spans="1:4" ht="90" customHeight="1" x14ac:dyDescent="0.35">
      <c r="A16" s="68"/>
      <c r="B16" s="69" t="s">
        <v>31</v>
      </c>
      <c r="C16" s="73" t="s">
        <v>32</v>
      </c>
      <c r="D16" s="68"/>
    </row>
    <row r="17" spans="1:4" ht="8" customHeight="1" x14ac:dyDescent="0.35">
      <c r="A17" s="68"/>
      <c r="B17" s="68"/>
      <c r="C17" s="68"/>
      <c r="D17" s="68"/>
    </row>
    <row r="18" spans="1:4" ht="22" customHeight="1" x14ac:dyDescent="0.35">
      <c r="A18" s="57"/>
      <c r="B18" s="58" t="s">
        <v>165</v>
      </c>
      <c r="C18" s="59"/>
      <c r="D18" s="60"/>
    </row>
    <row r="19" spans="1:4" ht="4" customHeight="1" x14ac:dyDescent="0.35">
      <c r="A19" s="68"/>
      <c r="B19" s="68"/>
      <c r="C19" s="68"/>
      <c r="D19" s="68"/>
    </row>
    <row r="20" spans="1:4" ht="72" customHeight="1" x14ac:dyDescent="0.35">
      <c r="A20" s="68"/>
      <c r="B20" s="69" t="s">
        <v>33</v>
      </c>
      <c r="C20" s="73" t="s">
        <v>34</v>
      </c>
      <c r="D20" s="68"/>
    </row>
    <row r="21" spans="1:4" ht="72" customHeight="1" x14ac:dyDescent="0.35">
      <c r="A21" s="71"/>
      <c r="B21" s="69" t="s">
        <v>35</v>
      </c>
      <c r="C21" s="72" t="s">
        <v>36</v>
      </c>
      <c r="D21" s="71"/>
    </row>
    <row r="22" spans="1:4" ht="72" customHeight="1" x14ac:dyDescent="0.35">
      <c r="A22" s="68"/>
      <c r="B22" s="69" t="s">
        <v>37</v>
      </c>
      <c r="C22" s="73" t="s">
        <v>166</v>
      </c>
      <c r="D22" s="68"/>
    </row>
    <row r="23" spans="1:4" ht="72" customHeight="1" x14ac:dyDescent="0.35">
      <c r="A23" s="71"/>
      <c r="B23" s="69" t="s">
        <v>38</v>
      </c>
      <c r="C23" s="72" t="s">
        <v>167</v>
      </c>
      <c r="D23" s="71"/>
    </row>
    <row r="24" spans="1:4" ht="72" customHeight="1" x14ac:dyDescent="0.35">
      <c r="A24" s="68"/>
      <c r="B24" s="69" t="s">
        <v>39</v>
      </c>
      <c r="C24" s="73" t="s">
        <v>168</v>
      </c>
      <c r="D24" s="68"/>
    </row>
    <row r="25" spans="1:4" ht="8" customHeight="1" x14ac:dyDescent="0.35">
      <c r="A25" s="68"/>
      <c r="B25" s="68"/>
      <c r="C25" s="68"/>
      <c r="D25" s="68"/>
    </row>
    <row r="26" spans="1:4" ht="22" customHeight="1" x14ac:dyDescent="0.35">
      <c r="A26" s="74"/>
      <c r="B26" s="75" t="s">
        <v>40</v>
      </c>
      <c r="C26" s="76"/>
      <c r="D26" s="74"/>
    </row>
    <row r="27" spans="1:4" ht="4" customHeight="1" x14ac:dyDescent="0.35">
      <c r="A27" s="77"/>
      <c r="B27" s="77"/>
      <c r="C27" s="77"/>
      <c r="D27" s="77"/>
    </row>
    <row r="28" spans="1:4" ht="103.5" customHeight="1" x14ac:dyDescent="0.35">
      <c r="A28" s="77"/>
      <c r="B28" s="78" t="s">
        <v>169</v>
      </c>
      <c r="C28" s="79"/>
      <c r="D28" s="77"/>
    </row>
    <row r="29" spans="1:4" ht="8" customHeight="1" x14ac:dyDescent="0.35">
      <c r="A29" s="77"/>
      <c r="B29" s="77"/>
      <c r="C29" s="77"/>
      <c r="D29" s="77"/>
    </row>
    <row r="30" spans="1:4" ht="22" customHeight="1" x14ac:dyDescent="0.35">
      <c r="A30" s="57"/>
      <c r="B30" s="80" t="s">
        <v>41</v>
      </c>
      <c r="C30" s="59"/>
      <c r="D30" s="60"/>
    </row>
    <row r="37" spans="1:4" ht="3" customHeight="1" x14ac:dyDescent="0.35">
      <c r="A37" s="56"/>
      <c r="B37" s="56"/>
      <c r="C37" s="56"/>
      <c r="D37" s="56"/>
    </row>
    <row r="38" spans="1:4" ht="3" customHeight="1" x14ac:dyDescent="0.35">
      <c r="A38" s="56"/>
      <c r="B38" s="56"/>
      <c r="C38" s="56"/>
      <c r="D38" s="56"/>
    </row>
    <row r="39" spans="1:4" ht="3" customHeight="1" x14ac:dyDescent="0.35">
      <c r="A39" s="56"/>
      <c r="B39" s="56"/>
      <c r="C39" s="56"/>
      <c r="D39" s="56"/>
    </row>
    <row r="40" spans="1:4" ht="3" customHeight="1" x14ac:dyDescent="0.35">
      <c r="A40" s="56"/>
      <c r="B40" s="56"/>
      <c r="C40" s="56"/>
      <c r="D40" s="56"/>
    </row>
    <row r="41" spans="1:4" ht="3" customHeight="1" x14ac:dyDescent="0.35">
      <c r="A41" s="56"/>
      <c r="B41" s="56"/>
      <c r="C41" s="56"/>
      <c r="D41" s="56"/>
    </row>
  </sheetData>
  <sheetProtection sheet="1" objects="1" scenarios="1" selectLockedCells="1"/>
  <mergeCells count="9">
    <mergeCell ref="B6:C6"/>
    <mergeCell ref="B30:C30"/>
    <mergeCell ref="B2:C2"/>
    <mergeCell ref="B10:C10"/>
    <mergeCell ref="B28:C28"/>
    <mergeCell ref="B26:C26"/>
    <mergeCell ref="B18:C18"/>
    <mergeCell ref="B8:C8"/>
    <mergeCell ref="B4:C4"/>
  </mergeCells>
  <pageMargins left="0.75" right="0.75" top="1" bottom="1" header="0.5" footer="0.5"/>
  <pageSetup paperSize="9" scale="86" orientation="portrait" r:id="rId1"/>
  <rowBreaks count="1" manualBreakCount="1">
    <brk id="17"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00000"/>
  </sheetPr>
  <dimension ref="A1:B68"/>
  <sheetViews>
    <sheetView workbookViewId="0">
      <selection sqref="A1:A69"/>
    </sheetView>
  </sheetViews>
  <sheetFormatPr defaultColWidth="8.7265625" defaultRowHeight="14.5" x14ac:dyDescent="0.35"/>
  <cols>
    <col min="1" max="1" width="131.453125" style="26" customWidth="1"/>
    <col min="2" max="2" width="8.7265625" style="26" customWidth="1"/>
    <col min="3" max="16384" width="8.7265625" style="26"/>
  </cols>
  <sheetData>
    <row r="1" spans="1:2" x14ac:dyDescent="0.35">
      <c r="A1" s="25" t="s">
        <v>42</v>
      </c>
      <c r="B1" s="25"/>
    </row>
    <row r="2" spans="1:2" x14ac:dyDescent="0.35">
      <c r="A2" s="27" t="s">
        <v>43</v>
      </c>
      <c r="B2" s="25"/>
    </row>
    <row r="3" spans="1:2" x14ac:dyDescent="0.35">
      <c r="A3" s="28" t="s">
        <v>44</v>
      </c>
      <c r="B3" s="25"/>
    </row>
    <row r="4" spans="1:2" x14ac:dyDescent="0.35">
      <c r="A4" s="28" t="s">
        <v>45</v>
      </c>
      <c r="B4" s="25"/>
    </row>
    <row r="5" spans="1:2" x14ac:dyDescent="0.35">
      <c r="A5" s="28"/>
      <c r="B5" s="25"/>
    </row>
    <row r="6" spans="1:2" x14ac:dyDescent="0.35">
      <c r="A6" s="25" t="s">
        <v>46</v>
      </c>
      <c r="B6" s="25"/>
    </row>
    <row r="7" spans="1:2" ht="29" x14ac:dyDescent="0.35">
      <c r="A7" s="25" t="s">
        <v>47</v>
      </c>
      <c r="B7" s="25"/>
    </row>
    <row r="8" spans="1:2" x14ac:dyDescent="0.35">
      <c r="A8" s="25" t="s">
        <v>48</v>
      </c>
      <c r="B8" s="25"/>
    </row>
    <row r="9" spans="1:2" ht="29" x14ac:dyDescent="0.35">
      <c r="A9" s="25" t="s">
        <v>49</v>
      </c>
      <c r="B9" s="25"/>
    </row>
    <row r="10" spans="1:2" x14ac:dyDescent="0.35">
      <c r="A10" s="25" t="s">
        <v>50</v>
      </c>
      <c r="B10" s="25"/>
    </row>
    <row r="11" spans="1:2" x14ac:dyDescent="0.35">
      <c r="A11" s="25" t="s">
        <v>51</v>
      </c>
      <c r="B11" s="25"/>
    </row>
    <row r="12" spans="1:2" x14ac:dyDescent="0.35">
      <c r="A12" s="25"/>
      <c r="B12" s="25"/>
    </row>
    <row r="13" spans="1:2" x14ac:dyDescent="0.35">
      <c r="A13" s="25" t="s">
        <v>52</v>
      </c>
      <c r="B13" s="25"/>
    </row>
    <row r="14" spans="1:2" x14ac:dyDescent="0.35">
      <c r="A14" s="25" t="s">
        <v>53</v>
      </c>
      <c r="B14" s="25"/>
    </row>
    <row r="15" spans="1:2" x14ac:dyDescent="0.35">
      <c r="A15" s="25" t="s">
        <v>54</v>
      </c>
      <c r="B15" s="25"/>
    </row>
    <row r="16" spans="1:2" x14ac:dyDescent="0.35">
      <c r="A16" s="25" t="s">
        <v>55</v>
      </c>
      <c r="B16" s="25"/>
    </row>
    <row r="17" spans="1:2" x14ac:dyDescent="0.35">
      <c r="A17" s="25" t="s">
        <v>56</v>
      </c>
      <c r="B17" s="25"/>
    </row>
    <row r="18" spans="1:2" x14ac:dyDescent="0.35">
      <c r="A18" s="25"/>
      <c r="B18" s="25"/>
    </row>
    <row r="19" spans="1:2" x14ac:dyDescent="0.35">
      <c r="A19" s="25" t="s">
        <v>57</v>
      </c>
      <c r="B19" s="25"/>
    </row>
    <row r="20" spans="1:2" x14ac:dyDescent="0.35">
      <c r="A20" s="25" t="s">
        <v>58</v>
      </c>
      <c r="B20" s="25"/>
    </row>
    <row r="21" spans="1:2" x14ac:dyDescent="0.35">
      <c r="A21" s="25" t="s">
        <v>59</v>
      </c>
      <c r="B21" s="25"/>
    </row>
    <row r="22" spans="1:2" x14ac:dyDescent="0.35">
      <c r="A22" s="25" t="s">
        <v>60</v>
      </c>
      <c r="B22" s="25"/>
    </row>
    <row r="23" spans="1:2" x14ac:dyDescent="0.35">
      <c r="A23" s="25" t="s">
        <v>61</v>
      </c>
      <c r="B23" s="25"/>
    </row>
    <row r="24" spans="1:2" x14ac:dyDescent="0.35">
      <c r="A24" s="25" t="s">
        <v>62</v>
      </c>
      <c r="B24" s="25"/>
    </row>
    <row r="25" spans="1:2" x14ac:dyDescent="0.35">
      <c r="A25" s="25" t="s">
        <v>63</v>
      </c>
      <c r="B25" s="25"/>
    </row>
    <row r="26" spans="1:2" x14ac:dyDescent="0.35">
      <c r="A26" s="25" t="s">
        <v>64</v>
      </c>
      <c r="B26" s="25"/>
    </row>
    <row r="27" spans="1:2" x14ac:dyDescent="0.35">
      <c r="A27" s="25"/>
      <c r="B27" s="25"/>
    </row>
    <row r="28" spans="1:2" x14ac:dyDescent="0.35">
      <c r="A28" s="25" t="s">
        <v>65</v>
      </c>
      <c r="B28" s="25"/>
    </row>
    <row r="29" spans="1:2" x14ac:dyDescent="0.35">
      <c r="A29" s="25" t="s">
        <v>66</v>
      </c>
      <c r="B29" s="25"/>
    </row>
    <row r="30" spans="1:2" x14ac:dyDescent="0.35">
      <c r="A30" s="25" t="s">
        <v>67</v>
      </c>
      <c r="B30" s="25"/>
    </row>
    <row r="31" spans="1:2" x14ac:dyDescent="0.35">
      <c r="A31" s="25" t="s">
        <v>68</v>
      </c>
      <c r="B31" s="25"/>
    </row>
    <row r="32" spans="1:2" x14ac:dyDescent="0.35">
      <c r="A32" s="25" t="s">
        <v>43</v>
      </c>
      <c r="B32" s="25"/>
    </row>
    <row r="33" spans="1:2" x14ac:dyDescent="0.35">
      <c r="A33" s="25" t="s">
        <v>69</v>
      </c>
      <c r="B33" s="25"/>
    </row>
    <row r="34" spans="1:2" ht="29" customHeight="1" x14ac:dyDescent="0.35">
      <c r="A34" s="25" t="s">
        <v>70</v>
      </c>
      <c r="B34" s="25"/>
    </row>
    <row r="35" spans="1:2" x14ac:dyDescent="0.35">
      <c r="A35" s="25"/>
      <c r="B35" s="25"/>
    </row>
    <row r="36" spans="1:2" x14ac:dyDescent="0.35">
      <c r="A36" s="25" t="s">
        <v>71</v>
      </c>
      <c r="B36" s="25"/>
    </row>
    <row r="37" spans="1:2" x14ac:dyDescent="0.35">
      <c r="A37" s="25" t="s">
        <v>72</v>
      </c>
      <c r="B37" s="25"/>
    </row>
    <row r="39" spans="1:2" x14ac:dyDescent="0.35">
      <c r="A39" s="26" t="s">
        <v>73</v>
      </c>
    </row>
    <row r="40" spans="1:2" x14ac:dyDescent="0.35">
      <c r="A40" s="26" t="s">
        <v>74</v>
      </c>
    </row>
    <row r="42" spans="1:2" x14ac:dyDescent="0.35">
      <c r="A42" s="26" t="s">
        <v>75</v>
      </c>
    </row>
    <row r="43" spans="1:2" x14ac:dyDescent="0.35">
      <c r="A43" s="26" t="s">
        <v>76</v>
      </c>
    </row>
    <row r="45" spans="1:2" x14ac:dyDescent="0.35">
      <c r="A45" s="26" t="s">
        <v>52</v>
      </c>
    </row>
    <row r="46" spans="1:2" x14ac:dyDescent="0.35">
      <c r="A46" s="26" t="s">
        <v>53</v>
      </c>
    </row>
    <row r="47" spans="1:2" x14ac:dyDescent="0.35">
      <c r="A47" s="26" t="s">
        <v>54</v>
      </c>
    </row>
    <row r="48" spans="1:2" x14ac:dyDescent="0.35">
      <c r="A48" s="26" t="s">
        <v>55</v>
      </c>
    </row>
    <row r="49" spans="1:1" x14ac:dyDescent="0.35">
      <c r="A49" s="26" t="s">
        <v>77</v>
      </c>
    </row>
    <row r="51" spans="1:1" x14ac:dyDescent="0.35">
      <c r="A51" s="26" t="s">
        <v>78</v>
      </c>
    </row>
    <row r="52" spans="1:1" x14ac:dyDescent="0.35">
      <c r="A52" s="26" t="s">
        <v>79</v>
      </c>
    </row>
    <row r="53" spans="1:1" x14ac:dyDescent="0.35">
      <c r="A53" s="26" t="s">
        <v>80</v>
      </c>
    </row>
    <row r="54" spans="1:1" x14ac:dyDescent="0.35">
      <c r="A54" s="26" t="s">
        <v>57</v>
      </c>
    </row>
    <row r="55" spans="1:1" x14ac:dyDescent="0.35">
      <c r="A55" s="26" t="s">
        <v>81</v>
      </c>
    </row>
    <row r="57" spans="1:1" x14ac:dyDescent="0.35">
      <c r="A57" s="26" t="s">
        <v>68</v>
      </c>
    </row>
    <row r="58" spans="1:1" x14ac:dyDescent="0.35">
      <c r="A58" s="26" t="s">
        <v>82</v>
      </c>
    </row>
    <row r="59" spans="1:1" x14ac:dyDescent="0.35">
      <c r="A59" s="26" t="s">
        <v>65</v>
      </c>
    </row>
    <row r="60" spans="1:1" x14ac:dyDescent="0.35">
      <c r="A60" s="26" t="s">
        <v>83</v>
      </c>
    </row>
    <row r="62" spans="1:1" x14ac:dyDescent="0.35">
      <c r="A62" s="26" t="s">
        <v>84</v>
      </c>
    </row>
    <row r="63" spans="1:1" x14ac:dyDescent="0.35">
      <c r="A63" s="26" t="s">
        <v>85</v>
      </c>
    </row>
    <row r="64" spans="1:1" x14ac:dyDescent="0.35">
      <c r="A64" s="26" t="s">
        <v>86</v>
      </c>
    </row>
    <row r="65" spans="1:1" x14ac:dyDescent="0.35">
      <c r="A65" s="26" t="s">
        <v>55</v>
      </c>
    </row>
    <row r="66" spans="1:1" x14ac:dyDescent="0.35">
      <c r="A66" s="26" t="s">
        <v>87</v>
      </c>
    </row>
    <row r="67" spans="1:1" x14ac:dyDescent="0.35">
      <c r="A67" s="26" t="s">
        <v>88</v>
      </c>
    </row>
    <row r="68" spans="1:1" x14ac:dyDescent="0.35">
      <c r="A68" s="26" t="s">
        <v>87</v>
      </c>
    </row>
  </sheetData>
  <sheetProtection sheet="1" objects="1" scenarios="1" selectLockedCells="1" selectUnlockedCells="1"/>
  <conditionalFormatting sqref="A1:A77">
    <cfRule type="containsText" dxfId="5" priority="1" operator="containsText" text="W/S">
      <formula>NOT(ISERROR(SEARCH("W/S",A1)))</formula>
    </cfRule>
    <cfRule type="expression" dxfId="4" priority="2" stopIfTrue="1">
      <formula>LEFT($A1, 2)="--"</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00"/>
  <sheetViews>
    <sheetView workbookViewId="0">
      <pane ySplit="5" topLeftCell="A38" activePane="bottomLeft" state="frozen"/>
      <selection pane="bottomLeft" activeCell="H50" sqref="H50"/>
    </sheetView>
  </sheetViews>
  <sheetFormatPr defaultRowHeight="14.5" x14ac:dyDescent="0.35"/>
  <cols>
    <col min="1" max="1" width="13.7265625" style="23" customWidth="1"/>
    <col min="2" max="3" width="17.7265625" style="23" customWidth="1"/>
    <col min="4" max="5" width="21.08984375" style="23" customWidth="1"/>
    <col min="6" max="6" width="9.36328125" style="23" customWidth="1"/>
    <col min="7" max="7" width="10.08984375" style="23" customWidth="1"/>
    <col min="8" max="8" width="12.453125" style="23" customWidth="1"/>
    <col min="9" max="9" width="8.7265625" style="23" customWidth="1"/>
    <col min="10" max="16384" width="8.7265625" style="23"/>
  </cols>
  <sheetData>
    <row r="1" spans="1:8" ht="28.5" customHeight="1" x14ac:dyDescent="0.35">
      <c r="A1" s="40" t="s">
        <v>89</v>
      </c>
      <c r="B1" s="39"/>
      <c r="C1" s="39"/>
      <c r="D1" s="41"/>
      <c r="E1" s="29"/>
      <c r="F1" s="14"/>
      <c r="G1" s="14"/>
      <c r="H1" s="14"/>
    </row>
    <row r="2" spans="1:8" ht="28.5" customHeight="1" x14ac:dyDescent="0.35">
      <c r="A2" s="42"/>
      <c r="B2" s="43"/>
      <c r="C2" s="43"/>
      <c r="D2" s="44"/>
      <c r="E2" s="29"/>
      <c r="F2" s="14"/>
      <c r="G2" s="14"/>
      <c r="H2" s="14"/>
    </row>
    <row r="3" spans="1:8" ht="28.5" customHeight="1" x14ac:dyDescent="0.35">
      <c r="A3" s="45"/>
      <c r="B3" s="46"/>
      <c r="C3" s="46"/>
      <c r="D3" s="47"/>
      <c r="E3" s="29"/>
      <c r="F3" s="14"/>
      <c r="G3" s="14"/>
      <c r="H3" s="14"/>
    </row>
    <row r="4" spans="1:8" x14ac:dyDescent="0.35">
      <c r="A4" s="38" t="s">
        <v>90</v>
      </c>
      <c r="B4" s="39"/>
      <c r="C4" s="14"/>
      <c r="D4" s="14"/>
      <c r="E4" s="14"/>
      <c r="F4" s="14"/>
      <c r="G4" s="14"/>
      <c r="H4" s="14"/>
    </row>
    <row r="5" spans="1:8" s="24" customFormat="1" ht="29" customHeight="1" x14ac:dyDescent="0.35">
      <c r="A5" s="18" t="s">
        <v>91</v>
      </c>
      <c r="B5" s="18" t="s">
        <v>92</v>
      </c>
      <c r="C5" s="18" t="s">
        <v>93</v>
      </c>
      <c r="D5" s="18" t="s">
        <v>94</v>
      </c>
      <c r="E5" s="18" t="s">
        <v>95</v>
      </c>
      <c r="F5" s="18" t="s">
        <v>96</v>
      </c>
      <c r="G5" s="18" t="s">
        <v>97</v>
      </c>
      <c r="H5" s="18" t="s">
        <v>98</v>
      </c>
    </row>
    <row r="6" spans="1:8" x14ac:dyDescent="0.35">
      <c r="A6" s="23">
        <v>1001</v>
      </c>
      <c r="B6" s="22"/>
      <c r="C6" s="22"/>
      <c r="D6" s="22"/>
      <c r="E6" s="22"/>
      <c r="F6" s="22"/>
      <c r="G6" s="23" t="str">
        <f>_xlfn.XLOOKUP($D6, Role_codes!$B$2:$B$16, Role_codes!$A$2:$A$16, "")</f>
        <v/>
      </c>
      <c r="H6" s="22"/>
    </row>
    <row r="7" spans="1:8" x14ac:dyDescent="0.35">
      <c r="A7" s="23">
        <f t="shared" ref="A7:A38" si="0">A6+1</f>
        <v>1002</v>
      </c>
      <c r="B7" s="22"/>
      <c r="C7" s="22"/>
      <c r="D7" s="22"/>
      <c r="E7" s="22"/>
      <c r="F7" s="22"/>
      <c r="G7" s="23" t="str">
        <f>_xlfn.XLOOKUP($D7, Role_codes!$B$2:$B$16, Role_codes!$A$2:$A$16, "")</f>
        <v/>
      </c>
      <c r="H7" s="22"/>
    </row>
    <row r="8" spans="1:8" x14ac:dyDescent="0.35">
      <c r="A8" s="23">
        <f t="shared" si="0"/>
        <v>1003</v>
      </c>
      <c r="B8" s="22"/>
      <c r="C8" s="22"/>
      <c r="D8" s="22"/>
      <c r="E8" s="22"/>
      <c r="F8" s="22"/>
      <c r="G8" s="23" t="str">
        <f>_xlfn.XLOOKUP($D8, Role_codes!$B$2:$B$16, Role_codes!$A$2:$A$16, "")</f>
        <v/>
      </c>
      <c r="H8" s="22"/>
    </row>
    <row r="9" spans="1:8" x14ac:dyDescent="0.35">
      <c r="A9" s="23">
        <f t="shared" si="0"/>
        <v>1004</v>
      </c>
      <c r="B9" s="22"/>
      <c r="C9" s="22"/>
      <c r="D9" s="22"/>
      <c r="E9" s="22"/>
      <c r="F9" s="22"/>
      <c r="G9" s="23" t="str">
        <f>_xlfn.XLOOKUP($D9, Role_codes!$B$2:$B$16, Role_codes!$A$2:$A$16, "")</f>
        <v/>
      </c>
      <c r="H9" s="22"/>
    </row>
    <row r="10" spans="1:8" x14ac:dyDescent="0.35">
      <c r="A10" s="23">
        <f t="shared" si="0"/>
        <v>1005</v>
      </c>
      <c r="B10" s="22"/>
      <c r="C10" s="22"/>
      <c r="D10" s="22"/>
      <c r="E10" s="22"/>
      <c r="F10" s="22"/>
      <c r="G10" s="23" t="str">
        <f>_xlfn.XLOOKUP($D10, Role_codes!$B$2:$B$16, Role_codes!$A$2:$A$16, "")</f>
        <v/>
      </c>
      <c r="H10" s="22"/>
    </row>
    <row r="11" spans="1:8" x14ac:dyDescent="0.35">
      <c r="A11" s="23">
        <f t="shared" si="0"/>
        <v>1006</v>
      </c>
      <c r="B11" s="22"/>
      <c r="C11" s="22"/>
      <c r="D11" s="22"/>
      <c r="E11" s="22"/>
      <c r="F11" s="22"/>
      <c r="G11" s="23" t="str">
        <f>_xlfn.XLOOKUP($D11, Role_codes!$B$2:$B$16, Role_codes!$A$2:$A$16, "")</f>
        <v/>
      </c>
      <c r="H11" s="22"/>
    </row>
    <row r="12" spans="1:8" x14ac:dyDescent="0.35">
      <c r="A12" s="23">
        <f t="shared" si="0"/>
        <v>1007</v>
      </c>
      <c r="B12" s="22"/>
      <c r="C12" s="22"/>
      <c r="D12" s="22"/>
      <c r="E12" s="22"/>
      <c r="F12" s="22"/>
      <c r="G12" s="23" t="str">
        <f>_xlfn.XLOOKUP($D12, Role_codes!$B$2:$B$16, Role_codes!$A$2:$A$16, "")</f>
        <v/>
      </c>
      <c r="H12" s="22"/>
    </row>
    <row r="13" spans="1:8" x14ac:dyDescent="0.35">
      <c r="A13" s="23">
        <f t="shared" si="0"/>
        <v>1008</v>
      </c>
      <c r="B13" s="22"/>
      <c r="C13" s="22"/>
      <c r="D13" s="22"/>
      <c r="E13" s="22"/>
      <c r="F13" s="22"/>
      <c r="G13" s="23" t="str">
        <f>_xlfn.XLOOKUP($D13, Role_codes!$B$2:$B$16, Role_codes!$A$2:$A$16, "")</f>
        <v/>
      </c>
      <c r="H13" s="22"/>
    </row>
    <row r="14" spans="1:8" x14ac:dyDescent="0.35">
      <c r="A14" s="23">
        <f t="shared" si="0"/>
        <v>1009</v>
      </c>
      <c r="B14" s="22"/>
      <c r="C14" s="22"/>
      <c r="D14" s="22"/>
      <c r="E14" s="22"/>
      <c r="F14" s="22"/>
      <c r="G14" s="23" t="str">
        <f>_xlfn.XLOOKUP($D14, Role_codes!$B$2:$B$16, Role_codes!$A$2:$A$16, "")</f>
        <v/>
      </c>
      <c r="H14" s="22"/>
    </row>
    <row r="15" spans="1:8" x14ac:dyDescent="0.35">
      <c r="A15" s="23">
        <f t="shared" si="0"/>
        <v>1010</v>
      </c>
      <c r="B15" s="22"/>
      <c r="C15" s="22"/>
      <c r="D15" s="22"/>
      <c r="E15" s="22"/>
      <c r="F15" s="22"/>
      <c r="G15" s="23" t="str">
        <f>_xlfn.XLOOKUP($D15, Role_codes!$B$2:$B$16, Role_codes!$A$2:$A$16, "")</f>
        <v/>
      </c>
      <c r="H15" s="22"/>
    </row>
    <row r="16" spans="1:8" x14ac:dyDescent="0.35">
      <c r="A16" s="23">
        <f t="shared" si="0"/>
        <v>1011</v>
      </c>
      <c r="B16" s="22"/>
      <c r="C16" s="22"/>
      <c r="D16" s="22"/>
      <c r="E16" s="22"/>
      <c r="F16" s="22"/>
      <c r="G16" s="23" t="str">
        <f>_xlfn.XLOOKUP($D16, Role_codes!$B$2:$B$16, Role_codes!$A$2:$A$16, "")</f>
        <v/>
      </c>
      <c r="H16" s="22"/>
    </row>
    <row r="17" spans="1:8" x14ac:dyDescent="0.35">
      <c r="A17" s="23">
        <f t="shared" si="0"/>
        <v>1012</v>
      </c>
      <c r="B17" s="22"/>
      <c r="C17" s="22"/>
      <c r="D17" s="22"/>
      <c r="E17" s="22"/>
      <c r="F17" s="22"/>
      <c r="G17" s="23" t="str">
        <f>_xlfn.XLOOKUP($D17, Role_codes!$B$2:$B$16, Role_codes!$A$2:$A$16, "")</f>
        <v/>
      </c>
      <c r="H17" s="22"/>
    </row>
    <row r="18" spans="1:8" x14ac:dyDescent="0.35">
      <c r="A18" s="23">
        <f t="shared" si="0"/>
        <v>1013</v>
      </c>
      <c r="B18" s="22"/>
      <c r="C18" s="22"/>
      <c r="D18" s="22"/>
      <c r="E18" s="22"/>
      <c r="F18" s="22"/>
      <c r="G18" s="23" t="str">
        <f>_xlfn.XLOOKUP($D18, Role_codes!$B$2:$B$16, Role_codes!$A$2:$A$16, "")</f>
        <v/>
      </c>
      <c r="H18" s="22"/>
    </row>
    <row r="19" spans="1:8" x14ac:dyDescent="0.35">
      <c r="A19" s="23">
        <f t="shared" si="0"/>
        <v>1014</v>
      </c>
      <c r="B19" s="22"/>
      <c r="C19" s="22"/>
      <c r="D19" s="22"/>
      <c r="E19" s="22"/>
      <c r="F19" s="22"/>
      <c r="G19" s="23" t="str">
        <f>_xlfn.XLOOKUP($D19, Role_codes!$B$2:$B$16, Role_codes!$A$2:$A$16, "")</f>
        <v/>
      </c>
      <c r="H19" s="22"/>
    </row>
    <row r="20" spans="1:8" x14ac:dyDescent="0.35">
      <c r="A20" s="23">
        <f t="shared" si="0"/>
        <v>1015</v>
      </c>
      <c r="B20" s="22"/>
      <c r="C20" s="22"/>
      <c r="D20" s="22"/>
      <c r="E20" s="22"/>
      <c r="F20" s="22"/>
      <c r="G20" s="23" t="str">
        <f>_xlfn.XLOOKUP($D20, Role_codes!$B$2:$B$16, Role_codes!$A$2:$A$16, "")</f>
        <v/>
      </c>
      <c r="H20" s="22"/>
    </row>
    <row r="21" spans="1:8" x14ac:dyDescent="0.35">
      <c r="A21" s="23">
        <f t="shared" si="0"/>
        <v>1016</v>
      </c>
      <c r="B21" s="22"/>
      <c r="C21" s="22"/>
      <c r="D21" s="22"/>
      <c r="E21" s="22"/>
      <c r="F21" s="22"/>
      <c r="G21" s="23" t="str">
        <f>_xlfn.XLOOKUP($D21, Role_codes!$B$2:$B$16, Role_codes!$A$2:$A$16, "")</f>
        <v/>
      </c>
      <c r="H21" s="22"/>
    </row>
    <row r="22" spans="1:8" x14ac:dyDescent="0.35">
      <c r="A22" s="23">
        <f t="shared" si="0"/>
        <v>1017</v>
      </c>
      <c r="B22" s="22"/>
      <c r="C22" s="22"/>
      <c r="D22" s="22"/>
      <c r="E22" s="22"/>
      <c r="F22" s="22"/>
      <c r="G22" s="23" t="str">
        <f>_xlfn.XLOOKUP($D22, Role_codes!$B$2:$B$16, Role_codes!$A$2:$A$16, "")</f>
        <v/>
      </c>
      <c r="H22" s="22"/>
    </row>
    <row r="23" spans="1:8" x14ac:dyDescent="0.35">
      <c r="A23" s="23">
        <f t="shared" si="0"/>
        <v>1018</v>
      </c>
      <c r="B23" s="22"/>
      <c r="C23" s="22"/>
      <c r="D23" s="22"/>
      <c r="E23" s="22"/>
      <c r="F23" s="22"/>
      <c r="G23" s="23" t="str">
        <f>_xlfn.XLOOKUP($D23, Role_codes!$B$2:$B$16, Role_codes!$A$2:$A$16, "")</f>
        <v/>
      </c>
      <c r="H23" s="22"/>
    </row>
    <row r="24" spans="1:8" x14ac:dyDescent="0.35">
      <c r="A24" s="23">
        <f t="shared" si="0"/>
        <v>1019</v>
      </c>
      <c r="B24" s="22"/>
      <c r="C24" s="22"/>
      <c r="D24" s="22"/>
      <c r="E24" s="22"/>
      <c r="F24" s="22"/>
      <c r="G24" s="23" t="str">
        <f>_xlfn.XLOOKUP($D24, Role_codes!$B$2:$B$16, Role_codes!$A$2:$A$16, "")</f>
        <v/>
      </c>
      <c r="H24" s="22"/>
    </row>
    <row r="25" spans="1:8" x14ac:dyDescent="0.35">
      <c r="A25" s="23">
        <f t="shared" si="0"/>
        <v>1020</v>
      </c>
      <c r="B25" s="22"/>
      <c r="C25" s="22"/>
      <c r="D25" s="22"/>
      <c r="E25" s="22"/>
      <c r="F25" s="22"/>
      <c r="G25" s="23" t="str">
        <f>_xlfn.XLOOKUP($D25, Role_codes!$B$2:$B$16, Role_codes!$A$2:$A$16, "")</f>
        <v/>
      </c>
      <c r="H25" s="22"/>
    </row>
    <row r="26" spans="1:8" x14ac:dyDescent="0.35">
      <c r="A26" s="23">
        <f t="shared" si="0"/>
        <v>1021</v>
      </c>
      <c r="B26" s="22"/>
      <c r="C26" s="22"/>
      <c r="D26" s="22"/>
      <c r="E26" s="22"/>
      <c r="F26" s="22"/>
      <c r="G26" s="23" t="str">
        <f>_xlfn.XLOOKUP($D26, Role_codes!$B$2:$B$16, Role_codes!$A$2:$A$16, "")</f>
        <v/>
      </c>
      <c r="H26" s="22"/>
    </row>
    <row r="27" spans="1:8" x14ac:dyDescent="0.35">
      <c r="A27" s="23">
        <f t="shared" si="0"/>
        <v>1022</v>
      </c>
      <c r="B27" s="22"/>
      <c r="C27" s="22"/>
      <c r="D27" s="22"/>
      <c r="E27" s="22"/>
      <c r="F27" s="22"/>
      <c r="G27" s="23" t="str">
        <f>_xlfn.XLOOKUP($D27, Role_codes!$B$2:$B$16, Role_codes!$A$2:$A$16, "")</f>
        <v/>
      </c>
      <c r="H27" s="22"/>
    </row>
    <row r="28" spans="1:8" x14ac:dyDescent="0.35">
      <c r="A28" s="23">
        <f t="shared" si="0"/>
        <v>1023</v>
      </c>
      <c r="B28" s="22"/>
      <c r="C28" s="22"/>
      <c r="D28" s="22"/>
      <c r="E28" s="22"/>
      <c r="F28" s="22"/>
      <c r="G28" s="23" t="str">
        <f>_xlfn.XLOOKUP($D28, Role_codes!$B$2:$B$16, Role_codes!$A$2:$A$16, "")</f>
        <v/>
      </c>
      <c r="H28" s="22"/>
    </row>
    <row r="29" spans="1:8" x14ac:dyDescent="0.35">
      <c r="A29" s="23">
        <f t="shared" si="0"/>
        <v>1024</v>
      </c>
      <c r="B29" s="22"/>
      <c r="C29" s="22"/>
      <c r="D29" s="22"/>
      <c r="E29" s="22"/>
      <c r="F29" s="22"/>
      <c r="G29" s="23" t="str">
        <f>_xlfn.XLOOKUP($D29, Role_codes!$B$2:$B$16, Role_codes!$A$2:$A$16, "")</f>
        <v/>
      </c>
      <c r="H29" s="22"/>
    </row>
    <row r="30" spans="1:8" x14ac:dyDescent="0.35">
      <c r="A30" s="23">
        <f t="shared" si="0"/>
        <v>1025</v>
      </c>
      <c r="B30" s="22"/>
      <c r="C30" s="22"/>
      <c r="D30" s="22"/>
      <c r="E30" s="22"/>
      <c r="F30" s="22"/>
      <c r="G30" s="23" t="str">
        <f>_xlfn.XLOOKUP($D30, Role_codes!$B$2:$B$16, Role_codes!$A$2:$A$16, "")</f>
        <v/>
      </c>
      <c r="H30" s="22"/>
    </row>
    <row r="31" spans="1:8" x14ac:dyDescent="0.35">
      <c r="A31" s="23">
        <f t="shared" si="0"/>
        <v>1026</v>
      </c>
      <c r="B31" s="22"/>
      <c r="C31" s="22"/>
      <c r="D31" s="22"/>
      <c r="E31" s="22"/>
      <c r="F31" s="22"/>
      <c r="G31" s="23" t="str">
        <f>_xlfn.XLOOKUP($D31, Role_codes!$B$2:$B$16, Role_codes!$A$2:$A$16, "")</f>
        <v/>
      </c>
      <c r="H31" s="22"/>
    </row>
    <row r="32" spans="1:8" x14ac:dyDescent="0.35">
      <c r="A32" s="23">
        <f t="shared" si="0"/>
        <v>1027</v>
      </c>
      <c r="B32" s="22"/>
      <c r="C32" s="22"/>
      <c r="D32" s="22"/>
      <c r="E32" s="22"/>
      <c r="F32" s="22"/>
      <c r="G32" s="23" t="str">
        <f>_xlfn.XLOOKUP($D32, Role_codes!$B$2:$B$16, Role_codes!$A$2:$A$16, "")</f>
        <v/>
      </c>
      <c r="H32" s="22"/>
    </row>
    <row r="33" spans="1:8" x14ac:dyDescent="0.35">
      <c r="A33" s="23">
        <f t="shared" si="0"/>
        <v>1028</v>
      </c>
      <c r="B33" s="22"/>
      <c r="C33" s="22"/>
      <c r="D33" s="22"/>
      <c r="E33" s="22"/>
      <c r="F33" s="22"/>
      <c r="G33" s="23" t="str">
        <f>_xlfn.XLOOKUP($D33, Role_codes!$B$2:$B$16, Role_codes!$A$2:$A$16, "")</f>
        <v/>
      </c>
      <c r="H33" s="22"/>
    </row>
    <row r="34" spans="1:8" x14ac:dyDescent="0.35">
      <c r="A34" s="23">
        <f t="shared" si="0"/>
        <v>1029</v>
      </c>
      <c r="B34" s="22"/>
      <c r="C34" s="22"/>
      <c r="D34" s="22"/>
      <c r="E34" s="22"/>
      <c r="F34" s="22"/>
      <c r="G34" s="23" t="str">
        <f>_xlfn.XLOOKUP($D34, Role_codes!$B$2:$B$16, Role_codes!$A$2:$A$16, "")</f>
        <v/>
      </c>
      <c r="H34" s="22"/>
    </row>
    <row r="35" spans="1:8" x14ac:dyDescent="0.35">
      <c r="A35" s="23">
        <f t="shared" si="0"/>
        <v>1030</v>
      </c>
      <c r="B35" s="22"/>
      <c r="C35" s="22"/>
      <c r="D35" s="22"/>
      <c r="E35" s="22"/>
      <c r="F35" s="22"/>
      <c r="G35" s="23" t="str">
        <f>_xlfn.XLOOKUP($D35, Role_codes!$B$2:$B$16, Role_codes!$A$2:$A$16, "")</f>
        <v/>
      </c>
      <c r="H35" s="22"/>
    </row>
    <row r="36" spans="1:8" x14ac:dyDescent="0.35">
      <c r="A36" s="23">
        <f t="shared" si="0"/>
        <v>1031</v>
      </c>
      <c r="B36" s="22"/>
      <c r="C36" s="22"/>
      <c r="D36" s="22"/>
      <c r="E36" s="22"/>
      <c r="F36" s="22"/>
      <c r="G36" s="23" t="str">
        <f>_xlfn.XLOOKUP($D36, Role_codes!$B$2:$B$16, Role_codes!$A$2:$A$16, "")</f>
        <v/>
      </c>
      <c r="H36" s="22"/>
    </row>
    <row r="37" spans="1:8" x14ac:dyDescent="0.35">
      <c r="A37" s="23">
        <f t="shared" si="0"/>
        <v>1032</v>
      </c>
      <c r="B37" s="22"/>
      <c r="C37" s="22"/>
      <c r="D37" s="22"/>
      <c r="E37" s="22"/>
      <c r="F37" s="22"/>
      <c r="G37" s="23" t="str">
        <f>_xlfn.XLOOKUP($D37, Role_codes!$B$2:$B$16, Role_codes!$A$2:$A$16, "")</f>
        <v/>
      </c>
      <c r="H37" s="22"/>
    </row>
    <row r="38" spans="1:8" x14ac:dyDescent="0.35">
      <c r="A38" s="23">
        <f t="shared" si="0"/>
        <v>1033</v>
      </c>
      <c r="B38" s="22"/>
      <c r="C38" s="22"/>
      <c r="D38" s="22"/>
      <c r="E38" s="22"/>
      <c r="F38" s="22"/>
      <c r="G38" s="23" t="str">
        <f>_xlfn.XLOOKUP($D38, Role_codes!$B$2:$B$16, Role_codes!$A$2:$A$16, "")</f>
        <v/>
      </c>
      <c r="H38" s="22"/>
    </row>
    <row r="39" spans="1:8" x14ac:dyDescent="0.35">
      <c r="A39" s="23">
        <f t="shared" ref="A39:A70" si="1">A38+1</f>
        <v>1034</v>
      </c>
      <c r="B39" s="22"/>
      <c r="C39" s="22"/>
      <c r="D39" s="22"/>
      <c r="E39" s="22"/>
      <c r="F39" s="22"/>
      <c r="G39" s="23" t="str">
        <f>_xlfn.XLOOKUP($D39, Role_codes!$B$2:$B$16, Role_codes!$A$2:$A$16, "")</f>
        <v/>
      </c>
      <c r="H39" s="22"/>
    </row>
    <row r="40" spans="1:8" x14ac:dyDescent="0.35">
      <c r="A40" s="23">
        <f t="shared" si="1"/>
        <v>1035</v>
      </c>
      <c r="B40" s="22"/>
      <c r="C40" s="22"/>
      <c r="D40" s="22"/>
      <c r="E40" s="22"/>
      <c r="F40" s="22"/>
      <c r="G40" s="23" t="str">
        <f>_xlfn.XLOOKUP($D40, Role_codes!$B$2:$B$16, Role_codes!$A$2:$A$16, "")</f>
        <v/>
      </c>
      <c r="H40" s="22"/>
    </row>
    <row r="41" spans="1:8" x14ac:dyDescent="0.35">
      <c r="A41" s="23">
        <f t="shared" si="1"/>
        <v>1036</v>
      </c>
      <c r="B41" s="22"/>
      <c r="C41" s="22"/>
      <c r="D41" s="22"/>
      <c r="E41" s="22"/>
      <c r="F41" s="22"/>
      <c r="G41" s="23" t="str">
        <f>_xlfn.XLOOKUP($D41, Role_codes!$B$2:$B$16, Role_codes!$A$2:$A$16, "")</f>
        <v/>
      </c>
      <c r="H41" s="22"/>
    </row>
    <row r="42" spans="1:8" x14ac:dyDescent="0.35">
      <c r="A42" s="23">
        <f t="shared" si="1"/>
        <v>1037</v>
      </c>
      <c r="B42" s="22"/>
      <c r="C42" s="22"/>
      <c r="D42" s="22"/>
      <c r="E42" s="22"/>
      <c r="F42" s="22"/>
      <c r="G42" s="23" t="str">
        <f>_xlfn.XLOOKUP($D42, Role_codes!$B$2:$B$16, Role_codes!$A$2:$A$16, "")</f>
        <v/>
      </c>
      <c r="H42" s="22"/>
    </row>
    <row r="43" spans="1:8" x14ac:dyDescent="0.35">
      <c r="A43" s="23">
        <f t="shared" si="1"/>
        <v>1038</v>
      </c>
      <c r="B43" s="22"/>
      <c r="C43" s="22"/>
      <c r="D43" s="22"/>
      <c r="E43" s="22"/>
      <c r="F43" s="22"/>
      <c r="G43" s="23" t="str">
        <f>_xlfn.XLOOKUP($D43, Role_codes!$B$2:$B$16, Role_codes!$A$2:$A$16, "")</f>
        <v/>
      </c>
      <c r="H43" s="22"/>
    </row>
    <row r="44" spans="1:8" x14ac:dyDescent="0.35">
      <c r="A44" s="23">
        <f t="shared" si="1"/>
        <v>1039</v>
      </c>
      <c r="B44" s="22"/>
      <c r="C44" s="22"/>
      <c r="D44" s="22"/>
      <c r="E44" s="22"/>
      <c r="F44" s="22"/>
      <c r="G44" s="23" t="str">
        <f>_xlfn.XLOOKUP($D44, Role_codes!$B$2:$B$16, Role_codes!$A$2:$A$16, "")</f>
        <v/>
      </c>
      <c r="H44" s="22"/>
    </row>
    <row r="45" spans="1:8" x14ac:dyDescent="0.35">
      <c r="A45" s="23">
        <f t="shared" si="1"/>
        <v>1040</v>
      </c>
      <c r="B45" s="22" t="s">
        <v>99</v>
      </c>
      <c r="C45" s="22" t="s">
        <v>100</v>
      </c>
      <c r="D45" s="22" t="s">
        <v>101</v>
      </c>
      <c r="E45" s="22" t="s">
        <v>102</v>
      </c>
      <c r="F45" s="22" t="s">
        <v>103</v>
      </c>
      <c r="G45" s="23" t="str">
        <f>_xlfn.XLOOKUP($D45, Role_codes!$B$2:$B$16, Role_codes!$A$2:$A$16, "")</f>
        <v>SAL01</v>
      </c>
      <c r="H45" s="22" t="s">
        <v>104</v>
      </c>
    </row>
    <row r="46" spans="1:8" x14ac:dyDescent="0.35">
      <c r="A46" s="23">
        <f t="shared" si="1"/>
        <v>1041</v>
      </c>
      <c r="B46" s="22"/>
      <c r="C46" s="22"/>
      <c r="D46" s="22"/>
      <c r="E46" s="22"/>
      <c r="F46" s="22"/>
      <c r="G46" s="23" t="str">
        <f>_xlfn.XLOOKUP($D46, Role_codes!$B$2:$B$16, Role_codes!$A$2:$A$16, "")</f>
        <v/>
      </c>
      <c r="H46" s="22"/>
    </row>
    <row r="47" spans="1:8" x14ac:dyDescent="0.35">
      <c r="A47" s="23">
        <f t="shared" si="1"/>
        <v>1042</v>
      </c>
      <c r="B47" s="22"/>
      <c r="C47" s="22"/>
      <c r="D47" s="22"/>
      <c r="E47" s="22"/>
      <c r="F47" s="22"/>
      <c r="G47" s="23" t="str">
        <f>_xlfn.XLOOKUP($D47, Role_codes!$B$2:$B$16, Role_codes!$A$2:$A$16, "")</f>
        <v/>
      </c>
      <c r="H47" s="22"/>
    </row>
    <row r="48" spans="1:8" x14ac:dyDescent="0.35">
      <c r="A48" s="23">
        <f t="shared" si="1"/>
        <v>1043</v>
      </c>
      <c r="B48" s="22"/>
      <c r="C48" s="22"/>
      <c r="D48" s="22"/>
      <c r="E48" s="22"/>
      <c r="F48" s="22"/>
      <c r="G48" s="23" t="str">
        <f>_xlfn.XLOOKUP($D48, Role_codes!$B$2:$B$16, Role_codes!$A$2:$A$16, "")</f>
        <v/>
      </c>
      <c r="H48" s="22"/>
    </row>
    <row r="49" spans="1:8" x14ac:dyDescent="0.35">
      <c r="A49" s="23">
        <f t="shared" si="1"/>
        <v>1044</v>
      </c>
      <c r="B49" s="22"/>
      <c r="C49" s="22"/>
      <c r="D49" s="22"/>
      <c r="E49" s="22"/>
      <c r="F49" s="22"/>
      <c r="G49" s="23" t="str">
        <f>_xlfn.XLOOKUP($D49, Role_codes!$B$2:$B$16, Role_codes!$A$2:$A$16, "")</f>
        <v/>
      </c>
      <c r="H49" s="22"/>
    </row>
    <row r="50" spans="1:8" x14ac:dyDescent="0.35">
      <c r="A50" s="23">
        <f t="shared" si="1"/>
        <v>1045</v>
      </c>
      <c r="B50" s="22" t="s">
        <v>105</v>
      </c>
      <c r="C50" s="22" t="s">
        <v>106</v>
      </c>
      <c r="D50" s="22" t="s">
        <v>107</v>
      </c>
      <c r="E50" s="22" t="s">
        <v>108</v>
      </c>
      <c r="F50" s="22" t="s">
        <v>109</v>
      </c>
      <c r="G50" s="23" t="str">
        <f>_xlfn.XLOOKUP($D50, Role_codes!$B$2:$B$16, Role_codes!$A$2:$A$16, "")</f>
        <v>ASM01</v>
      </c>
      <c r="H50" s="22" t="s">
        <v>104</v>
      </c>
    </row>
    <row r="51" spans="1:8" x14ac:dyDescent="0.35">
      <c r="A51" s="23">
        <f t="shared" si="1"/>
        <v>1046</v>
      </c>
      <c r="B51" s="22"/>
      <c r="C51" s="22"/>
      <c r="D51" s="22"/>
      <c r="E51" s="22"/>
      <c r="F51" s="22"/>
      <c r="G51" s="23" t="str">
        <f>_xlfn.XLOOKUP($D51, Role_codes!$B$2:$B$16, Role_codes!$A$2:$A$16, "")</f>
        <v/>
      </c>
      <c r="H51" s="22"/>
    </row>
    <row r="52" spans="1:8" x14ac:dyDescent="0.35">
      <c r="A52" s="23">
        <f t="shared" si="1"/>
        <v>1047</v>
      </c>
      <c r="B52" s="22"/>
      <c r="C52" s="22"/>
      <c r="D52" s="22"/>
      <c r="E52" s="22"/>
      <c r="F52" s="22"/>
      <c r="G52" s="23" t="str">
        <f>_xlfn.XLOOKUP($D52, Role_codes!$B$2:$B$16, Role_codes!$A$2:$A$16, "")</f>
        <v/>
      </c>
      <c r="H52" s="22"/>
    </row>
    <row r="53" spans="1:8" x14ac:dyDescent="0.35">
      <c r="A53" s="23">
        <f t="shared" si="1"/>
        <v>1048</v>
      </c>
      <c r="B53" s="22"/>
      <c r="C53" s="22"/>
      <c r="D53" s="22"/>
      <c r="E53" s="22"/>
      <c r="F53" s="22"/>
      <c r="G53" s="23" t="str">
        <f>_xlfn.XLOOKUP($D53, Role_codes!$B$2:$B$16, Role_codes!$A$2:$A$16, "")</f>
        <v/>
      </c>
      <c r="H53" s="22"/>
    </row>
    <row r="54" spans="1:8" x14ac:dyDescent="0.35">
      <c r="A54" s="23">
        <f t="shared" si="1"/>
        <v>1049</v>
      </c>
      <c r="B54" s="22"/>
      <c r="C54" s="22"/>
      <c r="D54" s="22"/>
      <c r="E54" s="22"/>
      <c r="F54" s="22"/>
      <c r="G54" s="23" t="str">
        <f>_xlfn.XLOOKUP($D54, Role_codes!$B$2:$B$16, Role_codes!$A$2:$A$16, "")</f>
        <v/>
      </c>
      <c r="H54" s="22"/>
    </row>
    <row r="55" spans="1:8" x14ac:dyDescent="0.35">
      <c r="A55" s="23">
        <f t="shared" si="1"/>
        <v>1050</v>
      </c>
      <c r="B55" s="22"/>
      <c r="C55" s="22"/>
      <c r="D55" s="22"/>
      <c r="E55" s="22"/>
      <c r="F55" s="22"/>
      <c r="G55" s="23" t="str">
        <f>_xlfn.XLOOKUP($D55, Role_codes!$B$2:$B$16, Role_codes!$A$2:$A$16, "")</f>
        <v/>
      </c>
      <c r="H55" s="22"/>
    </row>
    <row r="56" spans="1:8" x14ac:dyDescent="0.35">
      <c r="A56" s="23">
        <f t="shared" si="1"/>
        <v>1051</v>
      </c>
      <c r="B56" s="22"/>
      <c r="C56" s="22"/>
      <c r="D56" s="22"/>
      <c r="E56" s="22"/>
      <c r="F56" s="22"/>
      <c r="G56" s="23" t="str">
        <f>_xlfn.XLOOKUP($D56, Role_codes!$B$2:$B$16, Role_codes!$A$2:$A$16, "")</f>
        <v/>
      </c>
      <c r="H56" s="22"/>
    </row>
    <row r="57" spans="1:8" x14ac:dyDescent="0.35">
      <c r="A57" s="23">
        <f t="shared" si="1"/>
        <v>1052</v>
      </c>
      <c r="B57" s="22"/>
      <c r="C57" s="22"/>
      <c r="D57" s="22"/>
      <c r="E57" s="22"/>
      <c r="F57" s="22"/>
      <c r="G57" s="23" t="str">
        <f>_xlfn.XLOOKUP($D57, Role_codes!$B$2:$B$16, Role_codes!$A$2:$A$16, "")</f>
        <v/>
      </c>
      <c r="H57" s="22"/>
    </row>
    <row r="58" spans="1:8" x14ac:dyDescent="0.35">
      <c r="A58" s="23">
        <f t="shared" si="1"/>
        <v>1053</v>
      </c>
      <c r="B58" s="22" t="s">
        <v>110</v>
      </c>
      <c r="C58" s="22" t="s">
        <v>111</v>
      </c>
      <c r="D58" s="22" t="s">
        <v>101</v>
      </c>
      <c r="E58" s="22" t="s">
        <v>108</v>
      </c>
      <c r="F58" s="22" t="s">
        <v>112</v>
      </c>
      <c r="G58" s="23" t="str">
        <f>_xlfn.XLOOKUP($D58, Role_codes!$B$2:$B$16, Role_codes!$A$2:$A$16, "")</f>
        <v>SAL01</v>
      </c>
      <c r="H58" s="22" t="s">
        <v>104</v>
      </c>
    </row>
    <row r="59" spans="1:8" x14ac:dyDescent="0.35">
      <c r="A59" s="23">
        <f t="shared" si="1"/>
        <v>1054</v>
      </c>
      <c r="B59" s="22"/>
      <c r="C59" s="22"/>
      <c r="D59" s="22"/>
      <c r="E59" s="22"/>
      <c r="F59" s="22"/>
      <c r="G59" s="23" t="str">
        <f>_xlfn.XLOOKUP($D59, Role_codes!$B$2:$B$16, Role_codes!$A$2:$A$16, "")</f>
        <v/>
      </c>
      <c r="H59" s="22"/>
    </row>
    <row r="60" spans="1:8" x14ac:dyDescent="0.35">
      <c r="A60" s="23">
        <f t="shared" si="1"/>
        <v>1055</v>
      </c>
      <c r="B60" s="22"/>
      <c r="C60" s="22"/>
      <c r="D60" s="22"/>
      <c r="E60" s="22"/>
      <c r="F60" s="22"/>
      <c r="G60" s="23" t="str">
        <f>_xlfn.XLOOKUP($D60, Role_codes!$B$2:$B$16, Role_codes!$A$2:$A$16, "")</f>
        <v/>
      </c>
      <c r="H60" s="22"/>
    </row>
    <row r="61" spans="1:8" x14ac:dyDescent="0.35">
      <c r="A61" s="23">
        <f t="shared" si="1"/>
        <v>1056</v>
      </c>
      <c r="B61" s="22"/>
      <c r="C61" s="22"/>
      <c r="D61" s="22"/>
      <c r="E61" s="22"/>
      <c r="F61" s="22"/>
      <c r="G61" s="23" t="str">
        <f>_xlfn.XLOOKUP($D61, Role_codes!$B$2:$B$16, Role_codes!$A$2:$A$16, "")</f>
        <v/>
      </c>
      <c r="H61" s="22"/>
    </row>
    <row r="62" spans="1:8" x14ac:dyDescent="0.35">
      <c r="A62" s="23">
        <f t="shared" si="1"/>
        <v>1057</v>
      </c>
      <c r="B62" s="22"/>
      <c r="C62" s="22"/>
      <c r="D62" s="22"/>
      <c r="E62" s="22"/>
      <c r="F62" s="22"/>
      <c r="G62" s="23" t="str">
        <f>_xlfn.XLOOKUP($D62, Role_codes!$B$2:$B$16, Role_codes!$A$2:$A$16, "")</f>
        <v/>
      </c>
      <c r="H62" s="22"/>
    </row>
    <row r="63" spans="1:8" x14ac:dyDescent="0.35">
      <c r="A63" s="23">
        <f t="shared" si="1"/>
        <v>1058</v>
      </c>
      <c r="B63" s="22"/>
      <c r="C63" s="22"/>
      <c r="D63" s="22"/>
      <c r="E63" s="22"/>
      <c r="F63" s="22"/>
      <c r="G63" s="23" t="str">
        <f>_xlfn.XLOOKUP($D63, Role_codes!$B$2:$B$16, Role_codes!$A$2:$A$16, "")</f>
        <v/>
      </c>
      <c r="H63" s="22"/>
    </row>
    <row r="64" spans="1:8" x14ac:dyDescent="0.35">
      <c r="A64" s="23">
        <f t="shared" si="1"/>
        <v>1059</v>
      </c>
      <c r="B64" s="22"/>
      <c r="C64" s="22"/>
      <c r="D64" s="22"/>
      <c r="E64" s="22"/>
      <c r="F64" s="22"/>
      <c r="G64" s="23" t="str">
        <f>_xlfn.XLOOKUP($D64, Role_codes!$B$2:$B$16, Role_codes!$A$2:$A$16, "")</f>
        <v/>
      </c>
      <c r="H64" s="22"/>
    </row>
    <row r="65" spans="1:8" x14ac:dyDescent="0.35">
      <c r="A65" s="23">
        <f t="shared" si="1"/>
        <v>1060</v>
      </c>
      <c r="B65" s="22"/>
      <c r="C65" s="22"/>
      <c r="D65" s="22"/>
      <c r="E65" s="22"/>
      <c r="F65" s="22"/>
      <c r="G65" s="23" t="str">
        <f>_xlfn.XLOOKUP($D65, Role_codes!$B$2:$B$16, Role_codes!$A$2:$A$16, "")</f>
        <v/>
      </c>
      <c r="H65" s="22"/>
    </row>
    <row r="66" spans="1:8" x14ac:dyDescent="0.35">
      <c r="A66" s="23">
        <f t="shared" si="1"/>
        <v>1061</v>
      </c>
      <c r="B66" s="22"/>
      <c r="C66" s="22"/>
      <c r="D66" s="22"/>
      <c r="E66" s="22"/>
      <c r="F66" s="22"/>
      <c r="G66" s="23" t="str">
        <f>_xlfn.XLOOKUP($D66, Role_codes!$B$2:$B$16, Role_codes!$A$2:$A$16, "")</f>
        <v/>
      </c>
      <c r="H66" s="22"/>
    </row>
    <row r="67" spans="1:8" x14ac:dyDescent="0.35">
      <c r="A67" s="23">
        <f t="shared" si="1"/>
        <v>1062</v>
      </c>
      <c r="B67" s="22"/>
      <c r="C67" s="22"/>
      <c r="D67" s="22"/>
      <c r="E67" s="22"/>
      <c r="F67" s="22"/>
      <c r="G67" s="23" t="str">
        <f>_xlfn.XLOOKUP($D67, Role_codes!$B$2:$B$16, Role_codes!$A$2:$A$16, "")</f>
        <v/>
      </c>
      <c r="H67" s="22"/>
    </row>
    <row r="68" spans="1:8" x14ac:dyDescent="0.35">
      <c r="A68" s="23">
        <f t="shared" si="1"/>
        <v>1063</v>
      </c>
      <c r="B68" s="22"/>
      <c r="C68" s="22"/>
      <c r="D68" s="22"/>
      <c r="E68" s="22"/>
      <c r="F68" s="22"/>
      <c r="G68" s="23" t="str">
        <f>_xlfn.XLOOKUP($D68, Role_codes!$B$2:$B$16, Role_codes!$A$2:$A$16, "")</f>
        <v/>
      </c>
      <c r="H68" s="22"/>
    </row>
    <row r="69" spans="1:8" x14ac:dyDescent="0.35">
      <c r="A69" s="23">
        <f t="shared" si="1"/>
        <v>1064</v>
      </c>
      <c r="B69" s="22"/>
      <c r="C69" s="22"/>
      <c r="D69" s="22"/>
      <c r="E69" s="22"/>
      <c r="F69" s="22"/>
      <c r="G69" s="23" t="str">
        <f>_xlfn.XLOOKUP($D69, Role_codes!$B$2:$B$16, Role_codes!$A$2:$A$16, "")</f>
        <v/>
      </c>
      <c r="H69" s="22"/>
    </row>
    <row r="70" spans="1:8" x14ac:dyDescent="0.35">
      <c r="A70" s="23">
        <f t="shared" si="1"/>
        <v>1065</v>
      </c>
      <c r="B70" s="22" t="s">
        <v>113</v>
      </c>
      <c r="C70" s="22" t="s">
        <v>99</v>
      </c>
      <c r="D70" s="22" t="s">
        <v>114</v>
      </c>
      <c r="E70" s="22" t="s">
        <v>102</v>
      </c>
      <c r="F70" s="22" t="s">
        <v>115</v>
      </c>
      <c r="G70" s="23" t="str">
        <f>_xlfn.XLOOKUP($D70, Role_codes!$B$2:$B$16, Role_codes!$A$2:$A$16, "")</f>
        <v>BAK01</v>
      </c>
      <c r="H70" s="22" t="s">
        <v>104</v>
      </c>
    </row>
    <row r="71" spans="1:8" x14ac:dyDescent="0.35">
      <c r="A71" s="23">
        <f t="shared" ref="A71:A102" si="2">A70+1</f>
        <v>1066</v>
      </c>
      <c r="B71" s="22"/>
      <c r="C71" s="22"/>
      <c r="D71" s="22"/>
      <c r="E71" s="22"/>
      <c r="F71" s="22"/>
      <c r="G71" s="23" t="str">
        <f>_xlfn.XLOOKUP($D71, Role_codes!$B$2:$B$16, Role_codes!$A$2:$A$16, "")</f>
        <v/>
      </c>
      <c r="H71" s="22"/>
    </row>
    <row r="72" spans="1:8" x14ac:dyDescent="0.35">
      <c r="A72" s="23">
        <f t="shared" si="2"/>
        <v>1067</v>
      </c>
      <c r="B72" s="22"/>
      <c r="C72" s="22"/>
      <c r="D72" s="22"/>
      <c r="E72" s="22"/>
      <c r="F72" s="22"/>
      <c r="G72" s="23" t="str">
        <f>_xlfn.XLOOKUP($D72, Role_codes!$B$2:$B$16, Role_codes!$A$2:$A$16, "")</f>
        <v/>
      </c>
      <c r="H72" s="22"/>
    </row>
    <row r="73" spans="1:8" x14ac:dyDescent="0.35">
      <c r="A73" s="23">
        <f t="shared" si="2"/>
        <v>1068</v>
      </c>
      <c r="B73" s="22"/>
      <c r="C73" s="22"/>
      <c r="D73" s="22"/>
      <c r="E73" s="22"/>
      <c r="F73" s="22"/>
      <c r="G73" s="23" t="str">
        <f>_xlfn.XLOOKUP($D73, Role_codes!$B$2:$B$16, Role_codes!$A$2:$A$16, "")</f>
        <v/>
      </c>
      <c r="H73" s="22"/>
    </row>
    <row r="74" spans="1:8" x14ac:dyDescent="0.35">
      <c r="A74" s="23">
        <f t="shared" si="2"/>
        <v>1069</v>
      </c>
      <c r="B74" s="22"/>
      <c r="C74" s="22"/>
      <c r="D74" s="22"/>
      <c r="E74" s="22"/>
      <c r="F74" s="22"/>
      <c r="G74" s="23" t="str">
        <f>_xlfn.XLOOKUP($D74, Role_codes!$B$2:$B$16, Role_codes!$A$2:$A$16, "")</f>
        <v/>
      </c>
      <c r="H74" s="22"/>
    </row>
    <row r="75" spans="1:8" x14ac:dyDescent="0.35">
      <c r="A75" s="23">
        <f t="shared" si="2"/>
        <v>1070</v>
      </c>
      <c r="B75" s="22"/>
      <c r="C75" s="22"/>
      <c r="D75" s="22"/>
      <c r="E75" s="22"/>
      <c r="F75" s="22"/>
      <c r="G75" s="23" t="str">
        <f>_xlfn.XLOOKUP($D75, Role_codes!$B$2:$B$16, Role_codes!$A$2:$A$16, "")</f>
        <v/>
      </c>
      <c r="H75" s="22"/>
    </row>
    <row r="76" spans="1:8" x14ac:dyDescent="0.35">
      <c r="A76" s="23">
        <f t="shared" si="2"/>
        <v>1071</v>
      </c>
      <c r="B76" s="22"/>
      <c r="C76" s="22"/>
      <c r="D76" s="22"/>
      <c r="E76" s="22"/>
      <c r="F76" s="22"/>
      <c r="G76" s="23" t="str">
        <f>_xlfn.XLOOKUP($D76, Role_codes!$B$2:$B$16, Role_codes!$A$2:$A$16, "")</f>
        <v/>
      </c>
      <c r="H76" s="22"/>
    </row>
    <row r="77" spans="1:8" x14ac:dyDescent="0.35">
      <c r="A77" s="23">
        <f t="shared" si="2"/>
        <v>1072</v>
      </c>
      <c r="B77" s="22"/>
      <c r="C77" s="22"/>
      <c r="D77" s="22"/>
      <c r="E77" s="22"/>
      <c r="F77" s="22"/>
      <c r="G77" s="23" t="str">
        <f>_xlfn.XLOOKUP($D77, Role_codes!$B$2:$B$16, Role_codes!$A$2:$A$16, "")</f>
        <v/>
      </c>
      <c r="H77" s="22"/>
    </row>
    <row r="78" spans="1:8" x14ac:dyDescent="0.35">
      <c r="A78" s="23">
        <f t="shared" si="2"/>
        <v>1073</v>
      </c>
      <c r="B78" s="22"/>
      <c r="C78" s="22"/>
      <c r="D78" s="22"/>
      <c r="E78" s="22"/>
      <c r="F78" s="22"/>
      <c r="G78" s="23" t="str">
        <f>_xlfn.XLOOKUP($D78, Role_codes!$B$2:$B$16, Role_codes!$A$2:$A$16, "")</f>
        <v/>
      </c>
      <c r="H78" s="22"/>
    </row>
    <row r="79" spans="1:8" x14ac:dyDescent="0.35">
      <c r="A79" s="23">
        <f t="shared" si="2"/>
        <v>1074</v>
      </c>
      <c r="B79" s="22"/>
      <c r="C79" s="22"/>
      <c r="D79" s="22"/>
      <c r="E79" s="22"/>
      <c r="F79" s="22"/>
      <c r="G79" s="23" t="str">
        <f>_xlfn.XLOOKUP($D79, Role_codes!$B$2:$B$16, Role_codes!$A$2:$A$16, "")</f>
        <v/>
      </c>
      <c r="H79" s="22"/>
    </row>
    <row r="80" spans="1:8" x14ac:dyDescent="0.35">
      <c r="A80" s="23">
        <f t="shared" si="2"/>
        <v>1075</v>
      </c>
      <c r="B80" s="22"/>
      <c r="C80" s="22"/>
      <c r="D80" s="22"/>
      <c r="E80" s="22"/>
      <c r="F80" s="22"/>
      <c r="G80" s="23" t="str">
        <f>_xlfn.XLOOKUP($D80, Role_codes!$B$2:$B$16, Role_codes!$A$2:$A$16, "")</f>
        <v/>
      </c>
      <c r="H80" s="22"/>
    </row>
    <row r="81" spans="1:8" x14ac:dyDescent="0.35">
      <c r="A81" s="23">
        <f t="shared" si="2"/>
        <v>1076</v>
      </c>
      <c r="B81" s="22"/>
      <c r="C81" s="22"/>
      <c r="D81" s="22"/>
      <c r="E81" s="22"/>
      <c r="F81" s="22"/>
      <c r="G81" s="23" t="str">
        <f>_xlfn.XLOOKUP($D81, Role_codes!$B$2:$B$16, Role_codes!$A$2:$A$16, "")</f>
        <v/>
      </c>
      <c r="H81" s="22"/>
    </row>
    <row r="82" spans="1:8" x14ac:dyDescent="0.35">
      <c r="A82" s="23">
        <f t="shared" si="2"/>
        <v>1077</v>
      </c>
      <c r="B82" s="22"/>
      <c r="C82" s="22"/>
      <c r="D82" s="22"/>
      <c r="E82" s="22"/>
      <c r="F82" s="22"/>
      <c r="G82" s="23" t="str">
        <f>_xlfn.XLOOKUP($D82, Role_codes!$B$2:$B$16, Role_codes!$A$2:$A$16, "")</f>
        <v/>
      </c>
      <c r="H82" s="22"/>
    </row>
    <row r="83" spans="1:8" x14ac:dyDescent="0.35">
      <c r="A83" s="23">
        <f t="shared" si="2"/>
        <v>1078</v>
      </c>
      <c r="B83" s="22"/>
      <c r="C83" s="22"/>
      <c r="D83" s="22"/>
      <c r="E83" s="22"/>
      <c r="F83" s="22"/>
      <c r="G83" s="23" t="str">
        <f>_xlfn.XLOOKUP($D83, Role_codes!$B$2:$B$16, Role_codes!$A$2:$A$16, "")</f>
        <v/>
      </c>
      <c r="H83" s="22"/>
    </row>
    <row r="84" spans="1:8" x14ac:dyDescent="0.35">
      <c r="A84" s="23">
        <f t="shared" si="2"/>
        <v>1079</v>
      </c>
      <c r="B84" s="22"/>
      <c r="C84" s="22"/>
      <c r="D84" s="22"/>
      <c r="E84" s="22"/>
      <c r="F84" s="22"/>
      <c r="G84" s="23" t="str">
        <f>_xlfn.XLOOKUP($D84, Role_codes!$B$2:$B$16, Role_codes!$A$2:$A$16, "")</f>
        <v/>
      </c>
      <c r="H84" s="22"/>
    </row>
    <row r="85" spans="1:8" x14ac:dyDescent="0.35">
      <c r="A85" s="23">
        <f t="shared" si="2"/>
        <v>1080</v>
      </c>
      <c r="B85" s="22"/>
      <c r="C85" s="22"/>
      <c r="D85" s="22"/>
      <c r="E85" s="22"/>
      <c r="F85" s="22"/>
      <c r="G85" s="23" t="str">
        <f>_xlfn.XLOOKUP($D85, Role_codes!$B$2:$B$16, Role_codes!$A$2:$A$16, "")</f>
        <v/>
      </c>
      <c r="H85" s="22"/>
    </row>
    <row r="86" spans="1:8" x14ac:dyDescent="0.35">
      <c r="A86" s="23">
        <f t="shared" si="2"/>
        <v>1081</v>
      </c>
      <c r="B86" s="22"/>
      <c r="C86" s="22"/>
      <c r="D86" s="22"/>
      <c r="E86" s="22"/>
      <c r="F86" s="22"/>
      <c r="G86" s="23" t="str">
        <f>_xlfn.XLOOKUP($D86, Role_codes!$B$2:$B$16, Role_codes!$A$2:$A$16, "")</f>
        <v/>
      </c>
      <c r="H86" s="22"/>
    </row>
    <row r="87" spans="1:8" x14ac:dyDescent="0.35">
      <c r="A87" s="23">
        <f t="shared" si="2"/>
        <v>1082</v>
      </c>
      <c r="B87" s="22"/>
      <c r="C87" s="22"/>
      <c r="D87" s="22"/>
      <c r="E87" s="22"/>
      <c r="F87" s="22"/>
      <c r="G87" s="23" t="str">
        <f>_xlfn.XLOOKUP($D87, Role_codes!$B$2:$B$16, Role_codes!$A$2:$A$16, "")</f>
        <v/>
      </c>
      <c r="H87" s="22"/>
    </row>
    <row r="88" spans="1:8" x14ac:dyDescent="0.35">
      <c r="A88" s="23">
        <f t="shared" si="2"/>
        <v>1083</v>
      </c>
      <c r="B88" s="22" t="s">
        <v>116</v>
      </c>
      <c r="C88" s="22" t="s">
        <v>117</v>
      </c>
      <c r="D88" s="22" t="s">
        <v>22</v>
      </c>
      <c r="E88" s="22" t="s">
        <v>118</v>
      </c>
      <c r="F88" s="22" t="s">
        <v>109</v>
      </c>
      <c r="G88" s="23" t="str">
        <f>_xlfn.XLOOKUP($D88, Role_codes!$B$2:$B$16, Role_codes!$A$2:$A$16, "")</f>
        <v>MAN01</v>
      </c>
      <c r="H88" s="22" t="s">
        <v>104</v>
      </c>
    </row>
    <row r="89" spans="1:8" x14ac:dyDescent="0.35">
      <c r="A89" s="23">
        <f t="shared" si="2"/>
        <v>1084</v>
      </c>
      <c r="B89" s="22"/>
      <c r="C89" s="22"/>
      <c r="D89" s="22"/>
      <c r="E89" s="22"/>
      <c r="F89" s="22"/>
      <c r="G89" s="23" t="str">
        <f>_xlfn.XLOOKUP($D89, Role_codes!$B$2:$B$16, Role_codes!$A$2:$A$16, "")</f>
        <v/>
      </c>
      <c r="H89" s="22"/>
    </row>
    <row r="90" spans="1:8" x14ac:dyDescent="0.35">
      <c r="A90" s="23">
        <f t="shared" si="2"/>
        <v>1085</v>
      </c>
      <c r="B90" s="22"/>
      <c r="C90" s="22"/>
      <c r="D90" s="22"/>
      <c r="E90" s="22"/>
      <c r="F90" s="22"/>
      <c r="G90" s="23" t="str">
        <f>_xlfn.XLOOKUP($D90, Role_codes!$B$2:$B$16, Role_codes!$A$2:$A$16, "")</f>
        <v/>
      </c>
      <c r="H90" s="22"/>
    </row>
    <row r="91" spans="1:8" x14ac:dyDescent="0.35">
      <c r="A91" s="23">
        <f t="shared" si="2"/>
        <v>1086</v>
      </c>
      <c r="B91" s="22"/>
      <c r="C91" s="22"/>
      <c r="D91" s="22"/>
      <c r="E91" s="22"/>
      <c r="F91" s="22"/>
      <c r="G91" s="23" t="str">
        <f>_xlfn.XLOOKUP($D91, Role_codes!$B$2:$B$16, Role_codes!$A$2:$A$16, "")</f>
        <v/>
      </c>
      <c r="H91" s="22"/>
    </row>
    <row r="92" spans="1:8" x14ac:dyDescent="0.35">
      <c r="A92" s="23">
        <f t="shared" si="2"/>
        <v>1087</v>
      </c>
      <c r="B92" s="22"/>
      <c r="C92" s="22"/>
      <c r="D92" s="22"/>
      <c r="E92" s="22"/>
      <c r="F92" s="22"/>
      <c r="G92" s="23" t="str">
        <f>_xlfn.XLOOKUP($D92, Role_codes!$B$2:$B$16, Role_codes!$A$2:$A$16, "")</f>
        <v/>
      </c>
      <c r="H92" s="22"/>
    </row>
    <row r="93" spans="1:8" x14ac:dyDescent="0.35">
      <c r="A93" s="23">
        <f t="shared" si="2"/>
        <v>1088</v>
      </c>
      <c r="B93" s="22"/>
      <c r="C93" s="22"/>
      <c r="D93" s="22"/>
      <c r="E93" s="22"/>
      <c r="F93" s="22"/>
      <c r="G93" s="23" t="str">
        <f>_xlfn.XLOOKUP($D93, Role_codes!$B$2:$B$16, Role_codes!$A$2:$A$16, "")</f>
        <v/>
      </c>
      <c r="H93" s="22"/>
    </row>
    <row r="94" spans="1:8" x14ac:dyDescent="0.35">
      <c r="A94" s="23">
        <f t="shared" si="2"/>
        <v>1089</v>
      </c>
      <c r="B94" s="22"/>
      <c r="C94" s="22"/>
      <c r="D94" s="22"/>
      <c r="E94" s="22"/>
      <c r="F94" s="22"/>
      <c r="G94" s="23" t="str">
        <f>_xlfn.XLOOKUP($D94, Role_codes!$B$2:$B$16, Role_codes!$A$2:$A$16, "")</f>
        <v/>
      </c>
      <c r="H94" s="22"/>
    </row>
    <row r="95" spans="1:8" x14ac:dyDescent="0.35">
      <c r="A95" s="23">
        <f t="shared" si="2"/>
        <v>1090</v>
      </c>
      <c r="B95" s="22"/>
      <c r="C95" s="22"/>
      <c r="D95" s="22"/>
      <c r="E95" s="22"/>
      <c r="F95" s="22"/>
      <c r="G95" s="23" t="str">
        <f>_xlfn.XLOOKUP($D95, Role_codes!$B$2:$B$16, Role_codes!$A$2:$A$16, "")</f>
        <v/>
      </c>
      <c r="H95" s="22"/>
    </row>
    <row r="96" spans="1:8" x14ac:dyDescent="0.35">
      <c r="A96" s="23">
        <f t="shared" si="2"/>
        <v>1091</v>
      </c>
      <c r="B96" s="22"/>
      <c r="C96" s="22"/>
      <c r="D96" s="22"/>
      <c r="E96" s="22"/>
      <c r="F96" s="22"/>
      <c r="G96" s="23" t="str">
        <f>_xlfn.XLOOKUP($D96, Role_codes!$B$2:$B$16, Role_codes!$A$2:$A$16, "")</f>
        <v/>
      </c>
      <c r="H96" s="22"/>
    </row>
    <row r="97" spans="1:8" x14ac:dyDescent="0.35">
      <c r="A97" s="23">
        <f t="shared" si="2"/>
        <v>1092</v>
      </c>
      <c r="B97" s="22"/>
      <c r="C97" s="22"/>
      <c r="D97" s="22"/>
      <c r="E97" s="22"/>
      <c r="F97" s="22"/>
      <c r="G97" s="23" t="str">
        <f>_xlfn.XLOOKUP($D97, Role_codes!$B$2:$B$16, Role_codes!$A$2:$A$16, "")</f>
        <v/>
      </c>
      <c r="H97" s="22"/>
    </row>
    <row r="98" spans="1:8" x14ac:dyDescent="0.35">
      <c r="A98" s="23">
        <f t="shared" si="2"/>
        <v>1093</v>
      </c>
      <c r="B98" s="22"/>
      <c r="C98" s="22"/>
      <c r="D98" s="22"/>
      <c r="E98" s="22"/>
      <c r="F98" s="22"/>
      <c r="G98" s="23" t="str">
        <f>_xlfn.XLOOKUP($D98, Role_codes!$B$2:$B$16, Role_codes!$A$2:$A$16, "")</f>
        <v/>
      </c>
      <c r="H98" s="22"/>
    </row>
    <row r="99" spans="1:8" x14ac:dyDescent="0.35">
      <c r="A99" s="23">
        <f t="shared" si="2"/>
        <v>1094</v>
      </c>
      <c r="B99" s="22"/>
      <c r="C99" s="22"/>
      <c r="D99" s="22"/>
      <c r="E99" s="22"/>
      <c r="F99" s="22"/>
      <c r="G99" s="23" t="str">
        <f>_xlfn.XLOOKUP($D99, Role_codes!$B$2:$B$16, Role_codes!$A$2:$A$16, "")</f>
        <v/>
      </c>
      <c r="H99" s="22"/>
    </row>
    <row r="100" spans="1:8" x14ac:dyDescent="0.35">
      <c r="A100" s="23">
        <f t="shared" si="2"/>
        <v>1095</v>
      </c>
      <c r="B100" s="22"/>
      <c r="C100" s="22"/>
      <c r="D100" s="22"/>
      <c r="E100" s="22"/>
      <c r="F100" s="22"/>
      <c r="G100" s="23" t="str">
        <f>_xlfn.XLOOKUP($D100, Role_codes!$B$2:$B$16, Role_codes!$A$2:$A$16, "")</f>
        <v/>
      </c>
      <c r="H100" s="22"/>
    </row>
    <row r="101" spans="1:8" x14ac:dyDescent="0.35">
      <c r="A101" s="23">
        <f t="shared" si="2"/>
        <v>1096</v>
      </c>
      <c r="B101" s="22"/>
      <c r="C101" s="22"/>
      <c r="D101" s="22"/>
      <c r="E101" s="22"/>
      <c r="F101" s="22"/>
      <c r="G101" s="23" t="str">
        <f>_xlfn.XLOOKUP($D101, Role_codes!$B$2:$B$16, Role_codes!$A$2:$A$16, "")</f>
        <v/>
      </c>
      <c r="H101" s="22"/>
    </row>
    <row r="102" spans="1:8" x14ac:dyDescent="0.35">
      <c r="A102" s="23">
        <f t="shared" si="2"/>
        <v>1097</v>
      </c>
      <c r="B102" s="22"/>
      <c r="C102" s="22"/>
      <c r="D102" s="22"/>
      <c r="E102" s="22"/>
      <c r="F102" s="22"/>
      <c r="G102" s="23" t="str">
        <f>_xlfn.XLOOKUP($D102, Role_codes!$B$2:$B$16, Role_codes!$A$2:$A$16, "")</f>
        <v/>
      </c>
      <c r="H102" s="22"/>
    </row>
    <row r="103" spans="1:8" x14ac:dyDescent="0.35">
      <c r="A103" s="23">
        <f t="shared" ref="A103:A134" si="3">A102+1</f>
        <v>1098</v>
      </c>
      <c r="B103" s="22"/>
      <c r="C103" s="22"/>
      <c r="D103" s="22"/>
      <c r="E103" s="22"/>
      <c r="F103" s="22"/>
      <c r="G103" s="23" t="str">
        <f>_xlfn.XLOOKUP($D103, Role_codes!$B$2:$B$16, Role_codes!$A$2:$A$16, "")</f>
        <v/>
      </c>
      <c r="H103" s="22"/>
    </row>
    <row r="104" spans="1:8" x14ac:dyDescent="0.35">
      <c r="A104" s="23">
        <f t="shared" si="3"/>
        <v>1099</v>
      </c>
      <c r="B104" s="22"/>
      <c r="C104" s="22"/>
      <c r="D104" s="22"/>
      <c r="E104" s="22"/>
      <c r="F104" s="22"/>
      <c r="G104" s="23" t="str">
        <f>_xlfn.XLOOKUP($D104, Role_codes!$B$2:$B$16, Role_codes!$A$2:$A$16, "")</f>
        <v/>
      </c>
      <c r="H104" s="22"/>
    </row>
    <row r="105" spans="1:8" x14ac:dyDescent="0.35">
      <c r="A105" s="23">
        <f t="shared" si="3"/>
        <v>1100</v>
      </c>
      <c r="B105" s="22"/>
      <c r="C105" s="22"/>
      <c r="D105" s="22"/>
      <c r="E105" s="22"/>
      <c r="F105" s="22"/>
      <c r="G105" s="23" t="str">
        <f>_xlfn.XLOOKUP($D105, Role_codes!$B$2:$B$16, Role_codes!$A$2:$A$16, "")</f>
        <v/>
      </c>
      <c r="H105" s="22"/>
    </row>
    <row r="106" spans="1:8" x14ac:dyDescent="0.35">
      <c r="A106" s="23">
        <f t="shared" si="3"/>
        <v>1101</v>
      </c>
      <c r="B106" s="22"/>
      <c r="C106" s="22"/>
      <c r="D106" s="22"/>
      <c r="E106" s="22"/>
      <c r="F106" s="22"/>
      <c r="G106" s="23" t="str">
        <f>_xlfn.XLOOKUP($D106, Role_codes!$B$2:$B$16, Role_codes!$A$2:$A$16, "")</f>
        <v/>
      </c>
      <c r="H106" s="22"/>
    </row>
    <row r="107" spans="1:8" x14ac:dyDescent="0.35">
      <c r="A107" s="23">
        <f t="shared" si="3"/>
        <v>1102</v>
      </c>
      <c r="B107" s="22"/>
      <c r="C107" s="22"/>
      <c r="D107" s="22"/>
      <c r="E107" s="22"/>
      <c r="F107" s="22"/>
      <c r="G107" s="23" t="str">
        <f>_xlfn.XLOOKUP($D107, Role_codes!$B$2:$B$16, Role_codes!$A$2:$A$16, "")</f>
        <v/>
      </c>
      <c r="H107" s="22"/>
    </row>
    <row r="108" spans="1:8" x14ac:dyDescent="0.35">
      <c r="A108" s="23">
        <f t="shared" si="3"/>
        <v>1103</v>
      </c>
      <c r="B108" s="22"/>
      <c r="C108" s="22"/>
      <c r="D108" s="22"/>
      <c r="E108" s="22"/>
      <c r="F108" s="22"/>
      <c r="G108" s="23" t="str">
        <f>_xlfn.XLOOKUP($D108, Role_codes!$B$2:$B$16, Role_codes!$A$2:$A$16, "")</f>
        <v/>
      </c>
      <c r="H108" s="22"/>
    </row>
    <row r="109" spans="1:8" x14ac:dyDescent="0.35">
      <c r="A109" s="23">
        <f t="shared" si="3"/>
        <v>1104</v>
      </c>
      <c r="B109" s="22"/>
      <c r="C109" s="22"/>
      <c r="D109" s="22"/>
      <c r="E109" s="22"/>
      <c r="F109" s="22"/>
      <c r="G109" s="23" t="str">
        <f>_xlfn.XLOOKUP($D109, Role_codes!$B$2:$B$16, Role_codes!$A$2:$A$16, "")</f>
        <v/>
      </c>
      <c r="H109" s="22"/>
    </row>
    <row r="110" spans="1:8" x14ac:dyDescent="0.35">
      <c r="A110" s="23">
        <f t="shared" si="3"/>
        <v>1105</v>
      </c>
      <c r="B110" s="22"/>
      <c r="C110" s="22"/>
      <c r="D110" s="22"/>
      <c r="E110" s="22"/>
      <c r="F110" s="22"/>
      <c r="G110" s="23" t="str">
        <f>_xlfn.XLOOKUP($D110, Role_codes!$B$2:$B$16, Role_codes!$A$2:$A$16, "")</f>
        <v/>
      </c>
      <c r="H110" s="22"/>
    </row>
    <row r="111" spans="1:8" x14ac:dyDescent="0.35">
      <c r="A111" s="23">
        <f t="shared" si="3"/>
        <v>1106</v>
      </c>
      <c r="B111" s="22"/>
      <c r="C111" s="22"/>
      <c r="D111" s="22"/>
      <c r="E111" s="22"/>
      <c r="F111" s="22"/>
      <c r="G111" s="23" t="str">
        <f>_xlfn.XLOOKUP($D111, Role_codes!$B$2:$B$16, Role_codes!$A$2:$A$16, "")</f>
        <v/>
      </c>
      <c r="H111" s="22"/>
    </row>
    <row r="112" spans="1:8" x14ac:dyDescent="0.35">
      <c r="A112" s="23">
        <f t="shared" si="3"/>
        <v>1107</v>
      </c>
      <c r="B112" s="22"/>
      <c r="C112" s="22"/>
      <c r="D112" s="22"/>
      <c r="E112" s="22"/>
      <c r="F112" s="22"/>
      <c r="G112" s="23" t="str">
        <f>_xlfn.XLOOKUP($D112, Role_codes!$B$2:$B$16, Role_codes!$A$2:$A$16, "")</f>
        <v/>
      </c>
      <c r="H112" s="22"/>
    </row>
    <row r="113" spans="1:8" x14ac:dyDescent="0.35">
      <c r="A113" s="23">
        <f t="shared" si="3"/>
        <v>1108</v>
      </c>
      <c r="B113" s="22"/>
      <c r="C113" s="22"/>
      <c r="D113" s="22"/>
      <c r="E113" s="22"/>
      <c r="F113" s="22"/>
      <c r="G113" s="23" t="str">
        <f>_xlfn.XLOOKUP($D113, Role_codes!$B$2:$B$16, Role_codes!$A$2:$A$16, "")</f>
        <v/>
      </c>
      <c r="H113" s="22"/>
    </row>
    <row r="114" spans="1:8" x14ac:dyDescent="0.35">
      <c r="A114" s="23">
        <f t="shared" si="3"/>
        <v>1109</v>
      </c>
      <c r="B114" s="22"/>
      <c r="C114" s="22"/>
      <c r="D114" s="22"/>
      <c r="E114" s="22"/>
      <c r="F114" s="22"/>
      <c r="G114" s="23" t="str">
        <f>_xlfn.XLOOKUP($D114, Role_codes!$B$2:$B$16, Role_codes!$A$2:$A$16, "")</f>
        <v/>
      </c>
      <c r="H114" s="22"/>
    </row>
    <row r="115" spans="1:8" x14ac:dyDescent="0.35">
      <c r="A115" s="23">
        <f t="shared" si="3"/>
        <v>1110</v>
      </c>
      <c r="B115" s="22"/>
      <c r="C115" s="22"/>
      <c r="D115" s="22"/>
      <c r="E115" s="22"/>
      <c r="F115" s="22"/>
      <c r="G115" s="23" t="str">
        <f>_xlfn.XLOOKUP($D115, Role_codes!$B$2:$B$16, Role_codes!$A$2:$A$16, "")</f>
        <v/>
      </c>
      <c r="H115" s="22"/>
    </row>
    <row r="116" spans="1:8" x14ac:dyDescent="0.35">
      <c r="A116" s="23">
        <f t="shared" si="3"/>
        <v>1111</v>
      </c>
      <c r="B116" s="22"/>
      <c r="C116" s="22"/>
      <c r="D116" s="22"/>
      <c r="E116" s="22"/>
      <c r="F116" s="22"/>
      <c r="G116" s="23" t="str">
        <f>_xlfn.XLOOKUP($D116, Role_codes!$B$2:$B$16, Role_codes!$A$2:$A$16, "")</f>
        <v/>
      </c>
      <c r="H116" s="22"/>
    </row>
    <row r="117" spans="1:8" x14ac:dyDescent="0.35">
      <c r="A117" s="23">
        <f t="shared" si="3"/>
        <v>1112</v>
      </c>
      <c r="B117" s="22"/>
      <c r="C117" s="22"/>
      <c r="D117" s="22"/>
      <c r="E117" s="22"/>
      <c r="F117" s="22"/>
      <c r="G117" s="23" t="str">
        <f>_xlfn.XLOOKUP($D117, Role_codes!$B$2:$B$16, Role_codes!$A$2:$A$16, "")</f>
        <v/>
      </c>
      <c r="H117" s="22"/>
    </row>
    <row r="118" spans="1:8" x14ac:dyDescent="0.35">
      <c r="A118" s="23">
        <f t="shared" si="3"/>
        <v>1113</v>
      </c>
      <c r="B118" s="22"/>
      <c r="C118" s="22"/>
      <c r="D118" s="22"/>
      <c r="E118" s="22"/>
      <c r="F118" s="22"/>
      <c r="G118" s="23" t="str">
        <f>_xlfn.XLOOKUP($D118, Role_codes!$B$2:$B$16, Role_codes!$A$2:$A$16, "")</f>
        <v/>
      </c>
      <c r="H118" s="22"/>
    </row>
    <row r="119" spans="1:8" x14ac:dyDescent="0.35">
      <c r="A119" s="23">
        <f t="shared" si="3"/>
        <v>1114</v>
      </c>
      <c r="B119" s="22"/>
      <c r="C119" s="22"/>
      <c r="D119" s="22"/>
      <c r="E119" s="22"/>
      <c r="F119" s="22"/>
      <c r="G119" s="23" t="str">
        <f>_xlfn.XLOOKUP($D119, Role_codes!$B$2:$B$16, Role_codes!$A$2:$A$16, "")</f>
        <v/>
      </c>
      <c r="H119" s="22"/>
    </row>
    <row r="120" spans="1:8" x14ac:dyDescent="0.35">
      <c r="A120" s="23">
        <f t="shared" si="3"/>
        <v>1115</v>
      </c>
      <c r="B120" s="22"/>
      <c r="C120" s="22"/>
      <c r="D120" s="22"/>
      <c r="E120" s="22"/>
      <c r="F120" s="22"/>
      <c r="G120" s="23" t="str">
        <f>_xlfn.XLOOKUP($D120, Role_codes!$B$2:$B$16, Role_codes!$A$2:$A$16, "")</f>
        <v/>
      </c>
      <c r="H120" s="22"/>
    </row>
    <row r="121" spans="1:8" x14ac:dyDescent="0.35">
      <c r="A121" s="23">
        <f t="shared" si="3"/>
        <v>1116</v>
      </c>
      <c r="B121" s="22"/>
      <c r="C121" s="22"/>
      <c r="D121" s="22"/>
      <c r="E121" s="22"/>
      <c r="F121" s="22"/>
      <c r="G121" s="23" t="str">
        <f>_xlfn.XLOOKUP($D121, Role_codes!$B$2:$B$16, Role_codes!$A$2:$A$16, "")</f>
        <v/>
      </c>
      <c r="H121" s="22"/>
    </row>
    <row r="122" spans="1:8" x14ac:dyDescent="0.35">
      <c r="A122" s="23">
        <f t="shared" si="3"/>
        <v>1117</v>
      </c>
      <c r="B122" s="22"/>
      <c r="C122" s="22"/>
      <c r="D122" s="22"/>
      <c r="E122" s="22"/>
      <c r="F122" s="22"/>
      <c r="G122" s="23" t="str">
        <f>_xlfn.XLOOKUP($D122, Role_codes!$B$2:$B$16, Role_codes!$A$2:$A$16, "")</f>
        <v/>
      </c>
      <c r="H122" s="22"/>
    </row>
    <row r="123" spans="1:8" x14ac:dyDescent="0.35">
      <c r="A123" s="23">
        <f t="shared" si="3"/>
        <v>1118</v>
      </c>
      <c r="B123" s="22"/>
      <c r="C123" s="22"/>
      <c r="D123" s="22"/>
      <c r="E123" s="22"/>
      <c r="F123" s="22"/>
      <c r="G123" s="23" t="str">
        <f>_xlfn.XLOOKUP($D123, Role_codes!$B$2:$B$16, Role_codes!$A$2:$A$16, "")</f>
        <v/>
      </c>
      <c r="H123" s="22"/>
    </row>
    <row r="124" spans="1:8" x14ac:dyDescent="0.35">
      <c r="A124" s="23">
        <f t="shared" si="3"/>
        <v>1119</v>
      </c>
      <c r="B124" s="22"/>
      <c r="C124" s="22"/>
      <c r="D124" s="22"/>
      <c r="E124" s="22"/>
      <c r="F124" s="22"/>
      <c r="G124" s="23" t="str">
        <f>_xlfn.XLOOKUP($D124, Role_codes!$B$2:$B$16, Role_codes!$A$2:$A$16, "")</f>
        <v/>
      </c>
      <c r="H124" s="22"/>
    </row>
    <row r="125" spans="1:8" x14ac:dyDescent="0.35">
      <c r="A125" s="23">
        <f t="shared" si="3"/>
        <v>1120</v>
      </c>
      <c r="B125" s="22"/>
      <c r="C125" s="22"/>
      <c r="D125" s="22"/>
      <c r="E125" s="22"/>
      <c r="F125" s="22"/>
      <c r="G125" s="23" t="str">
        <f>_xlfn.XLOOKUP($D125, Role_codes!$B$2:$B$16, Role_codes!$A$2:$A$16, "")</f>
        <v/>
      </c>
      <c r="H125" s="22"/>
    </row>
    <row r="126" spans="1:8" x14ac:dyDescent="0.35">
      <c r="A126" s="23">
        <f t="shared" si="3"/>
        <v>1121</v>
      </c>
      <c r="B126" s="22"/>
      <c r="C126" s="22"/>
      <c r="D126" s="22"/>
      <c r="E126" s="22"/>
      <c r="F126" s="22"/>
      <c r="G126" s="23" t="str">
        <f>_xlfn.XLOOKUP($D126, Role_codes!$B$2:$B$16, Role_codes!$A$2:$A$16, "")</f>
        <v/>
      </c>
      <c r="H126" s="22"/>
    </row>
    <row r="127" spans="1:8" x14ac:dyDescent="0.35">
      <c r="A127" s="23">
        <f t="shared" si="3"/>
        <v>1122</v>
      </c>
      <c r="B127" s="22"/>
      <c r="C127" s="22"/>
      <c r="D127" s="22"/>
      <c r="E127" s="22"/>
      <c r="F127" s="22"/>
      <c r="G127" s="23" t="str">
        <f>_xlfn.XLOOKUP($D127, Role_codes!$B$2:$B$16, Role_codes!$A$2:$A$16, "")</f>
        <v/>
      </c>
      <c r="H127" s="22"/>
    </row>
    <row r="128" spans="1:8" x14ac:dyDescent="0.35">
      <c r="A128" s="23">
        <f t="shared" si="3"/>
        <v>1123</v>
      </c>
      <c r="B128" s="22"/>
      <c r="C128" s="22"/>
      <c r="D128" s="22"/>
      <c r="E128" s="22"/>
      <c r="F128" s="22"/>
      <c r="G128" s="23" t="str">
        <f>_xlfn.XLOOKUP($D128, Role_codes!$B$2:$B$16, Role_codes!$A$2:$A$16, "")</f>
        <v/>
      </c>
      <c r="H128" s="22"/>
    </row>
    <row r="129" spans="1:8" x14ac:dyDescent="0.35">
      <c r="A129" s="23">
        <f t="shared" si="3"/>
        <v>1124</v>
      </c>
      <c r="B129" s="22"/>
      <c r="C129" s="22"/>
      <c r="D129" s="22"/>
      <c r="E129" s="22"/>
      <c r="F129" s="22"/>
      <c r="G129" s="23" t="str">
        <f>_xlfn.XLOOKUP($D129, Role_codes!$B$2:$B$16, Role_codes!$A$2:$A$16, "")</f>
        <v/>
      </c>
      <c r="H129" s="22"/>
    </row>
    <row r="130" spans="1:8" x14ac:dyDescent="0.35">
      <c r="A130" s="23">
        <f t="shared" si="3"/>
        <v>1125</v>
      </c>
      <c r="B130" s="22"/>
      <c r="C130" s="22"/>
      <c r="D130" s="22"/>
      <c r="E130" s="22"/>
      <c r="F130" s="22"/>
      <c r="G130" s="23" t="str">
        <f>_xlfn.XLOOKUP($D130, Role_codes!$B$2:$B$16, Role_codes!$A$2:$A$16, "")</f>
        <v/>
      </c>
      <c r="H130" s="22"/>
    </row>
    <row r="131" spans="1:8" x14ac:dyDescent="0.35">
      <c r="A131" s="23">
        <f t="shared" si="3"/>
        <v>1126</v>
      </c>
      <c r="B131" s="22"/>
      <c r="C131" s="22"/>
      <c r="D131" s="22"/>
      <c r="E131" s="22"/>
      <c r="F131" s="22"/>
      <c r="G131" s="23" t="str">
        <f>_xlfn.XLOOKUP($D131, Role_codes!$B$2:$B$16, Role_codes!$A$2:$A$16, "")</f>
        <v/>
      </c>
      <c r="H131" s="22"/>
    </row>
    <row r="132" spans="1:8" x14ac:dyDescent="0.35">
      <c r="A132" s="23">
        <f t="shared" si="3"/>
        <v>1127</v>
      </c>
      <c r="B132" s="22"/>
      <c r="C132" s="22"/>
      <c r="D132" s="22"/>
      <c r="E132" s="22"/>
      <c r="F132" s="22"/>
      <c r="G132" s="23" t="str">
        <f>_xlfn.XLOOKUP($D132, Role_codes!$B$2:$B$16, Role_codes!$A$2:$A$16, "")</f>
        <v/>
      </c>
      <c r="H132" s="22"/>
    </row>
    <row r="133" spans="1:8" x14ac:dyDescent="0.35">
      <c r="A133" s="23">
        <f t="shared" si="3"/>
        <v>1128</v>
      </c>
      <c r="B133" s="22"/>
      <c r="C133" s="22"/>
      <c r="D133" s="22"/>
      <c r="E133" s="22"/>
      <c r="F133" s="22"/>
      <c r="G133" s="23" t="str">
        <f>_xlfn.XLOOKUP($D133, Role_codes!$B$2:$B$16, Role_codes!$A$2:$A$16, "")</f>
        <v/>
      </c>
      <c r="H133" s="22"/>
    </row>
    <row r="134" spans="1:8" x14ac:dyDescent="0.35">
      <c r="A134" s="23">
        <f t="shared" si="3"/>
        <v>1129</v>
      </c>
      <c r="B134" s="22"/>
      <c r="C134" s="22"/>
      <c r="D134" s="22"/>
      <c r="E134" s="22"/>
      <c r="F134" s="22"/>
      <c r="G134" s="23" t="str">
        <f>_xlfn.XLOOKUP($D134, Role_codes!$B$2:$B$16, Role_codes!$A$2:$A$16, "")</f>
        <v/>
      </c>
      <c r="H134" s="22"/>
    </row>
    <row r="135" spans="1:8" x14ac:dyDescent="0.35">
      <c r="A135" s="23">
        <f t="shared" ref="A135:A166" si="4">A134+1</f>
        <v>1130</v>
      </c>
      <c r="B135" s="22"/>
      <c r="C135" s="22"/>
      <c r="D135" s="22"/>
      <c r="E135" s="22"/>
      <c r="F135" s="22"/>
      <c r="G135" s="23" t="str">
        <f>_xlfn.XLOOKUP($D135, Role_codes!$B$2:$B$16, Role_codes!$A$2:$A$16, "")</f>
        <v/>
      </c>
      <c r="H135" s="22"/>
    </row>
    <row r="136" spans="1:8" x14ac:dyDescent="0.35">
      <c r="A136" s="23">
        <f t="shared" si="4"/>
        <v>1131</v>
      </c>
      <c r="B136" s="22"/>
      <c r="C136" s="22"/>
      <c r="D136" s="22"/>
      <c r="E136" s="22"/>
      <c r="F136" s="22"/>
      <c r="G136" s="23" t="str">
        <f>_xlfn.XLOOKUP($D136, Role_codes!$B$2:$B$16, Role_codes!$A$2:$A$16, "")</f>
        <v/>
      </c>
      <c r="H136" s="22"/>
    </row>
    <row r="137" spans="1:8" x14ac:dyDescent="0.35">
      <c r="A137" s="23">
        <f t="shared" si="4"/>
        <v>1132</v>
      </c>
      <c r="B137" s="22"/>
      <c r="C137" s="22"/>
      <c r="D137" s="22"/>
      <c r="E137" s="22"/>
      <c r="F137" s="22"/>
      <c r="G137" s="23" t="str">
        <f>_xlfn.XLOOKUP($D137, Role_codes!$B$2:$B$16, Role_codes!$A$2:$A$16, "")</f>
        <v/>
      </c>
      <c r="H137" s="22"/>
    </row>
    <row r="138" spans="1:8" x14ac:dyDescent="0.35">
      <c r="A138" s="23">
        <f t="shared" si="4"/>
        <v>1133</v>
      </c>
      <c r="B138" s="22"/>
      <c r="C138" s="22"/>
      <c r="D138" s="22"/>
      <c r="E138" s="22"/>
      <c r="F138" s="22"/>
      <c r="G138" s="23" t="str">
        <f>_xlfn.XLOOKUP($D138, Role_codes!$B$2:$B$16, Role_codes!$A$2:$A$16, "")</f>
        <v/>
      </c>
      <c r="H138" s="22"/>
    </row>
    <row r="139" spans="1:8" x14ac:dyDescent="0.35">
      <c r="A139" s="23">
        <f t="shared" si="4"/>
        <v>1134</v>
      </c>
      <c r="B139" s="22"/>
      <c r="C139" s="22"/>
      <c r="D139" s="22"/>
      <c r="E139" s="22"/>
      <c r="F139" s="22"/>
      <c r="G139" s="23" t="str">
        <f>_xlfn.XLOOKUP($D139, Role_codes!$B$2:$B$16, Role_codes!$A$2:$A$16, "")</f>
        <v/>
      </c>
      <c r="H139" s="22"/>
    </row>
    <row r="140" spans="1:8" x14ac:dyDescent="0.35">
      <c r="A140" s="23">
        <f t="shared" si="4"/>
        <v>1135</v>
      </c>
      <c r="B140" s="22"/>
      <c r="C140" s="22"/>
      <c r="D140" s="22"/>
      <c r="E140" s="22"/>
      <c r="F140" s="22"/>
      <c r="G140" s="23" t="str">
        <f>_xlfn.XLOOKUP($D140, Role_codes!$B$2:$B$16, Role_codes!$A$2:$A$16, "")</f>
        <v/>
      </c>
      <c r="H140" s="22"/>
    </row>
    <row r="141" spans="1:8" x14ac:dyDescent="0.35">
      <c r="A141" s="23">
        <f t="shared" si="4"/>
        <v>1136</v>
      </c>
      <c r="B141" s="22"/>
      <c r="C141" s="22"/>
      <c r="D141" s="22"/>
      <c r="E141" s="22"/>
      <c r="F141" s="22"/>
      <c r="G141" s="23" t="str">
        <f>_xlfn.XLOOKUP($D141, Role_codes!$B$2:$B$16, Role_codes!$A$2:$A$16, "")</f>
        <v/>
      </c>
      <c r="H141" s="22"/>
    </row>
    <row r="142" spans="1:8" x14ac:dyDescent="0.35">
      <c r="A142" s="23">
        <f t="shared" si="4"/>
        <v>1137</v>
      </c>
      <c r="B142" s="22"/>
      <c r="C142" s="22"/>
      <c r="D142" s="22"/>
      <c r="E142" s="22"/>
      <c r="F142" s="22"/>
      <c r="G142" s="23" t="str">
        <f>_xlfn.XLOOKUP($D142, Role_codes!$B$2:$B$16, Role_codes!$A$2:$A$16, "")</f>
        <v/>
      </c>
      <c r="H142" s="22"/>
    </row>
    <row r="143" spans="1:8" x14ac:dyDescent="0.35">
      <c r="A143" s="23">
        <f t="shared" si="4"/>
        <v>1138</v>
      </c>
      <c r="B143" s="22"/>
      <c r="C143" s="22"/>
      <c r="D143" s="22"/>
      <c r="E143" s="22"/>
      <c r="F143" s="22"/>
      <c r="G143" s="23" t="str">
        <f>_xlfn.XLOOKUP($D143, Role_codes!$B$2:$B$16, Role_codes!$A$2:$A$16, "")</f>
        <v/>
      </c>
      <c r="H143" s="22"/>
    </row>
    <row r="144" spans="1:8" x14ac:dyDescent="0.35">
      <c r="A144" s="23">
        <f t="shared" si="4"/>
        <v>1139</v>
      </c>
      <c r="B144" s="22"/>
      <c r="C144" s="22"/>
      <c r="D144" s="22"/>
      <c r="E144" s="22"/>
      <c r="F144" s="22"/>
      <c r="G144" s="23" t="str">
        <f>_xlfn.XLOOKUP($D144, Role_codes!$B$2:$B$16, Role_codes!$A$2:$A$16, "")</f>
        <v/>
      </c>
      <c r="H144" s="22"/>
    </row>
    <row r="145" spans="1:8" x14ac:dyDescent="0.35">
      <c r="A145" s="23">
        <f t="shared" si="4"/>
        <v>1140</v>
      </c>
      <c r="B145" s="22"/>
      <c r="C145" s="22"/>
      <c r="D145" s="22"/>
      <c r="E145" s="22"/>
      <c r="F145" s="22"/>
      <c r="G145" s="23" t="str">
        <f>_xlfn.XLOOKUP($D145, Role_codes!$B$2:$B$16, Role_codes!$A$2:$A$16, "")</f>
        <v/>
      </c>
      <c r="H145" s="22"/>
    </row>
    <row r="146" spans="1:8" x14ac:dyDescent="0.35">
      <c r="A146" s="23">
        <f t="shared" si="4"/>
        <v>1141</v>
      </c>
      <c r="B146" s="22"/>
      <c r="C146" s="22"/>
      <c r="D146" s="22"/>
      <c r="E146" s="22"/>
      <c r="F146" s="22"/>
      <c r="G146" s="23" t="str">
        <f>_xlfn.XLOOKUP($D146, Role_codes!$B$2:$B$16, Role_codes!$A$2:$A$16, "")</f>
        <v/>
      </c>
      <c r="H146" s="22"/>
    </row>
    <row r="147" spans="1:8" x14ac:dyDescent="0.35">
      <c r="A147" s="23">
        <f t="shared" si="4"/>
        <v>1142</v>
      </c>
      <c r="B147" s="22"/>
      <c r="C147" s="22"/>
      <c r="D147" s="22"/>
      <c r="E147" s="22"/>
      <c r="F147" s="22"/>
      <c r="G147" s="23" t="str">
        <f>_xlfn.XLOOKUP($D147, Role_codes!$B$2:$B$16, Role_codes!$A$2:$A$16, "")</f>
        <v/>
      </c>
      <c r="H147" s="22"/>
    </row>
    <row r="148" spans="1:8" x14ac:dyDescent="0.35">
      <c r="A148" s="23">
        <f t="shared" si="4"/>
        <v>1143</v>
      </c>
      <c r="B148" s="22"/>
      <c r="C148" s="22"/>
      <c r="D148" s="22"/>
      <c r="E148" s="22"/>
      <c r="F148" s="22"/>
      <c r="G148" s="23" t="str">
        <f>_xlfn.XLOOKUP($D148, Role_codes!$B$2:$B$16, Role_codes!$A$2:$A$16, "")</f>
        <v/>
      </c>
      <c r="H148" s="22"/>
    </row>
    <row r="149" spans="1:8" x14ac:dyDescent="0.35">
      <c r="A149" s="23">
        <f t="shared" si="4"/>
        <v>1144</v>
      </c>
      <c r="B149" s="22"/>
      <c r="C149" s="22"/>
      <c r="D149" s="22"/>
      <c r="E149" s="22"/>
      <c r="F149" s="22"/>
      <c r="G149" s="23" t="str">
        <f>_xlfn.XLOOKUP($D149, Role_codes!$B$2:$B$16, Role_codes!$A$2:$A$16, "")</f>
        <v/>
      </c>
      <c r="H149" s="22"/>
    </row>
    <row r="150" spans="1:8" x14ac:dyDescent="0.35">
      <c r="A150" s="23">
        <f t="shared" si="4"/>
        <v>1145</v>
      </c>
      <c r="B150" s="22"/>
      <c r="C150" s="22"/>
      <c r="D150" s="22"/>
      <c r="E150" s="22"/>
      <c r="F150" s="22"/>
      <c r="G150" s="23" t="str">
        <f>_xlfn.XLOOKUP($D150, Role_codes!$B$2:$B$16, Role_codes!$A$2:$A$16, "")</f>
        <v/>
      </c>
      <c r="H150" s="22"/>
    </row>
    <row r="151" spans="1:8" x14ac:dyDescent="0.35">
      <c r="A151" s="23">
        <f t="shared" si="4"/>
        <v>1146</v>
      </c>
      <c r="B151" s="22"/>
      <c r="C151" s="22"/>
      <c r="D151" s="22"/>
      <c r="E151" s="22"/>
      <c r="F151" s="22"/>
      <c r="G151" s="23" t="str">
        <f>_xlfn.XLOOKUP($D151, Role_codes!$B$2:$B$16, Role_codes!$A$2:$A$16, "")</f>
        <v/>
      </c>
      <c r="H151" s="22"/>
    </row>
    <row r="152" spans="1:8" x14ac:dyDescent="0.35">
      <c r="A152" s="23">
        <f t="shared" si="4"/>
        <v>1147</v>
      </c>
      <c r="B152" s="22"/>
      <c r="C152" s="22"/>
      <c r="D152" s="22"/>
      <c r="E152" s="22"/>
      <c r="F152" s="22"/>
      <c r="G152" s="23" t="str">
        <f>_xlfn.XLOOKUP($D152, Role_codes!$B$2:$B$16, Role_codes!$A$2:$A$16, "")</f>
        <v/>
      </c>
      <c r="H152" s="22"/>
    </row>
    <row r="153" spans="1:8" x14ac:dyDescent="0.35">
      <c r="A153" s="23">
        <f t="shared" si="4"/>
        <v>1148</v>
      </c>
      <c r="B153" s="22"/>
      <c r="C153" s="22"/>
      <c r="D153" s="22"/>
      <c r="E153" s="22"/>
      <c r="F153" s="22"/>
      <c r="G153" s="23" t="str">
        <f>_xlfn.XLOOKUP($D153, Role_codes!$B$2:$B$16, Role_codes!$A$2:$A$16, "")</f>
        <v/>
      </c>
      <c r="H153" s="22"/>
    </row>
    <row r="154" spans="1:8" x14ac:dyDescent="0.35">
      <c r="A154" s="23">
        <f t="shared" si="4"/>
        <v>1149</v>
      </c>
      <c r="B154" s="22"/>
      <c r="C154" s="22"/>
      <c r="D154" s="22"/>
      <c r="E154" s="22"/>
      <c r="F154" s="22"/>
      <c r="G154" s="23" t="str">
        <f>_xlfn.XLOOKUP($D154, Role_codes!$B$2:$B$16, Role_codes!$A$2:$A$16, "")</f>
        <v/>
      </c>
      <c r="H154" s="22"/>
    </row>
    <row r="155" spans="1:8" x14ac:dyDescent="0.35">
      <c r="A155" s="23">
        <f t="shared" si="4"/>
        <v>1150</v>
      </c>
      <c r="B155" s="22"/>
      <c r="C155" s="22"/>
      <c r="D155" s="22"/>
      <c r="E155" s="22"/>
      <c r="F155" s="22"/>
      <c r="G155" s="23" t="str">
        <f>_xlfn.XLOOKUP($D155, Role_codes!$B$2:$B$16, Role_codes!$A$2:$A$16, "")</f>
        <v/>
      </c>
      <c r="H155" s="22"/>
    </row>
    <row r="156" spans="1:8" x14ac:dyDescent="0.35">
      <c r="A156" s="23">
        <f t="shared" si="4"/>
        <v>1151</v>
      </c>
      <c r="B156" s="22"/>
      <c r="C156" s="22"/>
      <c r="D156" s="22"/>
      <c r="E156" s="22"/>
      <c r="F156" s="22"/>
      <c r="G156" s="23" t="str">
        <f>_xlfn.XLOOKUP($D156, Role_codes!$B$2:$B$16, Role_codes!$A$2:$A$16, "")</f>
        <v/>
      </c>
      <c r="H156" s="22"/>
    </row>
    <row r="157" spans="1:8" x14ac:dyDescent="0.35">
      <c r="A157" s="23">
        <f t="shared" si="4"/>
        <v>1152</v>
      </c>
      <c r="B157" s="22"/>
      <c r="C157" s="22"/>
      <c r="D157" s="22"/>
      <c r="E157" s="22"/>
      <c r="F157" s="22"/>
      <c r="G157" s="23" t="str">
        <f>_xlfn.XLOOKUP($D157, Role_codes!$B$2:$B$16, Role_codes!$A$2:$A$16, "")</f>
        <v/>
      </c>
      <c r="H157" s="22"/>
    </row>
    <row r="158" spans="1:8" x14ac:dyDescent="0.35">
      <c r="A158" s="23">
        <f t="shared" si="4"/>
        <v>1153</v>
      </c>
      <c r="B158" s="22"/>
      <c r="C158" s="22"/>
      <c r="D158" s="22"/>
      <c r="E158" s="22"/>
      <c r="F158" s="22"/>
      <c r="G158" s="23" t="str">
        <f>_xlfn.XLOOKUP($D158, Role_codes!$B$2:$B$16, Role_codes!$A$2:$A$16, "")</f>
        <v/>
      </c>
      <c r="H158" s="22"/>
    </row>
    <row r="159" spans="1:8" x14ac:dyDescent="0.35">
      <c r="A159" s="23">
        <f t="shared" si="4"/>
        <v>1154</v>
      </c>
      <c r="B159" s="22"/>
      <c r="C159" s="22"/>
      <c r="D159" s="22"/>
      <c r="E159" s="22"/>
      <c r="F159" s="22"/>
      <c r="G159" s="23" t="str">
        <f>_xlfn.XLOOKUP($D159, Role_codes!$B$2:$B$16, Role_codes!$A$2:$A$16, "")</f>
        <v/>
      </c>
      <c r="H159" s="22"/>
    </row>
    <row r="160" spans="1:8" x14ac:dyDescent="0.35">
      <c r="A160" s="23">
        <f t="shared" si="4"/>
        <v>1155</v>
      </c>
      <c r="B160" s="22"/>
      <c r="C160" s="22"/>
      <c r="D160" s="22"/>
      <c r="E160" s="22"/>
      <c r="F160" s="22"/>
      <c r="G160" s="23" t="str">
        <f>_xlfn.XLOOKUP($D160, Role_codes!$B$2:$B$16, Role_codes!$A$2:$A$16, "")</f>
        <v/>
      </c>
      <c r="H160" s="22"/>
    </row>
    <row r="161" spans="1:8" x14ac:dyDescent="0.35">
      <c r="A161" s="23">
        <f t="shared" si="4"/>
        <v>1156</v>
      </c>
      <c r="B161" s="22"/>
      <c r="C161" s="22"/>
      <c r="D161" s="22"/>
      <c r="E161" s="22"/>
      <c r="F161" s="22"/>
      <c r="G161" s="23" t="str">
        <f>_xlfn.XLOOKUP($D161, Role_codes!$B$2:$B$16, Role_codes!$A$2:$A$16, "")</f>
        <v/>
      </c>
      <c r="H161" s="22"/>
    </row>
    <row r="162" spans="1:8" x14ac:dyDescent="0.35">
      <c r="A162" s="23">
        <f t="shared" si="4"/>
        <v>1157</v>
      </c>
      <c r="B162" s="22"/>
      <c r="C162" s="22"/>
      <c r="D162" s="22"/>
      <c r="E162" s="22"/>
      <c r="F162" s="22"/>
      <c r="G162" s="23" t="str">
        <f>_xlfn.XLOOKUP($D162, Role_codes!$B$2:$B$16, Role_codes!$A$2:$A$16, "")</f>
        <v/>
      </c>
      <c r="H162" s="22"/>
    </row>
    <row r="163" spans="1:8" x14ac:dyDescent="0.35">
      <c r="A163" s="23">
        <f t="shared" si="4"/>
        <v>1158</v>
      </c>
      <c r="B163" s="22"/>
      <c r="C163" s="22"/>
      <c r="D163" s="22"/>
      <c r="E163" s="22"/>
      <c r="F163" s="22"/>
      <c r="G163" s="23" t="str">
        <f>_xlfn.XLOOKUP($D163, Role_codes!$B$2:$B$16, Role_codes!$A$2:$A$16, "")</f>
        <v/>
      </c>
      <c r="H163" s="22"/>
    </row>
    <row r="164" spans="1:8" x14ac:dyDescent="0.35">
      <c r="A164" s="23">
        <f t="shared" si="4"/>
        <v>1159</v>
      </c>
      <c r="B164" s="22"/>
      <c r="C164" s="22"/>
      <c r="D164" s="22"/>
      <c r="E164" s="22"/>
      <c r="F164" s="22"/>
      <c r="G164" s="23" t="str">
        <f>_xlfn.XLOOKUP($D164, Role_codes!$B$2:$B$16, Role_codes!$A$2:$A$16, "")</f>
        <v/>
      </c>
      <c r="H164" s="22"/>
    </row>
    <row r="165" spans="1:8" x14ac:dyDescent="0.35">
      <c r="A165" s="23">
        <f t="shared" si="4"/>
        <v>1160</v>
      </c>
      <c r="B165" s="22"/>
      <c r="C165" s="22"/>
      <c r="D165" s="22"/>
      <c r="E165" s="22"/>
      <c r="F165" s="22"/>
      <c r="G165" s="23" t="str">
        <f>_xlfn.XLOOKUP($D165, Role_codes!$B$2:$B$16, Role_codes!$A$2:$A$16, "")</f>
        <v/>
      </c>
      <c r="H165" s="22"/>
    </row>
    <row r="166" spans="1:8" x14ac:dyDescent="0.35">
      <c r="A166" s="23">
        <f t="shared" si="4"/>
        <v>1161</v>
      </c>
      <c r="B166" s="22"/>
      <c r="C166" s="22"/>
      <c r="D166" s="22"/>
      <c r="E166" s="22"/>
      <c r="F166" s="22"/>
      <c r="G166" s="23" t="str">
        <f>_xlfn.XLOOKUP($D166, Role_codes!$B$2:$B$16, Role_codes!$A$2:$A$16, "")</f>
        <v/>
      </c>
      <c r="H166" s="22"/>
    </row>
    <row r="167" spans="1:8" x14ac:dyDescent="0.35">
      <c r="A167" s="23">
        <f t="shared" ref="A167:A200" si="5">A166+1</f>
        <v>1162</v>
      </c>
      <c r="B167" s="22"/>
      <c r="C167" s="22"/>
      <c r="D167" s="22"/>
      <c r="E167" s="22"/>
      <c r="F167" s="22"/>
      <c r="G167" s="23" t="str">
        <f>_xlfn.XLOOKUP($D167, Role_codes!$B$2:$B$16, Role_codes!$A$2:$A$16, "")</f>
        <v/>
      </c>
      <c r="H167" s="22"/>
    </row>
    <row r="168" spans="1:8" x14ac:dyDescent="0.35">
      <c r="A168" s="23">
        <f t="shared" si="5"/>
        <v>1163</v>
      </c>
      <c r="B168" s="22"/>
      <c r="C168" s="22"/>
      <c r="D168" s="22"/>
      <c r="E168" s="22"/>
      <c r="F168" s="22"/>
      <c r="G168" s="23" t="str">
        <f>_xlfn.XLOOKUP($D168, Role_codes!$B$2:$B$16, Role_codes!$A$2:$A$16, "")</f>
        <v/>
      </c>
      <c r="H168" s="22"/>
    </row>
    <row r="169" spans="1:8" x14ac:dyDescent="0.35">
      <c r="A169" s="23">
        <f t="shared" si="5"/>
        <v>1164</v>
      </c>
      <c r="B169" s="22"/>
      <c r="C169" s="22"/>
      <c r="D169" s="22"/>
      <c r="E169" s="22"/>
      <c r="F169" s="22"/>
      <c r="G169" s="23" t="str">
        <f>_xlfn.XLOOKUP($D169, Role_codes!$B$2:$B$16, Role_codes!$A$2:$A$16, "")</f>
        <v/>
      </c>
      <c r="H169" s="22"/>
    </row>
    <row r="170" spans="1:8" x14ac:dyDescent="0.35">
      <c r="A170" s="23">
        <f t="shared" si="5"/>
        <v>1165</v>
      </c>
      <c r="B170" s="22"/>
      <c r="C170" s="22"/>
      <c r="D170" s="22"/>
      <c r="E170" s="22"/>
      <c r="F170" s="22"/>
      <c r="G170" s="23" t="str">
        <f>_xlfn.XLOOKUP($D170, Role_codes!$B$2:$B$16, Role_codes!$A$2:$A$16, "")</f>
        <v/>
      </c>
      <c r="H170" s="22"/>
    </row>
    <row r="171" spans="1:8" x14ac:dyDescent="0.35">
      <c r="A171" s="23">
        <f t="shared" si="5"/>
        <v>1166</v>
      </c>
      <c r="B171" s="22"/>
      <c r="C171" s="22"/>
      <c r="D171" s="22"/>
      <c r="E171" s="22"/>
      <c r="F171" s="22"/>
      <c r="G171" s="23" t="str">
        <f>_xlfn.XLOOKUP($D171, Role_codes!$B$2:$B$16, Role_codes!$A$2:$A$16, "")</f>
        <v/>
      </c>
      <c r="H171" s="22"/>
    </row>
    <row r="172" spans="1:8" x14ac:dyDescent="0.35">
      <c r="A172" s="23">
        <f t="shared" si="5"/>
        <v>1167</v>
      </c>
      <c r="B172" s="22"/>
      <c r="C172" s="22"/>
      <c r="D172" s="22"/>
      <c r="E172" s="22"/>
      <c r="F172" s="22"/>
      <c r="G172" s="23" t="str">
        <f>_xlfn.XLOOKUP($D172, Role_codes!$B$2:$B$16, Role_codes!$A$2:$A$16, "")</f>
        <v/>
      </c>
      <c r="H172" s="22"/>
    </row>
    <row r="173" spans="1:8" x14ac:dyDescent="0.35">
      <c r="A173" s="23">
        <f t="shared" si="5"/>
        <v>1168</v>
      </c>
      <c r="B173" s="22"/>
      <c r="C173" s="22"/>
      <c r="D173" s="22"/>
      <c r="E173" s="22"/>
      <c r="F173" s="22"/>
      <c r="G173" s="23" t="str">
        <f>_xlfn.XLOOKUP($D173, Role_codes!$B$2:$B$16, Role_codes!$A$2:$A$16, "")</f>
        <v/>
      </c>
      <c r="H173" s="22"/>
    </row>
    <row r="174" spans="1:8" x14ac:dyDescent="0.35">
      <c r="A174" s="23">
        <f t="shared" si="5"/>
        <v>1169</v>
      </c>
      <c r="B174" s="22"/>
      <c r="C174" s="22"/>
      <c r="D174" s="22"/>
      <c r="E174" s="22"/>
      <c r="F174" s="22"/>
      <c r="G174" s="23" t="str">
        <f>_xlfn.XLOOKUP($D174, Role_codes!$B$2:$B$16, Role_codes!$A$2:$A$16, "")</f>
        <v/>
      </c>
      <c r="H174" s="22"/>
    </row>
    <row r="175" spans="1:8" x14ac:dyDescent="0.35">
      <c r="A175" s="23">
        <f t="shared" si="5"/>
        <v>1170</v>
      </c>
      <c r="B175" s="22"/>
      <c r="C175" s="22"/>
      <c r="D175" s="22"/>
      <c r="E175" s="22"/>
      <c r="F175" s="22"/>
      <c r="G175" s="23" t="str">
        <f>_xlfn.XLOOKUP($D175, Role_codes!$B$2:$B$16, Role_codes!$A$2:$A$16, "")</f>
        <v/>
      </c>
      <c r="H175" s="22"/>
    </row>
    <row r="176" spans="1:8" x14ac:dyDescent="0.35">
      <c r="A176" s="23">
        <f t="shared" si="5"/>
        <v>1171</v>
      </c>
      <c r="B176" s="22"/>
      <c r="C176" s="22"/>
      <c r="D176" s="22"/>
      <c r="E176" s="22"/>
      <c r="F176" s="22"/>
      <c r="G176" s="23" t="str">
        <f>_xlfn.XLOOKUP($D176, Role_codes!$B$2:$B$16, Role_codes!$A$2:$A$16, "")</f>
        <v/>
      </c>
      <c r="H176" s="22"/>
    </row>
    <row r="177" spans="1:8" x14ac:dyDescent="0.35">
      <c r="A177" s="23">
        <f t="shared" si="5"/>
        <v>1172</v>
      </c>
      <c r="B177" s="22"/>
      <c r="C177" s="22"/>
      <c r="D177" s="22"/>
      <c r="E177" s="22"/>
      <c r="F177" s="22"/>
      <c r="G177" s="23" t="str">
        <f>_xlfn.XLOOKUP($D177, Role_codes!$B$2:$B$16, Role_codes!$A$2:$A$16, "")</f>
        <v/>
      </c>
      <c r="H177" s="22"/>
    </row>
    <row r="178" spans="1:8" x14ac:dyDescent="0.35">
      <c r="A178" s="23">
        <f t="shared" si="5"/>
        <v>1173</v>
      </c>
      <c r="B178" s="22"/>
      <c r="C178" s="22"/>
      <c r="D178" s="22"/>
      <c r="E178" s="22"/>
      <c r="F178" s="22"/>
      <c r="G178" s="23" t="str">
        <f>_xlfn.XLOOKUP($D178, Role_codes!$B$2:$B$16, Role_codes!$A$2:$A$16, "")</f>
        <v/>
      </c>
      <c r="H178" s="22"/>
    </row>
    <row r="179" spans="1:8" x14ac:dyDescent="0.35">
      <c r="A179" s="23">
        <f t="shared" si="5"/>
        <v>1174</v>
      </c>
      <c r="B179" s="22"/>
      <c r="C179" s="22"/>
      <c r="D179" s="22"/>
      <c r="E179" s="22"/>
      <c r="F179" s="22"/>
      <c r="G179" s="23" t="str">
        <f>_xlfn.XLOOKUP($D179, Role_codes!$B$2:$B$16, Role_codes!$A$2:$A$16, "")</f>
        <v/>
      </c>
      <c r="H179" s="22"/>
    </row>
    <row r="180" spans="1:8" x14ac:dyDescent="0.35">
      <c r="A180" s="23">
        <f t="shared" si="5"/>
        <v>1175</v>
      </c>
      <c r="B180" s="22"/>
      <c r="C180" s="22"/>
      <c r="D180" s="22"/>
      <c r="E180" s="22"/>
      <c r="F180" s="22"/>
      <c r="G180" s="23" t="str">
        <f>_xlfn.XLOOKUP($D180, Role_codes!$B$2:$B$16, Role_codes!$A$2:$A$16, "")</f>
        <v/>
      </c>
      <c r="H180" s="22"/>
    </row>
    <row r="181" spans="1:8" x14ac:dyDescent="0.35">
      <c r="A181" s="23">
        <f t="shared" si="5"/>
        <v>1176</v>
      </c>
      <c r="B181" s="22"/>
      <c r="C181" s="22"/>
      <c r="D181" s="22"/>
      <c r="E181" s="22"/>
      <c r="F181" s="22"/>
      <c r="G181" s="23" t="str">
        <f>_xlfn.XLOOKUP($D181, Role_codes!$B$2:$B$16, Role_codes!$A$2:$A$16, "")</f>
        <v/>
      </c>
      <c r="H181" s="22"/>
    </row>
    <row r="182" spans="1:8" x14ac:dyDescent="0.35">
      <c r="A182" s="23">
        <f t="shared" si="5"/>
        <v>1177</v>
      </c>
      <c r="B182" s="22"/>
      <c r="C182" s="22"/>
      <c r="D182" s="22"/>
      <c r="E182" s="22"/>
      <c r="F182" s="22"/>
      <c r="G182" s="23" t="str">
        <f>_xlfn.XLOOKUP($D182, Role_codes!$B$2:$B$16, Role_codes!$A$2:$A$16, "")</f>
        <v/>
      </c>
      <c r="H182" s="22"/>
    </row>
    <row r="183" spans="1:8" x14ac:dyDescent="0.35">
      <c r="A183" s="23">
        <f t="shared" si="5"/>
        <v>1178</v>
      </c>
      <c r="B183" s="22"/>
      <c r="C183" s="22"/>
      <c r="D183" s="22"/>
      <c r="E183" s="22"/>
      <c r="F183" s="22"/>
      <c r="G183" s="23" t="str">
        <f>_xlfn.XLOOKUP($D183, Role_codes!$B$2:$B$16, Role_codes!$A$2:$A$16, "")</f>
        <v/>
      </c>
      <c r="H183" s="22"/>
    </row>
    <row r="184" spans="1:8" x14ac:dyDescent="0.35">
      <c r="A184" s="23">
        <f t="shared" si="5"/>
        <v>1179</v>
      </c>
      <c r="B184" s="22"/>
      <c r="C184" s="22"/>
      <c r="D184" s="22"/>
      <c r="E184" s="22"/>
      <c r="F184" s="22"/>
      <c r="G184" s="23" t="str">
        <f>_xlfn.XLOOKUP($D184, Role_codes!$B$2:$B$16, Role_codes!$A$2:$A$16, "")</f>
        <v/>
      </c>
      <c r="H184" s="22"/>
    </row>
    <row r="185" spans="1:8" x14ac:dyDescent="0.35">
      <c r="A185" s="23">
        <f t="shared" si="5"/>
        <v>1180</v>
      </c>
      <c r="B185" s="22"/>
      <c r="C185" s="22"/>
      <c r="D185" s="22"/>
      <c r="E185" s="22"/>
      <c r="F185" s="22"/>
      <c r="G185" s="23" t="str">
        <f>_xlfn.XLOOKUP($D185, Role_codes!$B$2:$B$16, Role_codes!$A$2:$A$16, "")</f>
        <v/>
      </c>
      <c r="H185" s="22"/>
    </row>
    <row r="186" spans="1:8" x14ac:dyDescent="0.35">
      <c r="A186" s="23">
        <f t="shared" si="5"/>
        <v>1181</v>
      </c>
      <c r="B186" s="22"/>
      <c r="C186" s="22"/>
      <c r="D186" s="22"/>
      <c r="E186" s="22"/>
      <c r="F186" s="22"/>
      <c r="G186" s="23" t="str">
        <f>_xlfn.XLOOKUP($D186, Role_codes!$B$2:$B$16, Role_codes!$A$2:$A$16, "")</f>
        <v/>
      </c>
      <c r="H186" s="22"/>
    </row>
    <row r="187" spans="1:8" x14ac:dyDescent="0.35">
      <c r="A187" s="23">
        <f t="shared" si="5"/>
        <v>1182</v>
      </c>
      <c r="B187" s="22"/>
      <c r="C187" s="22"/>
      <c r="D187" s="22"/>
      <c r="E187" s="22"/>
      <c r="F187" s="22"/>
      <c r="G187" s="23" t="str">
        <f>_xlfn.XLOOKUP($D187, Role_codes!$B$2:$B$16, Role_codes!$A$2:$A$16, "")</f>
        <v/>
      </c>
      <c r="H187" s="22"/>
    </row>
    <row r="188" spans="1:8" x14ac:dyDescent="0.35">
      <c r="A188" s="23">
        <f t="shared" si="5"/>
        <v>1183</v>
      </c>
      <c r="B188" s="22"/>
      <c r="C188" s="22"/>
      <c r="D188" s="22"/>
      <c r="E188" s="22"/>
      <c r="F188" s="22"/>
      <c r="G188" s="23" t="str">
        <f>_xlfn.XLOOKUP($D188, Role_codes!$B$2:$B$16, Role_codes!$A$2:$A$16, "")</f>
        <v/>
      </c>
      <c r="H188" s="22"/>
    </row>
    <row r="189" spans="1:8" x14ac:dyDescent="0.35">
      <c r="A189" s="23">
        <f t="shared" si="5"/>
        <v>1184</v>
      </c>
      <c r="B189" s="22"/>
      <c r="C189" s="22"/>
      <c r="D189" s="22"/>
      <c r="E189" s="22"/>
      <c r="F189" s="22"/>
      <c r="G189" s="23" t="str">
        <f>_xlfn.XLOOKUP($D189, Role_codes!$B$2:$B$16, Role_codes!$A$2:$A$16, "")</f>
        <v/>
      </c>
      <c r="H189" s="22"/>
    </row>
    <row r="190" spans="1:8" x14ac:dyDescent="0.35">
      <c r="A190" s="23">
        <f t="shared" si="5"/>
        <v>1185</v>
      </c>
      <c r="B190" s="22"/>
      <c r="C190" s="22"/>
      <c r="D190" s="22"/>
      <c r="E190" s="22"/>
      <c r="F190" s="22"/>
      <c r="G190" s="23" t="str">
        <f>_xlfn.XLOOKUP($D190, Role_codes!$B$2:$B$16, Role_codes!$A$2:$A$16, "")</f>
        <v/>
      </c>
      <c r="H190" s="22"/>
    </row>
    <row r="191" spans="1:8" x14ac:dyDescent="0.35">
      <c r="A191" s="23">
        <f t="shared" si="5"/>
        <v>1186</v>
      </c>
      <c r="B191" s="22"/>
      <c r="C191" s="22"/>
      <c r="D191" s="22"/>
      <c r="E191" s="22"/>
      <c r="F191" s="22"/>
      <c r="G191" s="23" t="str">
        <f>_xlfn.XLOOKUP($D191, Role_codes!$B$2:$B$16, Role_codes!$A$2:$A$16, "")</f>
        <v/>
      </c>
      <c r="H191" s="22"/>
    </row>
    <row r="192" spans="1:8" x14ac:dyDescent="0.35">
      <c r="A192" s="23">
        <f t="shared" si="5"/>
        <v>1187</v>
      </c>
      <c r="B192" s="22"/>
      <c r="C192" s="22"/>
      <c r="D192" s="22"/>
      <c r="E192" s="22"/>
      <c r="F192" s="22"/>
      <c r="G192" s="23" t="str">
        <f>_xlfn.XLOOKUP($D192, Role_codes!$B$2:$B$16, Role_codes!$A$2:$A$16, "")</f>
        <v/>
      </c>
      <c r="H192" s="22"/>
    </row>
    <row r="193" spans="1:8" x14ac:dyDescent="0.35">
      <c r="A193" s="23">
        <f t="shared" si="5"/>
        <v>1188</v>
      </c>
      <c r="B193" s="22"/>
      <c r="C193" s="22"/>
      <c r="D193" s="22"/>
      <c r="E193" s="22"/>
      <c r="F193" s="22"/>
      <c r="G193" s="23" t="str">
        <f>_xlfn.XLOOKUP($D193, Role_codes!$B$2:$B$16, Role_codes!$A$2:$A$16, "")</f>
        <v/>
      </c>
      <c r="H193" s="22"/>
    </row>
    <row r="194" spans="1:8" x14ac:dyDescent="0.35">
      <c r="A194" s="23">
        <f t="shared" si="5"/>
        <v>1189</v>
      </c>
      <c r="B194" s="22"/>
      <c r="C194" s="22"/>
      <c r="D194" s="22"/>
      <c r="E194" s="22"/>
      <c r="F194" s="22"/>
      <c r="G194" s="23" t="str">
        <f>_xlfn.XLOOKUP($D194, Role_codes!$B$2:$B$16, Role_codes!$A$2:$A$16, "")</f>
        <v/>
      </c>
      <c r="H194" s="22"/>
    </row>
    <row r="195" spans="1:8" x14ac:dyDescent="0.35">
      <c r="A195" s="23">
        <f t="shared" si="5"/>
        <v>1190</v>
      </c>
      <c r="B195" s="22"/>
      <c r="C195" s="22"/>
      <c r="D195" s="22"/>
      <c r="E195" s="22"/>
      <c r="F195" s="22"/>
      <c r="G195" s="23" t="str">
        <f>_xlfn.XLOOKUP($D195, Role_codes!$B$2:$B$16, Role_codes!$A$2:$A$16, "")</f>
        <v/>
      </c>
      <c r="H195" s="22"/>
    </row>
    <row r="196" spans="1:8" x14ac:dyDescent="0.35">
      <c r="A196" s="23">
        <f t="shared" si="5"/>
        <v>1191</v>
      </c>
      <c r="B196" s="22"/>
      <c r="C196" s="22"/>
      <c r="D196" s="22"/>
      <c r="E196" s="22"/>
      <c r="F196" s="22"/>
      <c r="G196" s="23" t="str">
        <f>_xlfn.XLOOKUP($D196, Role_codes!$B$2:$B$16, Role_codes!$A$2:$A$16, "")</f>
        <v/>
      </c>
      <c r="H196" s="22"/>
    </row>
    <row r="197" spans="1:8" x14ac:dyDescent="0.35">
      <c r="A197" s="23">
        <f t="shared" si="5"/>
        <v>1192</v>
      </c>
      <c r="B197" s="22"/>
      <c r="C197" s="22"/>
      <c r="D197" s="22"/>
      <c r="E197" s="22"/>
      <c r="F197" s="22"/>
      <c r="G197" s="23" t="str">
        <f>_xlfn.XLOOKUP($D197, Role_codes!$B$2:$B$16, Role_codes!$A$2:$A$16, "")</f>
        <v/>
      </c>
      <c r="H197" s="22"/>
    </row>
    <row r="198" spans="1:8" x14ac:dyDescent="0.35">
      <c r="A198" s="23">
        <f t="shared" si="5"/>
        <v>1193</v>
      </c>
      <c r="B198" s="22"/>
      <c r="C198" s="22"/>
      <c r="D198" s="22"/>
      <c r="E198" s="22"/>
      <c r="F198" s="22"/>
      <c r="G198" s="23" t="str">
        <f>_xlfn.XLOOKUP($D198, Role_codes!$B$2:$B$16, Role_codes!$A$2:$A$16, "")</f>
        <v/>
      </c>
      <c r="H198" s="22"/>
    </row>
    <row r="199" spans="1:8" x14ac:dyDescent="0.35">
      <c r="A199" s="23">
        <f t="shared" si="5"/>
        <v>1194</v>
      </c>
      <c r="B199" s="22"/>
      <c r="C199" s="22"/>
      <c r="D199" s="22"/>
      <c r="E199" s="22"/>
      <c r="F199" s="22"/>
      <c r="G199" s="23" t="str">
        <f>_xlfn.XLOOKUP($D199, Role_codes!$B$2:$B$16, Role_codes!$A$2:$A$16, "")</f>
        <v/>
      </c>
      <c r="H199" s="22"/>
    </row>
    <row r="200" spans="1:8" x14ac:dyDescent="0.35">
      <c r="A200" s="23">
        <f t="shared" si="5"/>
        <v>1195</v>
      </c>
      <c r="B200" s="22"/>
      <c r="C200" s="22"/>
      <c r="D200" s="22"/>
      <c r="E200" s="22"/>
      <c r="F200" s="22"/>
      <c r="G200" s="23" t="str">
        <f>_xlfn.XLOOKUP($D200, Role_codes!$B$2:$B$16, Role_codes!$A$2:$A$16, "")</f>
        <v/>
      </c>
      <c r="H200" s="22"/>
    </row>
  </sheetData>
  <sheetProtection sheet="1" objects="1" scenarios="1" selectLockedCells="1" autoFilter="0"/>
  <mergeCells count="2">
    <mergeCell ref="A4:B4"/>
    <mergeCell ref="A1:D3"/>
  </mergeCells>
  <conditionalFormatting sqref="A6:H200">
    <cfRule type="expression" dxfId="3" priority="4" stopIfTrue="1">
      <formula>$A6&gt;0</formula>
    </cfRule>
  </conditionalFormatting>
  <dataValidations count="4">
    <dataValidation type="list" allowBlank="1" showInputMessage="1" showErrorMessage="1" sqref="H6:H200" xr:uid="{00000000-0002-0000-0200-000000000000}">
      <formula1>"YES, NO"</formula1>
    </dataValidation>
    <dataValidation type="list" allowBlank="1" showInputMessage="1" showErrorMessage="1" sqref="D6:D200" xr:uid="{00000000-0002-0000-0200-000001000000}">
      <formula1>"Gen. Asst., Sec.Guard, Forklift Op., Driver, Merchandiser, Cashier, Clerk, Sales Asst., BlockMan, Baker, Deli Asst., Supervisor, Trainee Man., Asst. Manager, Manager"</formula1>
    </dataValidation>
    <dataValidation type="list" allowBlank="1" showInputMessage="1" showErrorMessage="1" sqref="F6:F200" xr:uid="{00000000-0002-0000-0200-000002000000}">
      <formula1>"P, M, C, D"</formula1>
    </dataValidation>
    <dataValidation type="list" allowBlank="1" showInputMessage="1" showErrorMessage="1" sqref="E6:E200" xr:uid="{00000000-0002-0000-0200-000003000000}">
      <formula1>"Admin, Management, Bakery, Deli, Butchery, Floor, Tills, Receiving, General"</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1"/>
  <sheetViews>
    <sheetView workbookViewId="0">
      <selection activeCell="C20" sqref="C20"/>
    </sheetView>
  </sheetViews>
  <sheetFormatPr defaultColWidth="8.7265625" defaultRowHeight="14.5" x14ac:dyDescent="0.35"/>
  <cols>
    <col min="1" max="1" width="54" style="2" customWidth="1"/>
  </cols>
  <sheetData>
    <row r="1" spans="1:3" ht="16" customHeight="1" x14ac:dyDescent="0.4">
      <c r="A1" s="30" t="s">
        <v>0</v>
      </c>
      <c r="B1" s="32"/>
      <c r="C1" s="31"/>
    </row>
    <row r="2" spans="1:3" ht="16" customHeight="1" x14ac:dyDescent="0.4">
      <c r="A2" s="30" t="s">
        <v>1</v>
      </c>
      <c r="B2" s="32"/>
      <c r="C2" s="31"/>
    </row>
    <row r="3" spans="1:3" ht="16" customHeight="1" x14ac:dyDescent="0.4">
      <c r="A3" s="35" t="s">
        <v>2</v>
      </c>
      <c r="B3" s="36"/>
      <c r="C3" s="37"/>
    </row>
    <row r="4" spans="1:3" ht="16" customHeight="1" x14ac:dyDescent="0.4">
      <c r="A4" s="33" t="s">
        <v>3</v>
      </c>
      <c r="B4" s="30" t="s">
        <v>4</v>
      </c>
      <c r="C4" s="31"/>
    </row>
    <row r="5" spans="1:3" ht="16" customHeight="1" x14ac:dyDescent="0.4">
      <c r="A5" s="34"/>
      <c r="B5" s="5" t="s">
        <v>5</v>
      </c>
      <c r="C5" s="5" t="s">
        <v>6</v>
      </c>
    </row>
    <row r="6" spans="1:3" ht="16" customHeight="1" x14ac:dyDescent="0.4">
      <c r="A6" s="4"/>
      <c r="B6" s="30" t="s">
        <v>7</v>
      </c>
      <c r="C6" s="31"/>
    </row>
    <row r="7" spans="1:3" ht="16" customHeight="1" x14ac:dyDescent="0.4">
      <c r="A7" s="6" t="s">
        <v>8</v>
      </c>
      <c r="B7" s="7">
        <v>15.76</v>
      </c>
      <c r="C7" s="7">
        <v>19.7</v>
      </c>
    </row>
    <row r="8" spans="1:3" ht="16" customHeight="1" x14ac:dyDescent="0.4">
      <c r="A8" s="6" t="s">
        <v>9</v>
      </c>
      <c r="B8" s="7">
        <v>17.39</v>
      </c>
      <c r="C8" s="7">
        <v>21.74</v>
      </c>
    </row>
    <row r="9" spans="1:3" ht="16" customHeight="1" x14ac:dyDescent="0.4">
      <c r="A9" s="6" t="s">
        <v>10</v>
      </c>
      <c r="B9" s="7">
        <v>15.87</v>
      </c>
      <c r="C9" s="7">
        <v>19.84</v>
      </c>
    </row>
    <row r="10" spans="1:3" ht="16" customHeight="1" x14ac:dyDescent="0.4">
      <c r="A10" s="6" t="s">
        <v>11</v>
      </c>
      <c r="B10" s="7">
        <v>16.28</v>
      </c>
      <c r="C10" s="7">
        <v>20.350000000000001</v>
      </c>
    </row>
    <row r="11" spans="1:3" ht="16" customHeight="1" x14ac:dyDescent="0.4">
      <c r="A11" s="6" t="s">
        <v>12</v>
      </c>
      <c r="B11" s="7">
        <v>17.13</v>
      </c>
      <c r="C11" s="7">
        <v>21.42</v>
      </c>
    </row>
    <row r="12" spans="1:3" ht="16" customHeight="1" x14ac:dyDescent="0.4">
      <c r="A12" s="6" t="s">
        <v>13</v>
      </c>
      <c r="B12" s="7">
        <v>18.16</v>
      </c>
      <c r="C12" s="7">
        <v>22.71</v>
      </c>
    </row>
    <row r="13" spans="1:3" ht="16" customHeight="1" x14ac:dyDescent="0.4">
      <c r="A13" s="6" t="s">
        <v>14</v>
      </c>
      <c r="B13" s="7">
        <v>19.47</v>
      </c>
      <c r="C13" s="7">
        <v>24.33</v>
      </c>
    </row>
    <row r="14" spans="1:3" ht="32" customHeight="1" x14ac:dyDescent="0.4">
      <c r="A14" s="6" t="s">
        <v>15</v>
      </c>
      <c r="B14" s="7">
        <v>21.5</v>
      </c>
      <c r="C14" s="7">
        <v>26.88</v>
      </c>
    </row>
    <row r="15" spans="1:3" ht="16" customHeight="1" x14ac:dyDescent="0.4">
      <c r="A15" s="6" t="s">
        <v>16</v>
      </c>
      <c r="B15" s="7">
        <v>23.29</v>
      </c>
      <c r="C15" s="7">
        <v>29.11</v>
      </c>
    </row>
    <row r="16" spans="1:3" ht="16" customHeight="1" x14ac:dyDescent="0.4">
      <c r="A16" s="6" t="s">
        <v>17</v>
      </c>
      <c r="B16" s="7">
        <v>20.73</v>
      </c>
      <c r="C16" s="7">
        <v>25.92</v>
      </c>
    </row>
    <row r="17" spans="1:3" ht="16" customHeight="1" x14ac:dyDescent="0.4">
      <c r="A17" s="6" t="s">
        <v>18</v>
      </c>
      <c r="B17" s="7">
        <v>25.6</v>
      </c>
      <c r="C17" s="7">
        <v>31.99</v>
      </c>
    </row>
    <row r="18" spans="1:3" ht="16" customHeight="1" x14ac:dyDescent="0.4">
      <c r="A18" s="6" t="s">
        <v>19</v>
      </c>
      <c r="B18" s="7">
        <v>26.03</v>
      </c>
      <c r="C18" s="7">
        <v>32.54</v>
      </c>
    </row>
    <row r="19" spans="1:3" ht="16" customHeight="1" x14ac:dyDescent="0.4">
      <c r="A19" s="6" t="s">
        <v>20</v>
      </c>
      <c r="B19" s="7">
        <v>27.86</v>
      </c>
      <c r="C19" s="7">
        <v>34.82</v>
      </c>
    </row>
    <row r="20" spans="1:3" ht="16" customHeight="1" x14ac:dyDescent="0.4">
      <c r="A20" s="6" t="s">
        <v>21</v>
      </c>
      <c r="B20" s="7">
        <v>30.7</v>
      </c>
      <c r="C20" s="7">
        <v>38.380000000000003</v>
      </c>
    </row>
    <row r="21" spans="1:3" ht="16" customHeight="1" x14ac:dyDescent="0.4">
      <c r="A21" s="6" t="s">
        <v>22</v>
      </c>
      <c r="B21" s="7">
        <v>33.299999999999997</v>
      </c>
      <c r="C21" s="7">
        <v>41.62</v>
      </c>
    </row>
  </sheetData>
  <sheetProtection sheet="1" objects="1" scenarios="1" selectLockedCells="1"/>
  <mergeCells count="6">
    <mergeCell ref="B6:C6"/>
    <mergeCell ref="A1:C1"/>
    <mergeCell ref="A4:A5"/>
    <mergeCell ref="A3:C3"/>
    <mergeCell ref="B4:C4"/>
    <mergeCell ref="A2:C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00"/>
  </sheetPr>
  <dimension ref="A1:L200"/>
  <sheetViews>
    <sheetView workbookViewId="0">
      <selection activeCell="C20" sqref="C20"/>
    </sheetView>
  </sheetViews>
  <sheetFormatPr defaultColWidth="8.7265625" defaultRowHeight="14.5" x14ac:dyDescent="0.35"/>
  <cols>
    <col min="1" max="1" width="10.81640625" customWidth="1"/>
    <col min="2" max="2" width="18.81640625" customWidth="1"/>
    <col min="3" max="5" width="19.81640625" customWidth="1"/>
    <col min="6" max="6" width="9.36328125" customWidth="1"/>
    <col min="7" max="7" width="10" customWidth="1"/>
    <col min="8" max="8" width="9.453125" bestFit="1" customWidth="1"/>
    <col min="9" max="10" width="12.36328125" customWidth="1"/>
    <col min="11" max="12" width="9.81640625" bestFit="1" customWidth="1"/>
  </cols>
  <sheetData>
    <row r="1" spans="1:12" s="17" customFormat="1" ht="14.5" customHeight="1" x14ac:dyDescent="0.35">
      <c r="A1" s="48" t="s">
        <v>89</v>
      </c>
      <c r="B1" s="39"/>
      <c r="C1" s="39"/>
      <c r="D1" s="41"/>
      <c r="E1" s="18"/>
      <c r="F1" s="14"/>
      <c r="G1" s="14"/>
      <c r="H1" s="14"/>
      <c r="I1" s="15"/>
      <c r="J1" s="15"/>
      <c r="K1" s="16"/>
      <c r="L1" s="16"/>
    </row>
    <row r="2" spans="1:12" s="20" customFormat="1" x14ac:dyDescent="0.35">
      <c r="A2" s="42"/>
      <c r="B2" s="49"/>
      <c r="C2" s="49"/>
      <c r="D2" s="44"/>
      <c r="E2" s="18"/>
      <c r="F2" s="14"/>
      <c r="G2" s="14"/>
      <c r="H2" s="14"/>
      <c r="I2" s="19"/>
      <c r="J2" s="19"/>
      <c r="K2" s="19"/>
      <c r="L2" s="19" t="s">
        <v>119</v>
      </c>
    </row>
    <row r="3" spans="1:12" s="20" customFormat="1" x14ac:dyDescent="0.35">
      <c r="A3" s="45"/>
      <c r="B3" s="46"/>
      <c r="C3" s="46"/>
      <c r="D3" s="47"/>
      <c r="E3" s="18"/>
      <c r="F3" s="14"/>
      <c r="G3" s="14"/>
      <c r="H3" s="14"/>
      <c r="I3" s="19"/>
      <c r="J3" s="19"/>
      <c r="K3" s="19"/>
      <c r="L3" s="19" t="s">
        <v>120</v>
      </c>
    </row>
    <row r="4" spans="1:12" s="20" customFormat="1" x14ac:dyDescent="0.35">
      <c r="A4" s="38" t="s">
        <v>121</v>
      </c>
      <c r="B4" s="39"/>
      <c r="C4" s="14"/>
      <c r="D4" s="14"/>
      <c r="E4" s="14"/>
      <c r="F4" s="14"/>
      <c r="G4" s="14"/>
      <c r="H4" s="14"/>
      <c r="I4" s="19"/>
      <c r="J4" s="19"/>
      <c r="K4" s="19" t="s">
        <v>122</v>
      </c>
      <c r="L4" s="19" t="s">
        <v>123</v>
      </c>
    </row>
    <row r="5" spans="1:12" s="20" customFormat="1" ht="29" customHeight="1" x14ac:dyDescent="0.35">
      <c r="A5" s="18" t="s">
        <v>91</v>
      </c>
      <c r="B5" s="18" t="s">
        <v>92</v>
      </c>
      <c r="C5" s="18" t="s">
        <v>93</v>
      </c>
      <c r="D5" s="18" t="s">
        <v>94</v>
      </c>
      <c r="E5" s="18" t="s">
        <v>95</v>
      </c>
      <c r="F5" s="18" t="s">
        <v>96</v>
      </c>
      <c r="G5" s="18" t="s">
        <v>97</v>
      </c>
      <c r="H5" s="18" t="s">
        <v>98</v>
      </c>
      <c r="I5" s="19" t="s">
        <v>124</v>
      </c>
      <c r="J5" s="19" t="s">
        <v>125</v>
      </c>
      <c r="K5" s="19" t="s">
        <v>126</v>
      </c>
      <c r="L5" s="19" t="s">
        <v>127</v>
      </c>
    </row>
    <row r="6" spans="1:12" x14ac:dyDescent="0.35">
      <c r="A6">
        <f t="array" ref="A6:H10">IFERROR(_xlfn.SORTBY(_xlfn._xlws.FILTER(Emp_List!$A$6:$H$200, Emp_List!$H$6:$H$200="YES"), _xlfn._xlws.FILTER(Emp_List!$C$6:$C$200, Emp_List!$H$6:$H$200="YES"), 1, _xlfn._xlws.FILTER(Emp_List!$B$6:$B$200, Emp_List!$H$6:$H$200="YES"), 1),"")</f>
        <v>1083</v>
      </c>
      <c r="B6" t="str">
        <v>Marty</v>
      </c>
      <c r="C6" t="str">
        <v>Blythe</v>
      </c>
      <c r="D6" t="str">
        <v>Manager</v>
      </c>
      <c r="E6" t="str">
        <v>Management</v>
      </c>
      <c r="F6" t="str">
        <v>M</v>
      </c>
      <c r="G6" t="str">
        <v>MAN01</v>
      </c>
      <c r="H6" t="str">
        <v>YES</v>
      </c>
      <c r="I6" s="21" t="str">
        <f t="array" ref="I6">IF(OR($F6="P",$F6="M"),"", _xlfn.XLOOKUP($G6, Role_codes!$A$2:$A$16, _xlfn.CHOOSECOLS(Role_codes!$D$2:$E$16, IF($F6="C",1,2)),""))</f>
        <v/>
      </c>
      <c r="J6" s="3">
        <v>8000</v>
      </c>
      <c r="K6" s="21">
        <f t="shared" ref="K6:K37" si="0">IF(OR($F6="P",$F6="M"), J6, I6)</f>
        <v>8000</v>
      </c>
      <c r="L6" s="21">
        <f t="shared" ref="L6:L37" si="1">IF($A7="","", IF(OR($F6="P",$F6="M"), $J6/180, $J6))</f>
        <v>44.444444444444443</v>
      </c>
    </row>
    <row r="7" spans="1:12" x14ac:dyDescent="0.35">
      <c r="A7">
        <v>1040</v>
      </c>
      <c r="B7" t="str">
        <v>Juan</v>
      </c>
      <c r="C7" t="str">
        <v>Carlos</v>
      </c>
      <c r="D7" t="str">
        <v>Sales Asst.</v>
      </c>
      <c r="E7" t="str">
        <v>Bakery</v>
      </c>
      <c r="F7" t="str">
        <v>D</v>
      </c>
      <c r="G7" t="str">
        <v>SAL01</v>
      </c>
      <c r="H7" t="str">
        <v>YES</v>
      </c>
      <c r="I7" s="21">
        <f t="array" ref="I7">IF(OR($F7="P",$F7="M"),"", _xlfn.XLOOKUP($G7, Role_codes!$A$2:$A$16, _xlfn.CHOOSECOLS(Role_codes!$D$2:$E$16, IF($F7="C",1,2)),""))</f>
        <v>26.88</v>
      </c>
      <c r="J7" s="3"/>
      <c r="K7" s="21">
        <f t="shared" si="0"/>
        <v>26.88</v>
      </c>
      <c r="L7" s="21">
        <f t="shared" si="1"/>
        <v>0</v>
      </c>
    </row>
    <row r="8" spans="1:12" x14ac:dyDescent="0.35">
      <c r="A8">
        <v>1065</v>
      </c>
      <c r="B8" t="str">
        <v>Carlo</v>
      </c>
      <c r="C8" t="str">
        <v>Juan</v>
      </c>
      <c r="D8" t="str">
        <v>Baker</v>
      </c>
      <c r="E8" t="str">
        <v>Bakery</v>
      </c>
      <c r="F8" t="str">
        <v>P</v>
      </c>
      <c r="G8" t="str">
        <v>BAK01</v>
      </c>
      <c r="H8" t="str">
        <v>YES</v>
      </c>
      <c r="I8" s="21" t="str">
        <f t="array" ref="I8">IF(OR($F8="P",$F8="M"),"", _xlfn.XLOOKUP($G8, Role_codes!$A$2:$A$16, _xlfn.CHOOSECOLS(Role_codes!$D$2:$E$16, IF($F8="C",1,2)),""))</f>
        <v/>
      </c>
      <c r="J8" s="3">
        <v>5000</v>
      </c>
      <c r="K8" s="21">
        <f t="shared" si="0"/>
        <v>5000</v>
      </c>
      <c r="L8" s="21">
        <f t="shared" si="1"/>
        <v>27.777777777777779</v>
      </c>
    </row>
    <row r="9" spans="1:12" x14ac:dyDescent="0.35">
      <c r="A9">
        <v>1053</v>
      </c>
      <c r="B9" t="str">
        <v>Ann</v>
      </c>
      <c r="C9" t="str">
        <v>Juco</v>
      </c>
      <c r="D9" t="str">
        <v>Sales Asst.</v>
      </c>
      <c r="E9" t="str">
        <v>Floor</v>
      </c>
      <c r="F9" t="str">
        <v>C</v>
      </c>
      <c r="G9" t="str">
        <v>SAL01</v>
      </c>
      <c r="H9" t="str">
        <v>YES</v>
      </c>
      <c r="I9" s="21">
        <f t="array" ref="I9">IF(OR($F9="P",$F9="M"),"", _xlfn.XLOOKUP($G9, Role_codes!$A$2:$A$16, _xlfn.CHOOSECOLS(Role_codes!$D$2:$E$16, IF($F9="C",1,2)),""))</f>
        <v>21.5</v>
      </c>
      <c r="J9" s="3"/>
      <c r="K9" s="21">
        <f t="shared" si="0"/>
        <v>21.5</v>
      </c>
      <c r="L9" s="21">
        <f t="shared" si="1"/>
        <v>0</v>
      </c>
    </row>
    <row r="10" spans="1:12" x14ac:dyDescent="0.35">
      <c r="A10">
        <v>1045</v>
      </c>
      <c r="B10" t="str">
        <v>Ian</v>
      </c>
      <c r="C10" t="str">
        <v>Mac Greggor</v>
      </c>
      <c r="D10" t="str">
        <v>Asst. Manager</v>
      </c>
      <c r="E10" t="str">
        <v>Floor</v>
      </c>
      <c r="F10" t="str">
        <v>M</v>
      </c>
      <c r="G10" t="str">
        <v>ASM01</v>
      </c>
      <c r="H10" t="str">
        <v>YES</v>
      </c>
      <c r="I10" s="21" t="str">
        <f t="array" ref="I10">IF(OR($F10="P",$F10="M"),"", _xlfn.XLOOKUP($G10, Role_codes!$A$2:$A$16, _xlfn.CHOOSECOLS(Role_codes!$D$2:$E$16, IF($F10="C",1,2)),""))</f>
        <v/>
      </c>
      <c r="J10" s="3"/>
      <c r="K10" s="21">
        <f t="shared" si="0"/>
        <v>0</v>
      </c>
      <c r="L10" s="21" t="str">
        <f t="shared" si="1"/>
        <v/>
      </c>
    </row>
    <row r="11" spans="1:12" x14ac:dyDescent="0.35">
      <c r="I11" s="21" t="str">
        <f t="array" ref="I11">IF(OR($F11="P",$F11="M"),"", _xlfn.XLOOKUP($G11, Role_codes!$A$2:$A$16, _xlfn.CHOOSECOLS(Role_codes!$D$2:$E$16, IF($F11="C",1,2)),""))</f>
        <v/>
      </c>
      <c r="J11" s="3"/>
      <c r="K11" s="21" t="str">
        <f t="shared" si="0"/>
        <v/>
      </c>
      <c r="L11" s="21" t="str">
        <f t="shared" si="1"/>
        <v/>
      </c>
    </row>
    <row r="12" spans="1:12" x14ac:dyDescent="0.35">
      <c r="I12" s="21" t="str">
        <f t="array" ref="I12">IF(OR($F12="P",$F12="M"),"", _xlfn.XLOOKUP($G12, Role_codes!$A$2:$A$16, _xlfn.CHOOSECOLS(Role_codes!$D$2:$E$16, IF($F12="C",1,2)),""))</f>
        <v/>
      </c>
      <c r="J12" s="3"/>
      <c r="K12" s="21" t="str">
        <f t="shared" si="0"/>
        <v/>
      </c>
      <c r="L12" s="21" t="str">
        <f t="shared" si="1"/>
        <v/>
      </c>
    </row>
    <row r="13" spans="1:12" x14ac:dyDescent="0.35">
      <c r="I13" s="21" t="str">
        <f t="array" ref="I13">IF(OR($F13="P",$F13="M"),"", _xlfn.XLOOKUP($G13, Role_codes!$A$2:$A$16, _xlfn.CHOOSECOLS(Role_codes!$D$2:$E$16, IF($F13="C",1,2)),""))</f>
        <v/>
      </c>
      <c r="J13" s="3"/>
      <c r="K13" s="21" t="str">
        <f t="shared" si="0"/>
        <v/>
      </c>
      <c r="L13" s="21" t="str">
        <f t="shared" si="1"/>
        <v/>
      </c>
    </row>
    <row r="14" spans="1:12" x14ac:dyDescent="0.35">
      <c r="I14" s="21" t="str">
        <f t="array" ref="I14">IF(OR($F14="P",$F14="M"),"", _xlfn.XLOOKUP($G14, Role_codes!$A$2:$A$16, _xlfn.CHOOSECOLS(Role_codes!$D$2:$E$16, IF($F14="C",1,2)),""))</f>
        <v/>
      </c>
      <c r="J14" s="3"/>
      <c r="K14" s="21" t="str">
        <f t="shared" si="0"/>
        <v/>
      </c>
      <c r="L14" s="21" t="str">
        <f t="shared" si="1"/>
        <v/>
      </c>
    </row>
    <row r="15" spans="1:12" x14ac:dyDescent="0.35">
      <c r="I15" s="21" t="str">
        <f t="array" ref="I15">IF(OR($F15="P",$F15="M"),"", _xlfn.XLOOKUP($G15, Role_codes!$A$2:$A$16, _xlfn.CHOOSECOLS(Role_codes!$D$2:$E$16, IF($F15="C",1,2)),""))</f>
        <v/>
      </c>
      <c r="J15" s="3"/>
      <c r="K15" s="21" t="str">
        <f t="shared" si="0"/>
        <v/>
      </c>
      <c r="L15" s="21" t="str">
        <f t="shared" si="1"/>
        <v/>
      </c>
    </row>
    <row r="16" spans="1:12" x14ac:dyDescent="0.35">
      <c r="I16" s="21" t="str">
        <f t="array" ref="I16">IF(OR($F16="P",$F16="M"),"", _xlfn.XLOOKUP($G16, Role_codes!$A$2:$A$16, _xlfn.CHOOSECOLS(Role_codes!$D$2:$E$16, IF($F16="C",1,2)),""))</f>
        <v/>
      </c>
      <c r="J16" s="3"/>
      <c r="K16" s="21" t="str">
        <f t="shared" si="0"/>
        <v/>
      </c>
      <c r="L16" s="21" t="str">
        <f t="shared" si="1"/>
        <v/>
      </c>
    </row>
    <row r="17" spans="9:12" x14ac:dyDescent="0.35">
      <c r="I17" s="21" t="str">
        <f t="array" ref="I17">IF(OR($F17="P",$F17="M"),"", _xlfn.XLOOKUP($G17, Role_codes!$A$2:$A$16, _xlfn.CHOOSECOLS(Role_codes!$D$2:$E$16, IF($F17="C",1,2)),""))</f>
        <v/>
      </c>
      <c r="J17" s="3"/>
      <c r="K17" s="21" t="str">
        <f t="shared" si="0"/>
        <v/>
      </c>
      <c r="L17" s="21" t="str">
        <f t="shared" si="1"/>
        <v/>
      </c>
    </row>
    <row r="18" spans="9:12" x14ac:dyDescent="0.35">
      <c r="I18" s="21" t="str">
        <f t="array" ref="I18">IF(OR($F18="P",$F18="M"),"", _xlfn.XLOOKUP($G18, Role_codes!$A$2:$A$16, _xlfn.CHOOSECOLS(Role_codes!$D$2:$E$16, IF($F18="C",1,2)),""))</f>
        <v/>
      </c>
      <c r="J18" s="3"/>
      <c r="K18" s="21" t="str">
        <f t="shared" si="0"/>
        <v/>
      </c>
      <c r="L18" s="21" t="str">
        <f t="shared" si="1"/>
        <v/>
      </c>
    </row>
    <row r="19" spans="9:12" x14ac:dyDescent="0.35">
      <c r="I19" s="21" t="str">
        <f t="array" ref="I19">IF(OR($F19="P",$F19="M"),"", _xlfn.XLOOKUP($G19, Role_codes!$A$2:$A$16, _xlfn.CHOOSECOLS(Role_codes!$D$2:$E$16, IF($F19="C",1,2)),""))</f>
        <v/>
      </c>
      <c r="J19" s="3"/>
      <c r="K19" s="21" t="str">
        <f t="shared" si="0"/>
        <v/>
      </c>
      <c r="L19" s="21" t="str">
        <f t="shared" si="1"/>
        <v/>
      </c>
    </row>
    <row r="20" spans="9:12" x14ac:dyDescent="0.35">
      <c r="I20" s="21" t="str">
        <f t="array" ref="I20">IF(OR($F20="P",$F20="M"),"", _xlfn.XLOOKUP($G20, Role_codes!$A$2:$A$16, _xlfn.CHOOSECOLS(Role_codes!$D$2:$E$16, IF($F20="C",1,2)),""))</f>
        <v/>
      </c>
      <c r="J20" s="3"/>
      <c r="K20" s="21" t="str">
        <f t="shared" si="0"/>
        <v/>
      </c>
      <c r="L20" s="21" t="str">
        <f t="shared" si="1"/>
        <v/>
      </c>
    </row>
    <row r="21" spans="9:12" x14ac:dyDescent="0.35">
      <c r="I21" s="21" t="str">
        <f t="array" ref="I21">IF(OR($F21="P",$F21="M"),"", _xlfn.XLOOKUP($G21, Role_codes!$A$2:$A$16, _xlfn.CHOOSECOLS(Role_codes!$D$2:$E$16, IF($F21="C",1,2)),""))</f>
        <v/>
      </c>
      <c r="J21" s="3"/>
      <c r="K21" s="21" t="str">
        <f t="shared" si="0"/>
        <v/>
      </c>
      <c r="L21" s="21" t="str">
        <f t="shared" si="1"/>
        <v/>
      </c>
    </row>
    <row r="22" spans="9:12" x14ac:dyDescent="0.35">
      <c r="I22" s="21" t="str">
        <f t="array" ref="I22">IF(OR($F22="P",$F22="M"),"", _xlfn.XLOOKUP($G22, Role_codes!$A$2:$A$16, _xlfn.CHOOSECOLS(Role_codes!$D$2:$E$16, IF($F22="C",1,2)),""))</f>
        <v/>
      </c>
      <c r="J22" s="3"/>
      <c r="K22" s="21" t="str">
        <f t="shared" si="0"/>
        <v/>
      </c>
      <c r="L22" s="21" t="str">
        <f t="shared" si="1"/>
        <v/>
      </c>
    </row>
    <row r="23" spans="9:12" x14ac:dyDescent="0.35">
      <c r="I23" s="21" t="str">
        <f t="array" ref="I23">IF(OR($F23="P",$F23="M"),"", _xlfn.XLOOKUP($G23, Role_codes!$A$2:$A$16, _xlfn.CHOOSECOLS(Role_codes!$D$2:$E$16, IF($F23="C",1,2)),""))</f>
        <v/>
      </c>
      <c r="J23" s="3"/>
      <c r="K23" s="21" t="str">
        <f t="shared" si="0"/>
        <v/>
      </c>
      <c r="L23" s="21" t="str">
        <f t="shared" si="1"/>
        <v/>
      </c>
    </row>
    <row r="24" spans="9:12" x14ac:dyDescent="0.35">
      <c r="I24" s="21" t="str">
        <f t="array" ref="I24">IF(OR($F24="P",$F24="M"),"", _xlfn.XLOOKUP($G24, Role_codes!$A$2:$A$16, _xlfn.CHOOSECOLS(Role_codes!$D$2:$E$16, IF($F24="C",1,2)),""))</f>
        <v/>
      </c>
      <c r="J24" s="3"/>
      <c r="K24" s="21" t="str">
        <f t="shared" si="0"/>
        <v/>
      </c>
      <c r="L24" s="21" t="str">
        <f t="shared" si="1"/>
        <v/>
      </c>
    </row>
    <row r="25" spans="9:12" x14ac:dyDescent="0.35">
      <c r="I25" s="21" t="str">
        <f t="array" ref="I25">IF(OR($F25="P",$F25="M"),"", _xlfn.XLOOKUP($G25, Role_codes!$A$2:$A$16, _xlfn.CHOOSECOLS(Role_codes!$D$2:$E$16, IF($F25="C",1,2)),""))</f>
        <v/>
      </c>
      <c r="J25" s="3"/>
      <c r="K25" s="21" t="str">
        <f t="shared" si="0"/>
        <v/>
      </c>
      <c r="L25" s="21" t="str">
        <f t="shared" si="1"/>
        <v/>
      </c>
    </row>
    <row r="26" spans="9:12" x14ac:dyDescent="0.35">
      <c r="I26" s="21" t="str">
        <f t="array" ref="I26">IF(OR($F26="P",$F26="M"),"", _xlfn.XLOOKUP($G26, Role_codes!$A$2:$A$16, _xlfn.CHOOSECOLS(Role_codes!$D$2:$E$16, IF($F26="C",1,2)),""))</f>
        <v/>
      </c>
      <c r="J26" s="3"/>
      <c r="K26" s="21" t="str">
        <f t="shared" si="0"/>
        <v/>
      </c>
      <c r="L26" s="21" t="str">
        <f t="shared" si="1"/>
        <v/>
      </c>
    </row>
    <row r="27" spans="9:12" x14ac:dyDescent="0.35">
      <c r="I27" s="21" t="str">
        <f t="array" ref="I27">IF(OR($F27="P",$F27="M"),"", _xlfn.XLOOKUP($G27, Role_codes!$A$2:$A$16, _xlfn.CHOOSECOLS(Role_codes!$D$2:$E$16, IF($F27="C",1,2)),""))</f>
        <v/>
      </c>
      <c r="J27" s="3"/>
      <c r="K27" s="21" t="str">
        <f t="shared" si="0"/>
        <v/>
      </c>
      <c r="L27" s="21" t="str">
        <f t="shared" si="1"/>
        <v/>
      </c>
    </row>
    <row r="28" spans="9:12" x14ac:dyDescent="0.35">
      <c r="I28" s="21" t="str">
        <f t="array" ref="I28">IF(OR($F28="P",$F28="M"),"", _xlfn.XLOOKUP($G28, Role_codes!$A$2:$A$16, _xlfn.CHOOSECOLS(Role_codes!$D$2:$E$16, IF($F28="C",1,2)),""))</f>
        <v/>
      </c>
      <c r="J28" s="3"/>
      <c r="K28" s="21" t="str">
        <f t="shared" si="0"/>
        <v/>
      </c>
      <c r="L28" s="21" t="str">
        <f t="shared" si="1"/>
        <v/>
      </c>
    </row>
    <row r="29" spans="9:12" x14ac:dyDescent="0.35">
      <c r="I29" s="21" t="str">
        <f t="array" ref="I29">IF(OR($F29="P",$F29="M"),"", _xlfn.XLOOKUP($G29, Role_codes!$A$2:$A$16, _xlfn.CHOOSECOLS(Role_codes!$D$2:$E$16, IF($F29="C",1,2)),""))</f>
        <v/>
      </c>
      <c r="J29" s="3"/>
      <c r="K29" s="21" t="str">
        <f t="shared" si="0"/>
        <v/>
      </c>
      <c r="L29" s="21" t="str">
        <f t="shared" si="1"/>
        <v/>
      </c>
    </row>
    <row r="30" spans="9:12" x14ac:dyDescent="0.35">
      <c r="I30" s="21" t="str">
        <f t="array" ref="I30">IF(OR($F30="P",$F30="M"),"", _xlfn.XLOOKUP($G30, Role_codes!$A$2:$A$16, _xlfn.CHOOSECOLS(Role_codes!$D$2:$E$16, IF($F30="C",1,2)),""))</f>
        <v/>
      </c>
      <c r="J30" s="3"/>
      <c r="K30" s="21" t="str">
        <f t="shared" si="0"/>
        <v/>
      </c>
      <c r="L30" s="21" t="str">
        <f t="shared" si="1"/>
        <v/>
      </c>
    </row>
    <row r="31" spans="9:12" x14ac:dyDescent="0.35">
      <c r="I31" s="21" t="str">
        <f t="array" ref="I31">IF(OR($F31="P",$F31="M"),"", _xlfn.XLOOKUP($G31, Role_codes!$A$2:$A$16, _xlfn.CHOOSECOLS(Role_codes!$D$2:$E$16, IF($F31="C",1,2)),""))</f>
        <v/>
      </c>
      <c r="J31" s="3"/>
      <c r="K31" s="21" t="str">
        <f t="shared" si="0"/>
        <v/>
      </c>
      <c r="L31" s="21" t="str">
        <f t="shared" si="1"/>
        <v/>
      </c>
    </row>
    <row r="32" spans="9:12" x14ac:dyDescent="0.35">
      <c r="I32" s="21" t="str">
        <f t="array" ref="I32">IF(OR($F32="P",$F32="M"),"", _xlfn.XLOOKUP($G32, Role_codes!$A$2:$A$16, _xlfn.CHOOSECOLS(Role_codes!$D$2:$E$16, IF($F32="C",1,2)),""))</f>
        <v/>
      </c>
      <c r="J32" s="3"/>
      <c r="K32" s="21" t="str">
        <f t="shared" si="0"/>
        <v/>
      </c>
      <c r="L32" s="21" t="str">
        <f t="shared" si="1"/>
        <v/>
      </c>
    </row>
    <row r="33" spans="9:12" x14ac:dyDescent="0.35">
      <c r="I33" s="21" t="str">
        <f t="array" ref="I33">IF(OR($F33="P",$F33="M"),"", _xlfn.XLOOKUP($G33, Role_codes!$A$2:$A$16, _xlfn.CHOOSECOLS(Role_codes!$D$2:$E$16, IF($F33="C",1,2)),""))</f>
        <v/>
      </c>
      <c r="J33" s="3"/>
      <c r="K33" s="21" t="str">
        <f t="shared" si="0"/>
        <v/>
      </c>
      <c r="L33" s="21" t="str">
        <f t="shared" si="1"/>
        <v/>
      </c>
    </row>
    <row r="34" spans="9:12" x14ac:dyDescent="0.35">
      <c r="I34" s="21" t="str">
        <f t="array" ref="I34">IF(OR($F34="P",$F34="M"),"", _xlfn.XLOOKUP($G34, Role_codes!$A$2:$A$16, _xlfn.CHOOSECOLS(Role_codes!$D$2:$E$16, IF($F34="C",1,2)),""))</f>
        <v/>
      </c>
      <c r="J34" s="3"/>
      <c r="K34" s="21" t="str">
        <f t="shared" si="0"/>
        <v/>
      </c>
      <c r="L34" s="21" t="str">
        <f t="shared" si="1"/>
        <v/>
      </c>
    </row>
    <row r="35" spans="9:12" x14ac:dyDescent="0.35">
      <c r="I35" s="21" t="str">
        <f t="array" ref="I35">IF(OR($F35="P",$F35="M"),"", _xlfn.XLOOKUP($G35, Role_codes!$A$2:$A$16, _xlfn.CHOOSECOLS(Role_codes!$D$2:$E$16, IF($F35="C",1,2)),""))</f>
        <v/>
      </c>
      <c r="J35" s="3"/>
      <c r="K35" s="21" t="str">
        <f t="shared" si="0"/>
        <v/>
      </c>
      <c r="L35" s="21" t="str">
        <f t="shared" si="1"/>
        <v/>
      </c>
    </row>
    <row r="36" spans="9:12" x14ac:dyDescent="0.35">
      <c r="I36" s="21" t="str">
        <f t="array" ref="I36">IF(OR($F36="P",$F36="M"),"", _xlfn.XLOOKUP($G36, Role_codes!$A$2:$A$16, _xlfn.CHOOSECOLS(Role_codes!$D$2:$E$16, IF($F36="C",1,2)),""))</f>
        <v/>
      </c>
      <c r="J36" s="3"/>
      <c r="K36" s="21" t="str">
        <f t="shared" si="0"/>
        <v/>
      </c>
      <c r="L36" s="21" t="str">
        <f t="shared" si="1"/>
        <v/>
      </c>
    </row>
    <row r="37" spans="9:12" x14ac:dyDescent="0.35">
      <c r="I37" s="21" t="str">
        <f t="array" ref="I37">IF(OR($F37="P",$F37="M"),"", _xlfn.XLOOKUP($G37, Role_codes!$A$2:$A$16, _xlfn.CHOOSECOLS(Role_codes!$D$2:$E$16, IF($F37="C",1,2)),""))</f>
        <v/>
      </c>
      <c r="J37" s="3"/>
      <c r="K37" s="21" t="str">
        <f t="shared" si="0"/>
        <v/>
      </c>
      <c r="L37" s="21" t="str">
        <f t="shared" si="1"/>
        <v/>
      </c>
    </row>
    <row r="38" spans="9:12" x14ac:dyDescent="0.35">
      <c r="I38" s="21" t="str">
        <f t="array" ref="I38">IF(OR($F38="P",$F38="M"),"", _xlfn.XLOOKUP($G38, Role_codes!$A$2:$A$16, _xlfn.CHOOSECOLS(Role_codes!$D$2:$E$16, IF($F38="C",1,2)),""))</f>
        <v/>
      </c>
      <c r="J38" s="3"/>
      <c r="K38" s="21" t="str">
        <f t="shared" ref="K38:K69" si="2">IF(OR($F38="P",$F38="M"), J38, I38)</f>
        <v/>
      </c>
      <c r="L38" s="21" t="str">
        <f t="shared" ref="L38:L69" si="3">IF($A39="","", IF(OR($F38="P",$F38="M"), $J38/180, $J38))</f>
        <v/>
      </c>
    </row>
    <row r="39" spans="9:12" x14ac:dyDescent="0.35">
      <c r="I39" s="21" t="str">
        <f t="array" ref="I39">IF(OR($F39="P",$F39="M"),"", _xlfn.XLOOKUP($G39, Role_codes!$A$2:$A$16, _xlfn.CHOOSECOLS(Role_codes!$D$2:$E$16, IF($F39="C",1,2)),""))</f>
        <v/>
      </c>
      <c r="J39" s="3"/>
      <c r="K39" s="21" t="str">
        <f t="shared" si="2"/>
        <v/>
      </c>
      <c r="L39" s="21" t="str">
        <f t="shared" si="3"/>
        <v/>
      </c>
    </row>
    <row r="40" spans="9:12" x14ac:dyDescent="0.35">
      <c r="I40" s="21" t="str">
        <f t="array" ref="I40">IF(OR($F40="P",$F40="M"),"", _xlfn.XLOOKUP($G40, Role_codes!$A$2:$A$16, _xlfn.CHOOSECOLS(Role_codes!$D$2:$E$16, IF($F40="C",1,2)),""))</f>
        <v/>
      </c>
      <c r="J40" s="3"/>
      <c r="K40" s="21" t="str">
        <f t="shared" si="2"/>
        <v/>
      </c>
      <c r="L40" s="21" t="str">
        <f t="shared" si="3"/>
        <v/>
      </c>
    </row>
    <row r="41" spans="9:12" x14ac:dyDescent="0.35">
      <c r="I41" s="21" t="str">
        <f t="array" ref="I41">IF(OR($F41="P",$F41="M"),"", _xlfn.XLOOKUP($G41, Role_codes!$A$2:$A$16, _xlfn.CHOOSECOLS(Role_codes!$D$2:$E$16, IF($F41="C",1,2)),""))</f>
        <v/>
      </c>
      <c r="J41" s="3"/>
      <c r="K41" s="21" t="str">
        <f t="shared" si="2"/>
        <v/>
      </c>
      <c r="L41" s="21" t="str">
        <f t="shared" si="3"/>
        <v/>
      </c>
    </row>
    <row r="42" spans="9:12" x14ac:dyDescent="0.35">
      <c r="I42" s="21" t="str">
        <f t="array" ref="I42">IF(OR($F42="P",$F42="M"),"", _xlfn.XLOOKUP($G42, Role_codes!$A$2:$A$16, _xlfn.CHOOSECOLS(Role_codes!$D$2:$E$16, IF($F42="C",1,2)),""))</f>
        <v/>
      </c>
      <c r="J42" s="3"/>
      <c r="K42" s="21" t="str">
        <f t="shared" si="2"/>
        <v/>
      </c>
      <c r="L42" s="21" t="str">
        <f t="shared" si="3"/>
        <v/>
      </c>
    </row>
    <row r="43" spans="9:12" x14ac:dyDescent="0.35">
      <c r="I43" s="21" t="str">
        <f t="array" ref="I43">IF(OR($F43="P",$F43="M"),"", _xlfn.XLOOKUP($G43, Role_codes!$A$2:$A$16, _xlfn.CHOOSECOLS(Role_codes!$D$2:$E$16, IF($F43="C",1,2)),""))</f>
        <v/>
      </c>
      <c r="J43" s="3"/>
      <c r="K43" s="21" t="str">
        <f t="shared" si="2"/>
        <v/>
      </c>
      <c r="L43" s="21" t="str">
        <f t="shared" si="3"/>
        <v/>
      </c>
    </row>
    <row r="44" spans="9:12" x14ac:dyDescent="0.35">
      <c r="I44" s="21" t="str">
        <f t="array" ref="I44">IF(OR($F44="P",$F44="M"),"", _xlfn.XLOOKUP($G44, Role_codes!$A$2:$A$16, _xlfn.CHOOSECOLS(Role_codes!$D$2:$E$16, IF($F44="C",1,2)),""))</f>
        <v/>
      </c>
      <c r="J44" s="3"/>
      <c r="K44" s="21" t="str">
        <f t="shared" si="2"/>
        <v/>
      </c>
      <c r="L44" s="21" t="str">
        <f t="shared" si="3"/>
        <v/>
      </c>
    </row>
    <row r="45" spans="9:12" x14ac:dyDescent="0.35">
      <c r="I45" s="21" t="str">
        <f t="array" ref="I45">IF(OR($F45="P",$F45="M"),"", _xlfn.XLOOKUP($G45, Role_codes!$A$2:$A$16, _xlfn.CHOOSECOLS(Role_codes!$D$2:$E$16, IF($F45="C",1,2)),""))</f>
        <v/>
      </c>
      <c r="J45" s="3"/>
      <c r="K45" s="21" t="str">
        <f t="shared" si="2"/>
        <v/>
      </c>
      <c r="L45" s="21" t="str">
        <f t="shared" si="3"/>
        <v/>
      </c>
    </row>
    <row r="46" spans="9:12" x14ac:dyDescent="0.35">
      <c r="I46" s="21" t="str">
        <f t="array" ref="I46">IF(OR($F46="P",$F46="M"),"", _xlfn.XLOOKUP($G46, Role_codes!$A$2:$A$16, _xlfn.CHOOSECOLS(Role_codes!$D$2:$E$16, IF($F46="C",1,2)),""))</f>
        <v/>
      </c>
      <c r="J46" s="3"/>
      <c r="K46" s="21" t="str">
        <f t="shared" si="2"/>
        <v/>
      </c>
      <c r="L46" s="21" t="str">
        <f t="shared" si="3"/>
        <v/>
      </c>
    </row>
    <row r="47" spans="9:12" x14ac:dyDescent="0.35">
      <c r="I47" s="21" t="str">
        <f t="array" ref="I47">IF(OR($F47="P",$F47="M"),"", _xlfn.XLOOKUP($G47, Role_codes!$A$2:$A$16, _xlfn.CHOOSECOLS(Role_codes!$D$2:$E$16, IF($F47="C",1,2)),""))</f>
        <v/>
      </c>
      <c r="J47" s="3"/>
      <c r="K47" s="21" t="str">
        <f t="shared" si="2"/>
        <v/>
      </c>
      <c r="L47" s="21" t="str">
        <f t="shared" si="3"/>
        <v/>
      </c>
    </row>
    <row r="48" spans="9:12" x14ac:dyDescent="0.35">
      <c r="I48" s="21" t="str">
        <f t="array" ref="I48">IF(OR($F48="P",$F48="M"),"", _xlfn.XLOOKUP($G48, Role_codes!$A$2:$A$16, _xlfn.CHOOSECOLS(Role_codes!$D$2:$E$16, IF($F48="C",1,2)),""))</f>
        <v/>
      </c>
      <c r="J48" s="3"/>
      <c r="K48" s="21" t="str">
        <f t="shared" si="2"/>
        <v/>
      </c>
      <c r="L48" s="21" t="str">
        <f t="shared" si="3"/>
        <v/>
      </c>
    </row>
    <row r="49" spans="9:12" x14ac:dyDescent="0.35">
      <c r="I49" s="21" t="str">
        <f t="array" ref="I49">IF(OR($F49="P",$F49="M"),"", _xlfn.XLOOKUP($G49, Role_codes!$A$2:$A$16, _xlfn.CHOOSECOLS(Role_codes!$D$2:$E$16, IF($F49="C",1,2)),""))</f>
        <v/>
      </c>
      <c r="J49" s="3"/>
      <c r="K49" s="21" t="str">
        <f t="shared" si="2"/>
        <v/>
      </c>
      <c r="L49" s="21" t="str">
        <f t="shared" si="3"/>
        <v/>
      </c>
    </row>
    <row r="50" spans="9:12" x14ac:dyDescent="0.35">
      <c r="I50" s="21" t="str">
        <f t="array" ref="I50">IF(OR($F50="P",$F50="M"),"", _xlfn.XLOOKUP($G50, Role_codes!$A$2:$A$16, _xlfn.CHOOSECOLS(Role_codes!$D$2:$E$16, IF($F50="C",1,2)),""))</f>
        <v/>
      </c>
      <c r="J50" s="3"/>
      <c r="K50" s="21" t="str">
        <f t="shared" si="2"/>
        <v/>
      </c>
      <c r="L50" s="21" t="str">
        <f t="shared" si="3"/>
        <v/>
      </c>
    </row>
    <row r="51" spans="9:12" x14ac:dyDescent="0.35">
      <c r="I51" s="21" t="str">
        <f t="array" ref="I51">IF(OR($F51="P",$F51="M"),"", _xlfn.XLOOKUP($G51, Role_codes!$A$2:$A$16, _xlfn.CHOOSECOLS(Role_codes!$D$2:$E$16, IF($F51="C",1,2)),""))</f>
        <v/>
      </c>
      <c r="J51" s="3"/>
      <c r="K51" s="21" t="str">
        <f t="shared" si="2"/>
        <v/>
      </c>
      <c r="L51" s="21" t="str">
        <f t="shared" si="3"/>
        <v/>
      </c>
    </row>
    <row r="52" spans="9:12" x14ac:dyDescent="0.35">
      <c r="I52" s="21" t="str">
        <f t="array" ref="I52">IF(OR($F52="P",$F52="M"),"", _xlfn.XLOOKUP($G52, Role_codes!$A$2:$A$16, _xlfn.CHOOSECOLS(Role_codes!$D$2:$E$16, IF($F52="C",1,2)),""))</f>
        <v/>
      </c>
      <c r="J52" s="3"/>
      <c r="K52" s="21" t="str">
        <f t="shared" si="2"/>
        <v/>
      </c>
      <c r="L52" s="21" t="str">
        <f t="shared" si="3"/>
        <v/>
      </c>
    </row>
    <row r="53" spans="9:12" x14ac:dyDescent="0.35">
      <c r="I53" s="21" t="str">
        <f t="array" ref="I53">IF(OR($F53="P",$F53="M"),"", _xlfn.XLOOKUP($G53, Role_codes!$A$2:$A$16, _xlfn.CHOOSECOLS(Role_codes!$D$2:$E$16, IF($F53="C",1,2)),""))</f>
        <v/>
      </c>
      <c r="J53" s="3"/>
      <c r="K53" s="21" t="str">
        <f t="shared" si="2"/>
        <v/>
      </c>
      <c r="L53" s="21" t="str">
        <f t="shared" si="3"/>
        <v/>
      </c>
    </row>
    <row r="54" spans="9:12" x14ac:dyDescent="0.35">
      <c r="I54" s="21" t="str">
        <f t="array" ref="I54">IF(OR($F54="P",$F54="M"),"", _xlfn.XLOOKUP($G54, Role_codes!$A$2:$A$16, _xlfn.CHOOSECOLS(Role_codes!$D$2:$E$16, IF($F54="C",1,2)),""))</f>
        <v/>
      </c>
      <c r="J54" s="3"/>
      <c r="K54" s="21" t="str">
        <f t="shared" si="2"/>
        <v/>
      </c>
      <c r="L54" s="21" t="str">
        <f t="shared" si="3"/>
        <v/>
      </c>
    </row>
    <row r="55" spans="9:12" x14ac:dyDescent="0.35">
      <c r="I55" s="21" t="str">
        <f t="array" ref="I55">IF(OR($F55="P",$F55="M"),"", _xlfn.XLOOKUP($G55, Role_codes!$A$2:$A$16, _xlfn.CHOOSECOLS(Role_codes!$D$2:$E$16, IF($F55="C",1,2)),""))</f>
        <v/>
      </c>
      <c r="J55" s="3"/>
      <c r="K55" s="21" t="str">
        <f t="shared" si="2"/>
        <v/>
      </c>
      <c r="L55" s="21" t="str">
        <f t="shared" si="3"/>
        <v/>
      </c>
    </row>
    <row r="56" spans="9:12" x14ac:dyDescent="0.35">
      <c r="I56" s="21" t="str">
        <f t="array" ref="I56">IF(OR($F56="P",$F56="M"),"", _xlfn.XLOOKUP($G56, Role_codes!$A$2:$A$16, _xlfn.CHOOSECOLS(Role_codes!$D$2:$E$16, IF($F56="C",1,2)),""))</f>
        <v/>
      </c>
      <c r="J56" s="3"/>
      <c r="K56" s="21" t="str">
        <f t="shared" si="2"/>
        <v/>
      </c>
      <c r="L56" s="21" t="str">
        <f t="shared" si="3"/>
        <v/>
      </c>
    </row>
    <row r="57" spans="9:12" x14ac:dyDescent="0.35">
      <c r="I57" s="21" t="str">
        <f t="array" ref="I57">IF(OR($F57="P",$F57="M"),"", _xlfn.XLOOKUP($G57, Role_codes!$A$2:$A$16, _xlfn.CHOOSECOLS(Role_codes!$D$2:$E$16, IF($F57="C",1,2)),""))</f>
        <v/>
      </c>
      <c r="J57" s="3"/>
      <c r="K57" s="21" t="str">
        <f t="shared" si="2"/>
        <v/>
      </c>
      <c r="L57" s="21" t="str">
        <f t="shared" si="3"/>
        <v/>
      </c>
    </row>
    <row r="58" spans="9:12" x14ac:dyDescent="0.35">
      <c r="I58" s="21" t="str">
        <f t="array" ref="I58">IF(OR($F58="P",$F58="M"),"", _xlfn.XLOOKUP($G58, Role_codes!$A$2:$A$16, _xlfn.CHOOSECOLS(Role_codes!$D$2:$E$16, IF($F58="C",1,2)),""))</f>
        <v/>
      </c>
      <c r="J58" s="3"/>
      <c r="K58" s="21" t="str">
        <f t="shared" si="2"/>
        <v/>
      </c>
      <c r="L58" s="21" t="str">
        <f t="shared" si="3"/>
        <v/>
      </c>
    </row>
    <row r="59" spans="9:12" x14ac:dyDescent="0.35">
      <c r="I59" s="21" t="str">
        <f t="array" ref="I59">IF(OR($F59="P",$F59="M"),"", _xlfn.XLOOKUP($G59, Role_codes!$A$2:$A$16, _xlfn.CHOOSECOLS(Role_codes!$D$2:$E$16, IF($F59="C",1,2)),""))</f>
        <v/>
      </c>
      <c r="J59" s="3"/>
      <c r="K59" s="21" t="str">
        <f t="shared" si="2"/>
        <v/>
      </c>
      <c r="L59" s="21" t="str">
        <f t="shared" si="3"/>
        <v/>
      </c>
    </row>
    <row r="60" spans="9:12" x14ac:dyDescent="0.35">
      <c r="I60" s="21" t="str">
        <f t="array" ref="I60">IF(OR($F60="P",$F60="M"),"", _xlfn.XLOOKUP($G60, Role_codes!$A$2:$A$16, _xlfn.CHOOSECOLS(Role_codes!$D$2:$E$16, IF($F60="C",1,2)),""))</f>
        <v/>
      </c>
      <c r="J60" s="3"/>
      <c r="K60" s="21" t="str">
        <f t="shared" si="2"/>
        <v/>
      </c>
      <c r="L60" s="21" t="str">
        <f t="shared" si="3"/>
        <v/>
      </c>
    </row>
    <row r="61" spans="9:12" x14ac:dyDescent="0.35">
      <c r="I61" s="21" t="str">
        <f t="array" ref="I61">IF(OR($F61="P",$F61="M"),"", _xlfn.XLOOKUP($G61, Role_codes!$A$2:$A$16, _xlfn.CHOOSECOLS(Role_codes!$D$2:$E$16, IF($F61="C",1,2)),""))</f>
        <v/>
      </c>
      <c r="J61" s="3"/>
      <c r="K61" s="21" t="str">
        <f t="shared" si="2"/>
        <v/>
      </c>
      <c r="L61" s="21" t="str">
        <f t="shared" si="3"/>
        <v/>
      </c>
    </row>
    <row r="62" spans="9:12" x14ac:dyDescent="0.35">
      <c r="I62" s="21" t="str">
        <f t="array" ref="I62">IF(OR($F62="P",$F62="M"),"", _xlfn.XLOOKUP($G62, Role_codes!$A$2:$A$16, _xlfn.CHOOSECOLS(Role_codes!$D$2:$E$16, IF($F62="C",1,2)),""))</f>
        <v/>
      </c>
      <c r="J62" s="3"/>
      <c r="K62" s="21" t="str">
        <f t="shared" si="2"/>
        <v/>
      </c>
      <c r="L62" s="21" t="str">
        <f t="shared" si="3"/>
        <v/>
      </c>
    </row>
    <row r="63" spans="9:12" x14ac:dyDescent="0.35">
      <c r="I63" s="21" t="str">
        <f t="array" ref="I63">IF(OR($F63="P",$F63="M"),"", _xlfn.XLOOKUP($G63, Role_codes!$A$2:$A$16, _xlfn.CHOOSECOLS(Role_codes!$D$2:$E$16, IF($F63="C",1,2)),""))</f>
        <v/>
      </c>
      <c r="J63" s="3"/>
      <c r="K63" s="21" t="str">
        <f t="shared" si="2"/>
        <v/>
      </c>
      <c r="L63" s="21" t="str">
        <f t="shared" si="3"/>
        <v/>
      </c>
    </row>
    <row r="64" spans="9:12" x14ac:dyDescent="0.35">
      <c r="I64" s="21" t="str">
        <f t="array" ref="I64">IF(OR($F64="P",$F64="M"),"", _xlfn.XLOOKUP($G64, Role_codes!$A$2:$A$16, _xlfn.CHOOSECOLS(Role_codes!$D$2:$E$16, IF($F64="C",1,2)),""))</f>
        <v/>
      </c>
      <c r="J64" s="3"/>
      <c r="K64" s="21" t="str">
        <f t="shared" si="2"/>
        <v/>
      </c>
      <c r="L64" s="21" t="str">
        <f t="shared" si="3"/>
        <v/>
      </c>
    </row>
    <row r="65" spans="9:12" x14ac:dyDescent="0.35">
      <c r="I65" s="21" t="str">
        <f t="array" ref="I65">IF(OR($F65="P",$F65="M"),"", _xlfn.XLOOKUP($G65, Role_codes!$A$2:$A$16, _xlfn.CHOOSECOLS(Role_codes!$D$2:$E$16, IF($F65="C",1,2)),""))</f>
        <v/>
      </c>
      <c r="J65" s="3"/>
      <c r="K65" s="21" t="str">
        <f t="shared" si="2"/>
        <v/>
      </c>
      <c r="L65" s="21" t="str">
        <f t="shared" si="3"/>
        <v/>
      </c>
    </row>
    <row r="66" spans="9:12" x14ac:dyDescent="0.35">
      <c r="I66" s="21" t="str">
        <f t="array" ref="I66">IF(OR($F66="P",$F66="M"),"", _xlfn.XLOOKUP($G66, Role_codes!$A$2:$A$16, _xlfn.CHOOSECOLS(Role_codes!$D$2:$E$16, IF($F66="C",1,2)),""))</f>
        <v/>
      </c>
      <c r="J66" s="3"/>
      <c r="K66" s="21" t="str">
        <f t="shared" si="2"/>
        <v/>
      </c>
      <c r="L66" s="21" t="str">
        <f t="shared" si="3"/>
        <v/>
      </c>
    </row>
    <row r="67" spans="9:12" x14ac:dyDescent="0.35">
      <c r="I67" s="21" t="str">
        <f t="array" ref="I67">IF(OR($F67="P",$F67="M"),"", _xlfn.XLOOKUP($G67, Role_codes!$A$2:$A$16, _xlfn.CHOOSECOLS(Role_codes!$D$2:$E$16, IF($F67="C",1,2)),""))</f>
        <v/>
      </c>
      <c r="J67" s="3"/>
      <c r="K67" s="21" t="str">
        <f t="shared" si="2"/>
        <v/>
      </c>
      <c r="L67" s="21" t="str">
        <f t="shared" si="3"/>
        <v/>
      </c>
    </row>
    <row r="68" spans="9:12" x14ac:dyDescent="0.35">
      <c r="I68" s="21" t="str">
        <f t="array" ref="I68">IF(OR($F68="P",$F68="M"),"", _xlfn.XLOOKUP($G68, Role_codes!$A$2:$A$16, _xlfn.CHOOSECOLS(Role_codes!$D$2:$E$16, IF($F68="C",1,2)),""))</f>
        <v/>
      </c>
      <c r="J68" s="3"/>
      <c r="K68" s="21" t="str">
        <f t="shared" si="2"/>
        <v/>
      </c>
      <c r="L68" s="21" t="str">
        <f t="shared" si="3"/>
        <v/>
      </c>
    </row>
    <row r="69" spans="9:12" x14ac:dyDescent="0.35">
      <c r="I69" s="21" t="str">
        <f t="array" ref="I69">IF(OR($F69="P",$F69="M"),"", _xlfn.XLOOKUP($G69, Role_codes!$A$2:$A$16, _xlfn.CHOOSECOLS(Role_codes!$D$2:$E$16, IF($F69="C",1,2)),""))</f>
        <v/>
      </c>
      <c r="J69" s="3"/>
      <c r="K69" s="21" t="str">
        <f t="shared" si="2"/>
        <v/>
      </c>
      <c r="L69" s="21" t="str">
        <f t="shared" si="3"/>
        <v/>
      </c>
    </row>
    <row r="70" spans="9:12" x14ac:dyDescent="0.35">
      <c r="I70" s="21" t="str">
        <f t="array" ref="I70">IF(OR($F70="P",$F70="M"),"", _xlfn.XLOOKUP($G70, Role_codes!$A$2:$A$16, _xlfn.CHOOSECOLS(Role_codes!$D$2:$E$16, IF($F70="C",1,2)),""))</f>
        <v/>
      </c>
      <c r="J70" s="3"/>
      <c r="K70" s="21" t="str">
        <f t="shared" ref="K70:K101" si="4">IF(OR($F70="P",$F70="M"), J70, I70)</f>
        <v/>
      </c>
      <c r="L70" s="21" t="str">
        <f t="shared" ref="L70:L101" si="5">IF($A71="","", IF(OR($F70="P",$F70="M"), $J70/180, $J70))</f>
        <v/>
      </c>
    </row>
    <row r="71" spans="9:12" x14ac:dyDescent="0.35">
      <c r="I71" s="21" t="str">
        <f t="array" ref="I71">IF(OR($F71="P",$F71="M"),"", _xlfn.XLOOKUP($G71, Role_codes!$A$2:$A$16, _xlfn.CHOOSECOLS(Role_codes!$D$2:$E$16, IF($F71="C",1,2)),""))</f>
        <v/>
      </c>
      <c r="J71" s="3"/>
      <c r="K71" s="21" t="str">
        <f t="shared" si="4"/>
        <v/>
      </c>
      <c r="L71" s="21" t="str">
        <f t="shared" si="5"/>
        <v/>
      </c>
    </row>
    <row r="72" spans="9:12" x14ac:dyDescent="0.35">
      <c r="I72" s="21" t="str">
        <f t="array" ref="I72">IF(OR($F72="P",$F72="M"),"", _xlfn.XLOOKUP($G72, Role_codes!$A$2:$A$16, _xlfn.CHOOSECOLS(Role_codes!$D$2:$E$16, IF($F72="C",1,2)),""))</f>
        <v/>
      </c>
      <c r="J72" s="3"/>
      <c r="K72" s="21" t="str">
        <f t="shared" si="4"/>
        <v/>
      </c>
      <c r="L72" s="21" t="str">
        <f t="shared" si="5"/>
        <v/>
      </c>
    </row>
    <row r="73" spans="9:12" x14ac:dyDescent="0.35">
      <c r="I73" s="21" t="str">
        <f t="array" ref="I73">IF(OR($F73="P",$F73="M"),"", _xlfn.XLOOKUP($G73, Role_codes!$A$2:$A$16, _xlfn.CHOOSECOLS(Role_codes!$D$2:$E$16, IF($F73="C",1,2)),""))</f>
        <v/>
      </c>
      <c r="J73" s="3"/>
      <c r="K73" s="21" t="str">
        <f t="shared" si="4"/>
        <v/>
      </c>
      <c r="L73" s="21" t="str">
        <f t="shared" si="5"/>
        <v/>
      </c>
    </row>
    <row r="74" spans="9:12" x14ac:dyDescent="0.35">
      <c r="I74" s="21" t="str">
        <f t="array" ref="I74">IF(OR($F74="P",$F74="M"),"", _xlfn.XLOOKUP($G74, Role_codes!$A$2:$A$16, _xlfn.CHOOSECOLS(Role_codes!$D$2:$E$16, IF($F74="C",1,2)),""))</f>
        <v/>
      </c>
      <c r="J74" s="3"/>
      <c r="K74" s="21" t="str">
        <f t="shared" si="4"/>
        <v/>
      </c>
      <c r="L74" s="21" t="str">
        <f t="shared" si="5"/>
        <v/>
      </c>
    </row>
    <row r="75" spans="9:12" x14ac:dyDescent="0.35">
      <c r="I75" s="21" t="str">
        <f t="array" ref="I75">IF(OR($F75="P",$F75="M"),"", _xlfn.XLOOKUP($G75, Role_codes!$A$2:$A$16, _xlfn.CHOOSECOLS(Role_codes!$D$2:$E$16, IF($F75="C",1,2)),""))</f>
        <v/>
      </c>
      <c r="J75" s="3"/>
      <c r="K75" s="21" t="str">
        <f t="shared" si="4"/>
        <v/>
      </c>
      <c r="L75" s="21" t="str">
        <f t="shared" si="5"/>
        <v/>
      </c>
    </row>
    <row r="76" spans="9:12" x14ac:dyDescent="0.35">
      <c r="I76" s="21" t="str">
        <f t="array" ref="I76">IF(OR($F76="P",$F76="M"),"", _xlfn.XLOOKUP($G76, Role_codes!$A$2:$A$16, _xlfn.CHOOSECOLS(Role_codes!$D$2:$E$16, IF($F76="C",1,2)),""))</f>
        <v/>
      </c>
      <c r="J76" s="3"/>
      <c r="K76" s="21" t="str">
        <f t="shared" si="4"/>
        <v/>
      </c>
      <c r="L76" s="21" t="str">
        <f t="shared" si="5"/>
        <v/>
      </c>
    </row>
    <row r="77" spans="9:12" x14ac:dyDescent="0.35">
      <c r="I77" s="21" t="str">
        <f t="array" ref="I77">IF(OR($F77="P",$F77="M"),"", _xlfn.XLOOKUP($G77, Role_codes!$A$2:$A$16, _xlfn.CHOOSECOLS(Role_codes!$D$2:$E$16, IF($F77="C",1,2)),""))</f>
        <v/>
      </c>
      <c r="J77" s="3"/>
      <c r="K77" s="21" t="str">
        <f t="shared" si="4"/>
        <v/>
      </c>
      <c r="L77" s="21" t="str">
        <f t="shared" si="5"/>
        <v/>
      </c>
    </row>
    <row r="78" spans="9:12" x14ac:dyDescent="0.35">
      <c r="I78" s="21" t="str">
        <f t="array" ref="I78">IF(OR($F78="P",$F78="M"),"", _xlfn.XLOOKUP($G78, Role_codes!$A$2:$A$16, _xlfn.CHOOSECOLS(Role_codes!$D$2:$E$16, IF($F78="C",1,2)),""))</f>
        <v/>
      </c>
      <c r="J78" s="3"/>
      <c r="K78" s="21" t="str">
        <f t="shared" si="4"/>
        <v/>
      </c>
      <c r="L78" s="21" t="str">
        <f t="shared" si="5"/>
        <v/>
      </c>
    </row>
    <row r="79" spans="9:12" x14ac:dyDescent="0.35">
      <c r="I79" s="21" t="str">
        <f t="array" ref="I79">IF(OR($F79="P",$F79="M"),"", _xlfn.XLOOKUP($G79, Role_codes!$A$2:$A$16, _xlfn.CHOOSECOLS(Role_codes!$D$2:$E$16, IF($F79="C",1,2)),""))</f>
        <v/>
      </c>
      <c r="J79" s="3"/>
      <c r="K79" s="21" t="str">
        <f t="shared" si="4"/>
        <v/>
      </c>
      <c r="L79" s="21" t="str">
        <f t="shared" si="5"/>
        <v/>
      </c>
    </row>
    <row r="80" spans="9:12" x14ac:dyDescent="0.35">
      <c r="I80" s="21" t="str">
        <f t="array" ref="I80">IF(OR($F80="P",$F80="M"),"", _xlfn.XLOOKUP($G80, Role_codes!$A$2:$A$16, _xlfn.CHOOSECOLS(Role_codes!$D$2:$E$16, IF($F80="C",1,2)),""))</f>
        <v/>
      </c>
      <c r="J80" s="3"/>
      <c r="K80" s="21" t="str">
        <f t="shared" si="4"/>
        <v/>
      </c>
      <c r="L80" s="21" t="str">
        <f t="shared" si="5"/>
        <v/>
      </c>
    </row>
    <row r="81" spans="9:12" x14ac:dyDescent="0.35">
      <c r="I81" s="21" t="str">
        <f t="array" ref="I81">IF(OR($F81="P",$F81="M"),"", _xlfn.XLOOKUP($G81, Role_codes!$A$2:$A$16, _xlfn.CHOOSECOLS(Role_codes!$D$2:$E$16, IF($F81="C",1,2)),""))</f>
        <v/>
      </c>
      <c r="J81" s="3"/>
      <c r="K81" s="21" t="str">
        <f t="shared" si="4"/>
        <v/>
      </c>
      <c r="L81" s="21" t="str">
        <f t="shared" si="5"/>
        <v/>
      </c>
    </row>
    <row r="82" spans="9:12" x14ac:dyDescent="0.35">
      <c r="I82" s="21" t="str">
        <f t="array" ref="I82">IF(OR($F82="P",$F82="M"),"", _xlfn.XLOOKUP($G82, Role_codes!$A$2:$A$16, _xlfn.CHOOSECOLS(Role_codes!$D$2:$E$16, IF($F82="C",1,2)),""))</f>
        <v/>
      </c>
      <c r="J82" s="3"/>
      <c r="K82" s="21" t="str">
        <f t="shared" si="4"/>
        <v/>
      </c>
      <c r="L82" s="21" t="str">
        <f t="shared" si="5"/>
        <v/>
      </c>
    </row>
    <row r="83" spans="9:12" x14ac:dyDescent="0.35">
      <c r="I83" s="21" t="str">
        <f t="array" ref="I83">IF(OR($F83="P",$F83="M"),"", _xlfn.XLOOKUP($G83, Role_codes!$A$2:$A$16, _xlfn.CHOOSECOLS(Role_codes!$D$2:$E$16, IF($F83="C",1,2)),""))</f>
        <v/>
      </c>
      <c r="J83" s="3"/>
      <c r="K83" s="21" t="str">
        <f t="shared" si="4"/>
        <v/>
      </c>
      <c r="L83" s="21" t="str">
        <f t="shared" si="5"/>
        <v/>
      </c>
    </row>
    <row r="84" spans="9:12" x14ac:dyDescent="0.35">
      <c r="I84" s="21" t="str">
        <f t="array" ref="I84">IF(OR($F84="P",$F84="M"),"", _xlfn.XLOOKUP($G84, Role_codes!$A$2:$A$16, _xlfn.CHOOSECOLS(Role_codes!$D$2:$E$16, IF($F84="C",1,2)),""))</f>
        <v/>
      </c>
      <c r="J84" s="3"/>
      <c r="K84" s="21" t="str">
        <f t="shared" si="4"/>
        <v/>
      </c>
      <c r="L84" s="21" t="str">
        <f t="shared" si="5"/>
        <v/>
      </c>
    </row>
    <row r="85" spans="9:12" x14ac:dyDescent="0.35">
      <c r="I85" s="21" t="str">
        <f t="array" ref="I85">IF(OR($F85="P",$F85="M"),"", _xlfn.XLOOKUP($G85, Role_codes!$A$2:$A$16, _xlfn.CHOOSECOLS(Role_codes!$D$2:$E$16, IF($F85="C",1,2)),""))</f>
        <v/>
      </c>
      <c r="J85" s="3"/>
      <c r="K85" s="21" t="str">
        <f t="shared" si="4"/>
        <v/>
      </c>
      <c r="L85" s="21" t="str">
        <f t="shared" si="5"/>
        <v/>
      </c>
    </row>
    <row r="86" spans="9:12" x14ac:dyDescent="0.35">
      <c r="I86" s="21" t="str">
        <f t="array" ref="I86">IF(OR($F86="P",$F86="M"),"", _xlfn.XLOOKUP($G86, Role_codes!$A$2:$A$16, _xlfn.CHOOSECOLS(Role_codes!$D$2:$E$16, IF($F86="C",1,2)),""))</f>
        <v/>
      </c>
      <c r="J86" s="3"/>
      <c r="K86" s="21" t="str">
        <f t="shared" si="4"/>
        <v/>
      </c>
      <c r="L86" s="21" t="str">
        <f t="shared" si="5"/>
        <v/>
      </c>
    </row>
    <row r="87" spans="9:12" x14ac:dyDescent="0.35">
      <c r="I87" s="21" t="str">
        <f t="array" ref="I87">IF(OR($F87="P",$F87="M"),"", _xlfn.XLOOKUP($G87, Role_codes!$A$2:$A$16, _xlfn.CHOOSECOLS(Role_codes!$D$2:$E$16, IF($F87="C",1,2)),""))</f>
        <v/>
      </c>
      <c r="J87" s="3"/>
      <c r="K87" s="21" t="str">
        <f t="shared" si="4"/>
        <v/>
      </c>
      <c r="L87" s="21" t="str">
        <f t="shared" si="5"/>
        <v/>
      </c>
    </row>
    <row r="88" spans="9:12" x14ac:dyDescent="0.35">
      <c r="I88" s="21" t="str">
        <f t="array" ref="I88">IF(OR($F88="P",$F88="M"),"", _xlfn.XLOOKUP($G88, Role_codes!$A$2:$A$16, _xlfn.CHOOSECOLS(Role_codes!$D$2:$E$16, IF($F88="C",1,2)),""))</f>
        <v/>
      </c>
      <c r="J88" s="3"/>
      <c r="K88" s="21" t="str">
        <f t="shared" si="4"/>
        <v/>
      </c>
      <c r="L88" s="21" t="str">
        <f t="shared" si="5"/>
        <v/>
      </c>
    </row>
    <row r="89" spans="9:12" x14ac:dyDescent="0.35">
      <c r="I89" s="21" t="str">
        <f t="array" ref="I89">IF(OR($F89="P",$F89="M"),"", _xlfn.XLOOKUP($G89, Role_codes!$A$2:$A$16, _xlfn.CHOOSECOLS(Role_codes!$D$2:$E$16, IF($F89="C",1,2)),""))</f>
        <v/>
      </c>
      <c r="J89" s="3"/>
      <c r="K89" s="21" t="str">
        <f t="shared" si="4"/>
        <v/>
      </c>
      <c r="L89" s="21" t="str">
        <f t="shared" si="5"/>
        <v/>
      </c>
    </row>
    <row r="90" spans="9:12" x14ac:dyDescent="0.35">
      <c r="I90" s="21" t="str">
        <f t="array" ref="I90">IF(OR($F90="P",$F90="M"),"", _xlfn.XLOOKUP($G90, Role_codes!$A$2:$A$16, _xlfn.CHOOSECOLS(Role_codes!$D$2:$E$16, IF($F90="C",1,2)),""))</f>
        <v/>
      </c>
      <c r="J90" s="3"/>
      <c r="K90" s="21" t="str">
        <f t="shared" si="4"/>
        <v/>
      </c>
      <c r="L90" s="21" t="str">
        <f t="shared" si="5"/>
        <v/>
      </c>
    </row>
    <row r="91" spans="9:12" x14ac:dyDescent="0.35">
      <c r="I91" s="21" t="str">
        <f t="array" ref="I91">IF(OR($F91="P",$F91="M"),"", _xlfn.XLOOKUP($G91, Role_codes!$A$2:$A$16, _xlfn.CHOOSECOLS(Role_codes!$D$2:$E$16, IF($F91="C",1,2)),""))</f>
        <v/>
      </c>
      <c r="J91" s="3"/>
      <c r="K91" s="21" t="str">
        <f t="shared" si="4"/>
        <v/>
      </c>
      <c r="L91" s="21" t="str">
        <f t="shared" si="5"/>
        <v/>
      </c>
    </row>
    <row r="92" spans="9:12" x14ac:dyDescent="0.35">
      <c r="I92" s="21" t="str">
        <f t="array" ref="I92">IF(OR($F92="P",$F92="M"),"", _xlfn.XLOOKUP($G92, Role_codes!$A$2:$A$16, _xlfn.CHOOSECOLS(Role_codes!$D$2:$E$16, IF($F92="C",1,2)),""))</f>
        <v/>
      </c>
      <c r="J92" s="3"/>
      <c r="K92" s="21" t="str">
        <f t="shared" si="4"/>
        <v/>
      </c>
      <c r="L92" s="21" t="str">
        <f t="shared" si="5"/>
        <v/>
      </c>
    </row>
    <row r="93" spans="9:12" x14ac:dyDescent="0.35">
      <c r="I93" s="21" t="str">
        <f t="array" ref="I93">IF(OR($F93="P",$F93="M"),"", _xlfn.XLOOKUP($G93, Role_codes!$A$2:$A$16, _xlfn.CHOOSECOLS(Role_codes!$D$2:$E$16, IF($F93="C",1,2)),""))</f>
        <v/>
      </c>
      <c r="J93" s="3"/>
      <c r="K93" s="21" t="str">
        <f t="shared" si="4"/>
        <v/>
      </c>
      <c r="L93" s="21" t="str">
        <f t="shared" si="5"/>
        <v/>
      </c>
    </row>
    <row r="94" spans="9:12" x14ac:dyDescent="0.35">
      <c r="I94" s="21" t="str">
        <f t="array" ref="I94">IF(OR($F94="P",$F94="M"),"", _xlfn.XLOOKUP($G94, Role_codes!$A$2:$A$16, _xlfn.CHOOSECOLS(Role_codes!$D$2:$E$16, IF($F94="C",1,2)),""))</f>
        <v/>
      </c>
      <c r="J94" s="3"/>
      <c r="K94" s="21" t="str">
        <f t="shared" si="4"/>
        <v/>
      </c>
      <c r="L94" s="21" t="str">
        <f t="shared" si="5"/>
        <v/>
      </c>
    </row>
    <row r="95" spans="9:12" x14ac:dyDescent="0.35">
      <c r="I95" s="21" t="str">
        <f t="array" ref="I95">IF(OR($F95="P",$F95="M"),"", _xlfn.XLOOKUP($G95, Role_codes!$A$2:$A$16, _xlfn.CHOOSECOLS(Role_codes!$D$2:$E$16, IF($F95="C",1,2)),""))</f>
        <v/>
      </c>
      <c r="J95" s="3"/>
      <c r="K95" s="21" t="str">
        <f t="shared" si="4"/>
        <v/>
      </c>
      <c r="L95" s="21" t="str">
        <f t="shared" si="5"/>
        <v/>
      </c>
    </row>
    <row r="96" spans="9:12" x14ac:dyDescent="0.35">
      <c r="I96" s="21" t="str">
        <f t="array" ref="I96">IF(OR($F96="P",$F96="M"),"", _xlfn.XLOOKUP($G96, Role_codes!$A$2:$A$16, _xlfn.CHOOSECOLS(Role_codes!$D$2:$E$16, IF($F96="C",1,2)),""))</f>
        <v/>
      </c>
      <c r="J96" s="3"/>
      <c r="K96" s="21" t="str">
        <f t="shared" si="4"/>
        <v/>
      </c>
      <c r="L96" s="21" t="str">
        <f t="shared" si="5"/>
        <v/>
      </c>
    </row>
    <row r="97" spans="9:12" x14ac:dyDescent="0.35">
      <c r="I97" s="21" t="str">
        <f t="array" ref="I97">IF(OR($F97="P",$F97="M"),"", _xlfn.XLOOKUP($G97, Role_codes!$A$2:$A$16, _xlfn.CHOOSECOLS(Role_codes!$D$2:$E$16, IF($F97="C",1,2)),""))</f>
        <v/>
      </c>
      <c r="J97" s="3"/>
      <c r="K97" s="21" t="str">
        <f t="shared" si="4"/>
        <v/>
      </c>
      <c r="L97" s="21" t="str">
        <f t="shared" si="5"/>
        <v/>
      </c>
    </row>
    <row r="98" spans="9:12" x14ac:dyDescent="0.35">
      <c r="I98" s="21" t="str">
        <f t="array" ref="I98">IF(OR($F98="P",$F98="M"),"", _xlfn.XLOOKUP($G98, Role_codes!$A$2:$A$16, _xlfn.CHOOSECOLS(Role_codes!$D$2:$E$16, IF($F98="C",1,2)),""))</f>
        <v/>
      </c>
      <c r="J98" s="3"/>
      <c r="K98" s="21" t="str">
        <f t="shared" si="4"/>
        <v/>
      </c>
      <c r="L98" s="21" t="str">
        <f t="shared" si="5"/>
        <v/>
      </c>
    </row>
    <row r="99" spans="9:12" x14ac:dyDescent="0.35">
      <c r="I99" s="21" t="str">
        <f t="array" ref="I99">IF(OR($F99="P",$F99="M"),"", _xlfn.XLOOKUP($G99, Role_codes!$A$2:$A$16, _xlfn.CHOOSECOLS(Role_codes!$D$2:$E$16, IF($F99="C",1,2)),""))</f>
        <v/>
      </c>
      <c r="J99" s="3"/>
      <c r="K99" s="21" t="str">
        <f t="shared" si="4"/>
        <v/>
      </c>
      <c r="L99" s="21" t="str">
        <f t="shared" si="5"/>
        <v/>
      </c>
    </row>
    <row r="100" spans="9:12" x14ac:dyDescent="0.35">
      <c r="I100" s="21" t="str">
        <f t="array" ref="I100">IF(OR($F100="P",$F100="M"),"", _xlfn.XLOOKUP($G100, Role_codes!$A$2:$A$16, _xlfn.CHOOSECOLS(Role_codes!$D$2:$E$16, IF($F100="C",1,2)),""))</f>
        <v/>
      </c>
      <c r="J100" s="3"/>
      <c r="K100" s="21" t="str">
        <f t="shared" si="4"/>
        <v/>
      </c>
      <c r="L100" s="21" t="str">
        <f t="shared" si="5"/>
        <v/>
      </c>
    </row>
    <row r="101" spans="9:12" x14ac:dyDescent="0.35">
      <c r="I101" s="21" t="str">
        <f t="array" ref="I101">IF(OR($F101="P",$F101="M"),"", _xlfn.XLOOKUP($G101, Role_codes!$A$2:$A$16, _xlfn.CHOOSECOLS(Role_codes!$D$2:$E$16, IF($F101="C",1,2)),""))</f>
        <v/>
      </c>
      <c r="J101" s="3"/>
      <c r="K101" s="21" t="str">
        <f t="shared" si="4"/>
        <v/>
      </c>
      <c r="L101" s="21" t="str">
        <f t="shared" si="5"/>
        <v/>
      </c>
    </row>
    <row r="102" spans="9:12" x14ac:dyDescent="0.35">
      <c r="I102" s="21" t="str">
        <f t="array" ref="I102">IF(OR($F102="P",$F102="M"),"", _xlfn.XLOOKUP($G102, Role_codes!$A$2:$A$16, _xlfn.CHOOSECOLS(Role_codes!$D$2:$E$16, IF($F102="C",1,2)),""))</f>
        <v/>
      </c>
      <c r="J102" s="3"/>
      <c r="K102" s="21" t="str">
        <f t="shared" ref="K102:K133" si="6">IF(OR($F102="P",$F102="M"), J102, I102)</f>
        <v/>
      </c>
      <c r="L102" s="21" t="str">
        <f t="shared" ref="L102:L133" si="7">IF($A103="","", IF(OR($F102="P",$F102="M"), $J102/180, $J102))</f>
        <v/>
      </c>
    </row>
    <row r="103" spans="9:12" x14ac:dyDescent="0.35">
      <c r="I103" s="21" t="str">
        <f t="array" ref="I103">IF(OR($F103="P",$F103="M"),"", _xlfn.XLOOKUP($G103, Role_codes!$A$2:$A$16, _xlfn.CHOOSECOLS(Role_codes!$D$2:$E$16, IF($F103="C",1,2)),""))</f>
        <v/>
      </c>
      <c r="J103" s="3"/>
      <c r="K103" s="21" t="str">
        <f t="shared" si="6"/>
        <v/>
      </c>
      <c r="L103" s="21" t="str">
        <f t="shared" si="7"/>
        <v/>
      </c>
    </row>
    <row r="104" spans="9:12" x14ac:dyDescent="0.35">
      <c r="I104" s="21" t="str">
        <f t="array" ref="I104">IF(OR($F104="P",$F104="M"),"", _xlfn.XLOOKUP($G104, Role_codes!$A$2:$A$16, _xlfn.CHOOSECOLS(Role_codes!$D$2:$E$16, IF($F104="C",1,2)),""))</f>
        <v/>
      </c>
      <c r="J104" s="3"/>
      <c r="K104" s="21" t="str">
        <f t="shared" si="6"/>
        <v/>
      </c>
      <c r="L104" s="21" t="str">
        <f t="shared" si="7"/>
        <v/>
      </c>
    </row>
    <row r="105" spans="9:12" x14ac:dyDescent="0.35">
      <c r="I105" s="21" t="str">
        <f t="array" ref="I105">IF(OR($F105="P",$F105="M"),"", _xlfn.XLOOKUP($G105, Role_codes!$A$2:$A$16, _xlfn.CHOOSECOLS(Role_codes!$D$2:$E$16, IF($F105="C",1,2)),""))</f>
        <v/>
      </c>
      <c r="J105" s="3"/>
      <c r="K105" s="21" t="str">
        <f t="shared" si="6"/>
        <v/>
      </c>
      <c r="L105" s="21" t="str">
        <f t="shared" si="7"/>
        <v/>
      </c>
    </row>
    <row r="106" spans="9:12" x14ac:dyDescent="0.35">
      <c r="I106" s="21" t="str">
        <f t="array" ref="I106">IF(OR($F106="P",$F106="M"),"", _xlfn.XLOOKUP($G106, Role_codes!$A$2:$A$16, _xlfn.CHOOSECOLS(Role_codes!$D$2:$E$16, IF($F106="C",1,2)),""))</f>
        <v/>
      </c>
      <c r="J106" s="3"/>
      <c r="K106" s="21" t="str">
        <f t="shared" si="6"/>
        <v/>
      </c>
      <c r="L106" s="21" t="str">
        <f t="shared" si="7"/>
        <v/>
      </c>
    </row>
    <row r="107" spans="9:12" x14ac:dyDescent="0.35">
      <c r="I107" s="21" t="str">
        <f t="array" ref="I107">IF(OR($F107="P",$F107="M"),"", _xlfn.XLOOKUP($G107, Role_codes!$A$2:$A$16, _xlfn.CHOOSECOLS(Role_codes!$D$2:$E$16, IF($F107="C",1,2)),""))</f>
        <v/>
      </c>
      <c r="J107" s="3"/>
      <c r="K107" s="21" t="str">
        <f t="shared" si="6"/>
        <v/>
      </c>
      <c r="L107" s="21" t="str">
        <f t="shared" si="7"/>
        <v/>
      </c>
    </row>
    <row r="108" spans="9:12" x14ac:dyDescent="0.35">
      <c r="I108" s="21" t="str">
        <f t="array" ref="I108">IF(OR($F108="P",$F108="M"),"", _xlfn.XLOOKUP($G108, Role_codes!$A$2:$A$16, _xlfn.CHOOSECOLS(Role_codes!$D$2:$E$16, IF($F108="C",1,2)),""))</f>
        <v/>
      </c>
      <c r="J108" s="3"/>
      <c r="K108" s="21" t="str">
        <f t="shared" si="6"/>
        <v/>
      </c>
      <c r="L108" s="21" t="str">
        <f t="shared" si="7"/>
        <v/>
      </c>
    </row>
    <row r="109" spans="9:12" x14ac:dyDescent="0.35">
      <c r="I109" s="21" t="str">
        <f t="array" ref="I109">IF(OR($F109="P",$F109="M"),"", _xlfn.XLOOKUP($G109, Role_codes!$A$2:$A$16, _xlfn.CHOOSECOLS(Role_codes!$D$2:$E$16, IF($F109="C",1,2)),""))</f>
        <v/>
      </c>
      <c r="J109" s="3"/>
      <c r="K109" s="21" t="str">
        <f t="shared" si="6"/>
        <v/>
      </c>
      <c r="L109" s="21" t="str">
        <f t="shared" si="7"/>
        <v/>
      </c>
    </row>
    <row r="110" spans="9:12" x14ac:dyDescent="0.35">
      <c r="I110" s="21" t="str">
        <f t="array" ref="I110">IF(OR($F110="P",$F110="M"),"", _xlfn.XLOOKUP($G110, Role_codes!$A$2:$A$16, _xlfn.CHOOSECOLS(Role_codes!$D$2:$E$16, IF($F110="C",1,2)),""))</f>
        <v/>
      </c>
      <c r="J110" s="3"/>
      <c r="K110" s="21" t="str">
        <f t="shared" si="6"/>
        <v/>
      </c>
      <c r="L110" s="21" t="str">
        <f t="shared" si="7"/>
        <v/>
      </c>
    </row>
    <row r="111" spans="9:12" x14ac:dyDescent="0.35">
      <c r="I111" s="21" t="str">
        <f t="array" ref="I111">IF(OR($F111="P",$F111="M"),"", _xlfn.XLOOKUP($G111, Role_codes!$A$2:$A$16, _xlfn.CHOOSECOLS(Role_codes!$D$2:$E$16, IF($F111="C",1,2)),""))</f>
        <v/>
      </c>
      <c r="J111" s="3"/>
      <c r="K111" s="21" t="str">
        <f t="shared" si="6"/>
        <v/>
      </c>
      <c r="L111" s="21" t="str">
        <f t="shared" si="7"/>
        <v/>
      </c>
    </row>
    <row r="112" spans="9:12" x14ac:dyDescent="0.35">
      <c r="I112" s="21" t="str">
        <f t="array" ref="I112">IF(OR($F112="P",$F112="M"),"", _xlfn.XLOOKUP($G112, Role_codes!$A$2:$A$16, _xlfn.CHOOSECOLS(Role_codes!$D$2:$E$16, IF($F112="C",1,2)),""))</f>
        <v/>
      </c>
      <c r="J112" s="3"/>
      <c r="K112" s="21" t="str">
        <f t="shared" si="6"/>
        <v/>
      </c>
      <c r="L112" s="21" t="str">
        <f t="shared" si="7"/>
        <v/>
      </c>
    </row>
    <row r="113" spans="9:12" x14ac:dyDescent="0.35">
      <c r="I113" s="21" t="str">
        <f t="array" ref="I113">IF(OR($F113="P",$F113="M"),"", _xlfn.XLOOKUP($G113, Role_codes!$A$2:$A$16, _xlfn.CHOOSECOLS(Role_codes!$D$2:$E$16, IF($F113="C",1,2)),""))</f>
        <v/>
      </c>
      <c r="J113" s="3"/>
      <c r="K113" s="21" t="str">
        <f t="shared" si="6"/>
        <v/>
      </c>
      <c r="L113" s="21" t="str">
        <f t="shared" si="7"/>
        <v/>
      </c>
    </row>
    <row r="114" spans="9:12" x14ac:dyDescent="0.35">
      <c r="I114" s="21" t="str">
        <f t="array" ref="I114">IF(OR($F114="P",$F114="M"),"", _xlfn.XLOOKUP($G114, Role_codes!$A$2:$A$16, _xlfn.CHOOSECOLS(Role_codes!$D$2:$E$16, IF($F114="C",1,2)),""))</f>
        <v/>
      </c>
      <c r="J114" s="3"/>
      <c r="K114" s="21" t="str">
        <f t="shared" si="6"/>
        <v/>
      </c>
      <c r="L114" s="21" t="str">
        <f t="shared" si="7"/>
        <v/>
      </c>
    </row>
    <row r="115" spans="9:12" x14ac:dyDescent="0.35">
      <c r="I115" s="21" t="str">
        <f t="array" ref="I115">IF(OR($F115="P",$F115="M"),"", _xlfn.XLOOKUP($G115, Role_codes!$A$2:$A$16, _xlfn.CHOOSECOLS(Role_codes!$D$2:$E$16, IF($F115="C",1,2)),""))</f>
        <v/>
      </c>
      <c r="J115" s="3"/>
      <c r="K115" s="21" t="str">
        <f t="shared" si="6"/>
        <v/>
      </c>
      <c r="L115" s="21" t="str">
        <f t="shared" si="7"/>
        <v/>
      </c>
    </row>
    <row r="116" spans="9:12" x14ac:dyDescent="0.35">
      <c r="I116" s="21" t="str">
        <f t="array" ref="I116">IF(OR($F116="P",$F116="M"),"", _xlfn.XLOOKUP($G116, Role_codes!$A$2:$A$16, _xlfn.CHOOSECOLS(Role_codes!$D$2:$E$16, IF($F116="C",1,2)),""))</f>
        <v/>
      </c>
      <c r="J116" s="3"/>
      <c r="K116" s="21" t="str">
        <f t="shared" si="6"/>
        <v/>
      </c>
      <c r="L116" s="21" t="str">
        <f t="shared" si="7"/>
        <v/>
      </c>
    </row>
    <row r="117" spans="9:12" x14ac:dyDescent="0.35">
      <c r="I117" s="21" t="str">
        <f t="array" ref="I117">IF(OR($F117="P",$F117="M"),"", _xlfn.XLOOKUP($G117, Role_codes!$A$2:$A$16, _xlfn.CHOOSECOLS(Role_codes!$D$2:$E$16, IF($F117="C",1,2)),""))</f>
        <v/>
      </c>
      <c r="J117" s="3"/>
      <c r="K117" s="21" t="str">
        <f t="shared" si="6"/>
        <v/>
      </c>
      <c r="L117" s="21" t="str">
        <f t="shared" si="7"/>
        <v/>
      </c>
    </row>
    <row r="118" spans="9:12" x14ac:dyDescent="0.35">
      <c r="I118" s="21" t="str">
        <f t="array" ref="I118">IF(OR($F118="P",$F118="M"),"", _xlfn.XLOOKUP($G118, Role_codes!$A$2:$A$16, _xlfn.CHOOSECOLS(Role_codes!$D$2:$E$16, IF($F118="C",1,2)),""))</f>
        <v/>
      </c>
      <c r="J118" s="3"/>
      <c r="K118" s="21" t="str">
        <f t="shared" si="6"/>
        <v/>
      </c>
      <c r="L118" s="21" t="str">
        <f t="shared" si="7"/>
        <v/>
      </c>
    </row>
    <row r="119" spans="9:12" x14ac:dyDescent="0.35">
      <c r="I119" s="21" t="str">
        <f t="array" ref="I119">IF(OR($F119="P",$F119="M"),"", _xlfn.XLOOKUP($G119, Role_codes!$A$2:$A$16, _xlfn.CHOOSECOLS(Role_codes!$D$2:$E$16, IF($F119="C",1,2)),""))</f>
        <v/>
      </c>
      <c r="J119" s="3"/>
      <c r="K119" s="21" t="str">
        <f t="shared" si="6"/>
        <v/>
      </c>
      <c r="L119" s="21" t="str">
        <f t="shared" si="7"/>
        <v/>
      </c>
    </row>
    <row r="120" spans="9:12" x14ac:dyDescent="0.35">
      <c r="I120" s="21" t="str">
        <f t="array" ref="I120">IF(OR($F120="P",$F120="M"),"", _xlfn.XLOOKUP($G120, Role_codes!$A$2:$A$16, _xlfn.CHOOSECOLS(Role_codes!$D$2:$E$16, IF($F120="C",1,2)),""))</f>
        <v/>
      </c>
      <c r="J120" s="3"/>
      <c r="K120" s="21" t="str">
        <f t="shared" si="6"/>
        <v/>
      </c>
      <c r="L120" s="21" t="str">
        <f t="shared" si="7"/>
        <v/>
      </c>
    </row>
    <row r="121" spans="9:12" x14ac:dyDescent="0.35">
      <c r="I121" s="21" t="str">
        <f t="array" ref="I121">IF(OR($F121="P",$F121="M"),"", _xlfn.XLOOKUP($G121, Role_codes!$A$2:$A$16, _xlfn.CHOOSECOLS(Role_codes!$D$2:$E$16, IF($F121="C",1,2)),""))</f>
        <v/>
      </c>
      <c r="J121" s="3"/>
      <c r="K121" s="21" t="str">
        <f t="shared" si="6"/>
        <v/>
      </c>
      <c r="L121" s="21" t="str">
        <f t="shared" si="7"/>
        <v/>
      </c>
    </row>
    <row r="122" spans="9:12" x14ac:dyDescent="0.35">
      <c r="I122" s="21" t="str">
        <f t="array" ref="I122">IF(OR($F122="P",$F122="M"),"", _xlfn.XLOOKUP($G122, Role_codes!$A$2:$A$16, _xlfn.CHOOSECOLS(Role_codes!$D$2:$E$16, IF($F122="C",1,2)),""))</f>
        <v/>
      </c>
      <c r="J122" s="3"/>
      <c r="K122" s="21" t="str">
        <f t="shared" si="6"/>
        <v/>
      </c>
      <c r="L122" s="21" t="str">
        <f t="shared" si="7"/>
        <v/>
      </c>
    </row>
    <row r="123" spans="9:12" x14ac:dyDescent="0.35">
      <c r="I123" s="21" t="str">
        <f t="array" ref="I123">IF(OR($F123="P",$F123="M"),"", _xlfn.XLOOKUP($G123, Role_codes!$A$2:$A$16, _xlfn.CHOOSECOLS(Role_codes!$D$2:$E$16, IF($F123="C",1,2)),""))</f>
        <v/>
      </c>
      <c r="J123" s="3"/>
      <c r="K123" s="21" t="str">
        <f t="shared" si="6"/>
        <v/>
      </c>
      <c r="L123" s="21" t="str">
        <f t="shared" si="7"/>
        <v/>
      </c>
    </row>
    <row r="124" spans="9:12" x14ac:dyDescent="0.35">
      <c r="I124" s="21" t="str">
        <f t="array" ref="I124">IF(OR($F124="P",$F124="M"),"", _xlfn.XLOOKUP($G124, Role_codes!$A$2:$A$16, _xlfn.CHOOSECOLS(Role_codes!$D$2:$E$16, IF($F124="C",1,2)),""))</f>
        <v/>
      </c>
      <c r="J124" s="3"/>
      <c r="K124" s="21" t="str">
        <f t="shared" si="6"/>
        <v/>
      </c>
      <c r="L124" s="21" t="str">
        <f t="shared" si="7"/>
        <v/>
      </c>
    </row>
    <row r="125" spans="9:12" x14ac:dyDescent="0.35">
      <c r="I125" s="21" t="str">
        <f t="array" ref="I125">IF(OR($F125="P",$F125="M"),"", _xlfn.XLOOKUP($G125, Role_codes!$A$2:$A$16, _xlfn.CHOOSECOLS(Role_codes!$D$2:$E$16, IF($F125="C",1,2)),""))</f>
        <v/>
      </c>
      <c r="J125" s="3"/>
      <c r="K125" s="21" t="str">
        <f t="shared" si="6"/>
        <v/>
      </c>
      <c r="L125" s="21" t="str">
        <f t="shared" si="7"/>
        <v/>
      </c>
    </row>
    <row r="126" spans="9:12" x14ac:dyDescent="0.35">
      <c r="I126" s="21" t="str">
        <f t="array" ref="I126">IF(OR($F126="P",$F126="M"),"", _xlfn.XLOOKUP($G126, Role_codes!$A$2:$A$16, _xlfn.CHOOSECOLS(Role_codes!$D$2:$E$16, IF($F126="C",1,2)),""))</f>
        <v/>
      </c>
      <c r="J126" s="3"/>
      <c r="K126" s="21" t="str">
        <f t="shared" si="6"/>
        <v/>
      </c>
      <c r="L126" s="21" t="str">
        <f t="shared" si="7"/>
        <v/>
      </c>
    </row>
    <row r="127" spans="9:12" x14ac:dyDescent="0.35">
      <c r="I127" s="21" t="str">
        <f t="array" ref="I127">IF(OR($F127="P",$F127="M"),"", _xlfn.XLOOKUP($G127, Role_codes!$A$2:$A$16, _xlfn.CHOOSECOLS(Role_codes!$D$2:$E$16, IF($F127="C",1,2)),""))</f>
        <v/>
      </c>
      <c r="J127" s="3"/>
      <c r="K127" s="21" t="str">
        <f t="shared" si="6"/>
        <v/>
      </c>
      <c r="L127" s="21" t="str">
        <f t="shared" si="7"/>
        <v/>
      </c>
    </row>
    <row r="128" spans="9:12" x14ac:dyDescent="0.35">
      <c r="I128" s="21" t="str">
        <f t="array" ref="I128">IF(OR($F128="P",$F128="M"),"", _xlfn.XLOOKUP($G128, Role_codes!$A$2:$A$16, _xlfn.CHOOSECOLS(Role_codes!$D$2:$E$16, IF($F128="C",1,2)),""))</f>
        <v/>
      </c>
      <c r="J128" s="3"/>
      <c r="K128" s="21" t="str">
        <f t="shared" si="6"/>
        <v/>
      </c>
      <c r="L128" s="21" t="str">
        <f t="shared" si="7"/>
        <v/>
      </c>
    </row>
    <row r="129" spans="9:12" x14ac:dyDescent="0.35">
      <c r="I129" s="21" t="str">
        <f t="array" ref="I129">IF(OR($F129="P",$F129="M"),"", _xlfn.XLOOKUP($G129, Role_codes!$A$2:$A$16, _xlfn.CHOOSECOLS(Role_codes!$D$2:$E$16, IF($F129="C",1,2)),""))</f>
        <v/>
      </c>
      <c r="J129" s="3"/>
      <c r="K129" s="21" t="str">
        <f t="shared" si="6"/>
        <v/>
      </c>
      <c r="L129" s="21" t="str">
        <f t="shared" si="7"/>
        <v/>
      </c>
    </row>
    <row r="130" spans="9:12" x14ac:dyDescent="0.35">
      <c r="I130" s="21" t="str">
        <f t="array" ref="I130">IF(OR($F130="P",$F130="M"),"", _xlfn.XLOOKUP($G130, Role_codes!$A$2:$A$16, _xlfn.CHOOSECOLS(Role_codes!$D$2:$E$16, IF($F130="C",1,2)),""))</f>
        <v/>
      </c>
      <c r="J130" s="3"/>
      <c r="K130" s="21" t="str">
        <f t="shared" si="6"/>
        <v/>
      </c>
      <c r="L130" s="21" t="str">
        <f t="shared" si="7"/>
        <v/>
      </c>
    </row>
    <row r="131" spans="9:12" x14ac:dyDescent="0.35">
      <c r="I131" s="21" t="str">
        <f t="array" ref="I131">IF(OR($F131="P",$F131="M"),"", _xlfn.XLOOKUP($G131, Role_codes!$A$2:$A$16, _xlfn.CHOOSECOLS(Role_codes!$D$2:$E$16, IF($F131="C",1,2)),""))</f>
        <v/>
      </c>
      <c r="J131" s="3"/>
      <c r="K131" s="21" t="str">
        <f t="shared" si="6"/>
        <v/>
      </c>
      <c r="L131" s="21" t="str">
        <f t="shared" si="7"/>
        <v/>
      </c>
    </row>
    <row r="132" spans="9:12" x14ac:dyDescent="0.35">
      <c r="I132" s="21" t="str">
        <f t="array" ref="I132">IF(OR($F132="P",$F132="M"),"", _xlfn.XLOOKUP($G132, Role_codes!$A$2:$A$16, _xlfn.CHOOSECOLS(Role_codes!$D$2:$E$16, IF($F132="C",1,2)),""))</f>
        <v/>
      </c>
      <c r="J132" s="3"/>
      <c r="K132" s="21" t="str">
        <f t="shared" si="6"/>
        <v/>
      </c>
      <c r="L132" s="21" t="str">
        <f t="shared" si="7"/>
        <v/>
      </c>
    </row>
    <row r="133" spans="9:12" x14ac:dyDescent="0.35">
      <c r="I133" s="21" t="str">
        <f t="array" ref="I133">IF(OR($F133="P",$F133="M"),"", _xlfn.XLOOKUP($G133, Role_codes!$A$2:$A$16, _xlfn.CHOOSECOLS(Role_codes!$D$2:$E$16, IF($F133="C",1,2)),""))</f>
        <v/>
      </c>
      <c r="J133" s="3"/>
      <c r="K133" s="21" t="str">
        <f t="shared" si="6"/>
        <v/>
      </c>
      <c r="L133" s="21" t="str">
        <f t="shared" si="7"/>
        <v/>
      </c>
    </row>
    <row r="134" spans="9:12" x14ac:dyDescent="0.35">
      <c r="I134" s="21" t="str">
        <f t="array" ref="I134">IF(OR($F134="P",$F134="M"),"", _xlfn.XLOOKUP($G134, Role_codes!$A$2:$A$16, _xlfn.CHOOSECOLS(Role_codes!$D$2:$E$16, IF($F134="C",1,2)),""))</f>
        <v/>
      </c>
      <c r="J134" s="3"/>
      <c r="K134" s="21" t="str">
        <f t="shared" ref="K134:K165" si="8">IF(OR($F134="P",$F134="M"), J134, I134)</f>
        <v/>
      </c>
      <c r="L134" s="21" t="str">
        <f t="shared" ref="L134:L165" si="9">IF($A135="","", IF(OR($F134="P",$F134="M"), $J134/180, $J134))</f>
        <v/>
      </c>
    </row>
    <row r="135" spans="9:12" x14ac:dyDescent="0.35">
      <c r="I135" s="21" t="str">
        <f t="array" ref="I135">IF(OR($F135="P",$F135="M"),"", _xlfn.XLOOKUP($G135, Role_codes!$A$2:$A$16, _xlfn.CHOOSECOLS(Role_codes!$D$2:$E$16, IF($F135="C",1,2)),""))</f>
        <v/>
      </c>
      <c r="J135" s="3"/>
      <c r="K135" s="21" t="str">
        <f t="shared" si="8"/>
        <v/>
      </c>
      <c r="L135" s="21" t="str">
        <f t="shared" si="9"/>
        <v/>
      </c>
    </row>
    <row r="136" spans="9:12" x14ac:dyDescent="0.35">
      <c r="I136" s="21" t="str">
        <f t="array" ref="I136">IF(OR($F136="P",$F136="M"),"", _xlfn.XLOOKUP($G136, Role_codes!$A$2:$A$16, _xlfn.CHOOSECOLS(Role_codes!$D$2:$E$16, IF($F136="C",1,2)),""))</f>
        <v/>
      </c>
      <c r="J136" s="3"/>
      <c r="K136" s="21" t="str">
        <f t="shared" si="8"/>
        <v/>
      </c>
      <c r="L136" s="21" t="str">
        <f t="shared" si="9"/>
        <v/>
      </c>
    </row>
    <row r="137" spans="9:12" x14ac:dyDescent="0.35">
      <c r="I137" s="21" t="str">
        <f t="array" ref="I137">IF(OR($F137="P",$F137="M"),"", _xlfn.XLOOKUP($G137, Role_codes!$A$2:$A$16, _xlfn.CHOOSECOLS(Role_codes!$D$2:$E$16, IF($F137="C",1,2)),""))</f>
        <v/>
      </c>
      <c r="J137" s="3"/>
      <c r="K137" s="21" t="str">
        <f t="shared" si="8"/>
        <v/>
      </c>
      <c r="L137" s="21" t="str">
        <f t="shared" si="9"/>
        <v/>
      </c>
    </row>
    <row r="138" spans="9:12" x14ac:dyDescent="0.35">
      <c r="I138" s="21" t="str">
        <f t="array" ref="I138">IF(OR($F138="P",$F138="M"),"", _xlfn.XLOOKUP($G138, Role_codes!$A$2:$A$16, _xlfn.CHOOSECOLS(Role_codes!$D$2:$E$16, IF($F138="C",1,2)),""))</f>
        <v/>
      </c>
      <c r="J138" s="3"/>
      <c r="K138" s="21" t="str">
        <f t="shared" si="8"/>
        <v/>
      </c>
      <c r="L138" s="21" t="str">
        <f t="shared" si="9"/>
        <v/>
      </c>
    </row>
    <row r="139" spans="9:12" x14ac:dyDescent="0.35">
      <c r="I139" s="21" t="str">
        <f t="array" ref="I139">IF(OR($F139="P",$F139="M"),"", _xlfn.XLOOKUP($G139, Role_codes!$A$2:$A$16, _xlfn.CHOOSECOLS(Role_codes!$D$2:$E$16, IF($F139="C",1,2)),""))</f>
        <v/>
      </c>
      <c r="J139" s="3"/>
      <c r="K139" s="21" t="str">
        <f t="shared" si="8"/>
        <v/>
      </c>
      <c r="L139" s="21" t="str">
        <f t="shared" si="9"/>
        <v/>
      </c>
    </row>
    <row r="140" spans="9:12" x14ac:dyDescent="0.35">
      <c r="I140" s="21" t="str">
        <f t="array" ref="I140">IF(OR($F140="P",$F140="M"),"", _xlfn.XLOOKUP($G140, Role_codes!$A$2:$A$16, _xlfn.CHOOSECOLS(Role_codes!$D$2:$E$16, IF($F140="C",1,2)),""))</f>
        <v/>
      </c>
      <c r="J140" s="3"/>
      <c r="K140" s="21" t="str">
        <f t="shared" si="8"/>
        <v/>
      </c>
      <c r="L140" s="21" t="str">
        <f t="shared" si="9"/>
        <v/>
      </c>
    </row>
    <row r="141" spans="9:12" x14ac:dyDescent="0.35">
      <c r="I141" s="21" t="str">
        <f t="array" ref="I141">IF(OR($F141="P",$F141="M"),"", _xlfn.XLOOKUP($G141, Role_codes!$A$2:$A$16, _xlfn.CHOOSECOLS(Role_codes!$D$2:$E$16, IF($F141="C",1,2)),""))</f>
        <v/>
      </c>
      <c r="J141" s="3"/>
      <c r="K141" s="21" t="str">
        <f t="shared" si="8"/>
        <v/>
      </c>
      <c r="L141" s="21" t="str">
        <f t="shared" si="9"/>
        <v/>
      </c>
    </row>
    <row r="142" spans="9:12" x14ac:dyDescent="0.35">
      <c r="I142" s="21" t="str">
        <f t="array" ref="I142">IF(OR($F142="P",$F142="M"),"", _xlfn.XLOOKUP($G142, Role_codes!$A$2:$A$16, _xlfn.CHOOSECOLS(Role_codes!$D$2:$E$16, IF($F142="C",1,2)),""))</f>
        <v/>
      </c>
      <c r="J142" s="3"/>
      <c r="K142" s="21" t="str">
        <f t="shared" si="8"/>
        <v/>
      </c>
      <c r="L142" s="21" t="str">
        <f t="shared" si="9"/>
        <v/>
      </c>
    </row>
    <row r="143" spans="9:12" x14ac:dyDescent="0.35">
      <c r="I143" s="21" t="str">
        <f t="array" ref="I143">IF(OR($F143="P",$F143="M"),"", _xlfn.XLOOKUP($G143, Role_codes!$A$2:$A$16, _xlfn.CHOOSECOLS(Role_codes!$D$2:$E$16, IF($F143="C",1,2)),""))</f>
        <v/>
      </c>
      <c r="J143" s="3"/>
      <c r="K143" s="21" t="str">
        <f t="shared" si="8"/>
        <v/>
      </c>
      <c r="L143" s="21" t="str">
        <f t="shared" si="9"/>
        <v/>
      </c>
    </row>
    <row r="144" spans="9:12" x14ac:dyDescent="0.35">
      <c r="I144" s="21" t="str">
        <f t="array" ref="I144">IF(OR($F144="P",$F144="M"),"", _xlfn.XLOOKUP($G144, Role_codes!$A$2:$A$16, _xlfn.CHOOSECOLS(Role_codes!$D$2:$E$16, IF($F144="C",1,2)),""))</f>
        <v/>
      </c>
      <c r="J144" s="3"/>
      <c r="K144" s="21" t="str">
        <f t="shared" si="8"/>
        <v/>
      </c>
      <c r="L144" s="21" t="str">
        <f t="shared" si="9"/>
        <v/>
      </c>
    </row>
    <row r="145" spans="9:12" x14ac:dyDescent="0.35">
      <c r="I145" s="21" t="str">
        <f t="array" ref="I145">IF(OR($F145="P",$F145="M"),"", _xlfn.XLOOKUP($G145, Role_codes!$A$2:$A$16, _xlfn.CHOOSECOLS(Role_codes!$D$2:$E$16, IF($F145="C",1,2)),""))</f>
        <v/>
      </c>
      <c r="J145" s="3"/>
      <c r="K145" s="21" t="str">
        <f t="shared" si="8"/>
        <v/>
      </c>
      <c r="L145" s="21" t="str">
        <f t="shared" si="9"/>
        <v/>
      </c>
    </row>
    <row r="146" spans="9:12" x14ac:dyDescent="0.35">
      <c r="I146" s="21" t="str">
        <f t="array" ref="I146">IF(OR($F146="P",$F146="M"),"", _xlfn.XLOOKUP($G146, Role_codes!$A$2:$A$16, _xlfn.CHOOSECOLS(Role_codes!$D$2:$E$16, IF($F146="C",1,2)),""))</f>
        <v/>
      </c>
      <c r="J146" s="3"/>
      <c r="K146" s="21" t="str">
        <f t="shared" si="8"/>
        <v/>
      </c>
      <c r="L146" s="21" t="str">
        <f t="shared" si="9"/>
        <v/>
      </c>
    </row>
    <row r="147" spans="9:12" x14ac:dyDescent="0.35">
      <c r="I147" s="21" t="str">
        <f t="array" ref="I147">IF(OR($F147="P",$F147="M"),"", _xlfn.XLOOKUP($G147, Role_codes!$A$2:$A$16, _xlfn.CHOOSECOLS(Role_codes!$D$2:$E$16, IF($F147="C",1,2)),""))</f>
        <v/>
      </c>
      <c r="J147" s="3"/>
      <c r="K147" s="21" t="str">
        <f t="shared" si="8"/>
        <v/>
      </c>
      <c r="L147" s="21" t="str">
        <f t="shared" si="9"/>
        <v/>
      </c>
    </row>
    <row r="148" spans="9:12" x14ac:dyDescent="0.35">
      <c r="I148" s="21" t="str">
        <f t="array" ref="I148">IF(OR($F148="P",$F148="M"),"", _xlfn.XLOOKUP($G148, Role_codes!$A$2:$A$16, _xlfn.CHOOSECOLS(Role_codes!$D$2:$E$16, IF($F148="C",1,2)),""))</f>
        <v/>
      </c>
      <c r="J148" s="3"/>
      <c r="K148" s="21" t="str">
        <f t="shared" si="8"/>
        <v/>
      </c>
      <c r="L148" s="21" t="str">
        <f t="shared" si="9"/>
        <v/>
      </c>
    </row>
    <row r="149" spans="9:12" x14ac:dyDescent="0.35">
      <c r="I149" s="21" t="str">
        <f t="array" ref="I149">IF(OR($F149="P",$F149="M"),"", _xlfn.XLOOKUP($G149, Role_codes!$A$2:$A$16, _xlfn.CHOOSECOLS(Role_codes!$D$2:$E$16, IF($F149="C",1,2)),""))</f>
        <v/>
      </c>
      <c r="J149" s="3"/>
      <c r="K149" s="21" t="str">
        <f t="shared" si="8"/>
        <v/>
      </c>
      <c r="L149" s="21" t="str">
        <f t="shared" si="9"/>
        <v/>
      </c>
    </row>
    <row r="150" spans="9:12" x14ac:dyDescent="0.35">
      <c r="I150" s="21" t="str">
        <f t="array" ref="I150">IF(OR($F150="P",$F150="M"),"", _xlfn.XLOOKUP($G150, Role_codes!$A$2:$A$16, _xlfn.CHOOSECOLS(Role_codes!$D$2:$E$16, IF($F150="C",1,2)),""))</f>
        <v/>
      </c>
      <c r="J150" s="3"/>
      <c r="K150" s="21" t="str">
        <f t="shared" si="8"/>
        <v/>
      </c>
      <c r="L150" s="21" t="str">
        <f t="shared" si="9"/>
        <v/>
      </c>
    </row>
    <row r="151" spans="9:12" x14ac:dyDescent="0.35">
      <c r="I151" s="21" t="str">
        <f t="array" ref="I151">IF(OR($F151="P",$F151="M"),"", _xlfn.XLOOKUP($G151, Role_codes!$A$2:$A$16, _xlfn.CHOOSECOLS(Role_codes!$D$2:$E$16, IF($F151="C",1,2)),""))</f>
        <v/>
      </c>
      <c r="J151" s="3"/>
      <c r="K151" s="21" t="str">
        <f t="shared" si="8"/>
        <v/>
      </c>
      <c r="L151" s="21" t="str">
        <f t="shared" si="9"/>
        <v/>
      </c>
    </row>
    <row r="152" spans="9:12" x14ac:dyDescent="0.35">
      <c r="I152" s="21" t="str">
        <f t="array" ref="I152">IF(OR($F152="P",$F152="M"),"", _xlfn.XLOOKUP($G152, Role_codes!$A$2:$A$16, _xlfn.CHOOSECOLS(Role_codes!$D$2:$E$16, IF($F152="C",1,2)),""))</f>
        <v/>
      </c>
      <c r="J152" s="3"/>
      <c r="K152" s="21" t="str">
        <f t="shared" si="8"/>
        <v/>
      </c>
      <c r="L152" s="21" t="str">
        <f t="shared" si="9"/>
        <v/>
      </c>
    </row>
    <row r="153" spans="9:12" x14ac:dyDescent="0.35">
      <c r="I153" s="21" t="str">
        <f t="array" ref="I153">IF(OR($F153="P",$F153="M"),"", _xlfn.XLOOKUP($G153, Role_codes!$A$2:$A$16, _xlfn.CHOOSECOLS(Role_codes!$D$2:$E$16, IF($F153="C",1,2)),""))</f>
        <v/>
      </c>
      <c r="J153" s="3"/>
      <c r="K153" s="21" t="str">
        <f t="shared" si="8"/>
        <v/>
      </c>
      <c r="L153" s="21" t="str">
        <f t="shared" si="9"/>
        <v/>
      </c>
    </row>
    <row r="154" spans="9:12" x14ac:dyDescent="0.35">
      <c r="I154" s="21" t="str">
        <f t="array" ref="I154">IF(OR($F154="P",$F154="M"),"", _xlfn.XLOOKUP($G154, Role_codes!$A$2:$A$16, _xlfn.CHOOSECOLS(Role_codes!$D$2:$E$16, IF($F154="C",1,2)),""))</f>
        <v/>
      </c>
      <c r="J154" s="3"/>
      <c r="K154" s="21" t="str">
        <f t="shared" si="8"/>
        <v/>
      </c>
      <c r="L154" s="21" t="str">
        <f t="shared" si="9"/>
        <v/>
      </c>
    </row>
    <row r="155" spans="9:12" x14ac:dyDescent="0.35">
      <c r="I155" s="21" t="str">
        <f t="array" ref="I155">IF(OR($F155="P",$F155="M"),"", _xlfn.XLOOKUP($G155, Role_codes!$A$2:$A$16, _xlfn.CHOOSECOLS(Role_codes!$D$2:$E$16, IF($F155="C",1,2)),""))</f>
        <v/>
      </c>
      <c r="J155" s="3"/>
      <c r="K155" s="21" t="str">
        <f t="shared" si="8"/>
        <v/>
      </c>
      <c r="L155" s="21" t="str">
        <f t="shared" si="9"/>
        <v/>
      </c>
    </row>
    <row r="156" spans="9:12" x14ac:dyDescent="0.35">
      <c r="I156" s="21" t="str">
        <f t="array" ref="I156">IF(OR($F156="P",$F156="M"),"", _xlfn.XLOOKUP($G156, Role_codes!$A$2:$A$16, _xlfn.CHOOSECOLS(Role_codes!$D$2:$E$16, IF($F156="C",1,2)),""))</f>
        <v/>
      </c>
      <c r="J156" s="3"/>
      <c r="K156" s="21" t="str">
        <f t="shared" si="8"/>
        <v/>
      </c>
      <c r="L156" s="21" t="str">
        <f t="shared" si="9"/>
        <v/>
      </c>
    </row>
    <row r="157" spans="9:12" x14ac:dyDescent="0.35">
      <c r="I157" s="21" t="str">
        <f t="array" ref="I157">IF(OR($F157="P",$F157="M"),"", _xlfn.XLOOKUP($G157, Role_codes!$A$2:$A$16, _xlfn.CHOOSECOLS(Role_codes!$D$2:$E$16, IF($F157="C",1,2)),""))</f>
        <v/>
      </c>
      <c r="J157" s="3"/>
      <c r="K157" s="21" t="str">
        <f t="shared" si="8"/>
        <v/>
      </c>
      <c r="L157" s="21" t="str">
        <f t="shared" si="9"/>
        <v/>
      </c>
    </row>
    <row r="158" spans="9:12" x14ac:dyDescent="0.35">
      <c r="I158" s="21" t="str">
        <f t="array" ref="I158">IF(OR($F158="P",$F158="M"),"", _xlfn.XLOOKUP($G158, Role_codes!$A$2:$A$16, _xlfn.CHOOSECOLS(Role_codes!$D$2:$E$16, IF($F158="C",1,2)),""))</f>
        <v/>
      </c>
      <c r="J158" s="3"/>
      <c r="K158" s="21" t="str">
        <f t="shared" si="8"/>
        <v/>
      </c>
      <c r="L158" s="21" t="str">
        <f t="shared" si="9"/>
        <v/>
      </c>
    </row>
    <row r="159" spans="9:12" x14ac:dyDescent="0.35">
      <c r="I159" s="21" t="str">
        <f t="array" ref="I159">IF(OR($F159="P",$F159="M"),"", _xlfn.XLOOKUP($G159, Role_codes!$A$2:$A$16, _xlfn.CHOOSECOLS(Role_codes!$D$2:$E$16, IF($F159="C",1,2)),""))</f>
        <v/>
      </c>
      <c r="J159" s="3"/>
      <c r="K159" s="21" t="str">
        <f t="shared" si="8"/>
        <v/>
      </c>
      <c r="L159" s="21" t="str">
        <f t="shared" si="9"/>
        <v/>
      </c>
    </row>
    <row r="160" spans="9:12" x14ac:dyDescent="0.35">
      <c r="I160" s="21" t="str">
        <f t="array" ref="I160">IF(OR($F160="P",$F160="M"),"", _xlfn.XLOOKUP($G160, Role_codes!$A$2:$A$16, _xlfn.CHOOSECOLS(Role_codes!$D$2:$E$16, IF($F160="C",1,2)),""))</f>
        <v/>
      </c>
      <c r="J160" s="3"/>
      <c r="K160" s="21" t="str">
        <f t="shared" si="8"/>
        <v/>
      </c>
      <c r="L160" s="21" t="str">
        <f t="shared" si="9"/>
        <v/>
      </c>
    </row>
    <row r="161" spans="9:12" x14ac:dyDescent="0.35">
      <c r="I161" s="21" t="str">
        <f t="array" ref="I161">IF(OR($F161="P",$F161="M"),"", _xlfn.XLOOKUP($G161, Role_codes!$A$2:$A$16, _xlfn.CHOOSECOLS(Role_codes!$D$2:$E$16, IF($F161="C",1,2)),""))</f>
        <v/>
      </c>
      <c r="J161" s="3"/>
      <c r="K161" s="21" t="str">
        <f t="shared" si="8"/>
        <v/>
      </c>
      <c r="L161" s="21" t="str">
        <f t="shared" si="9"/>
        <v/>
      </c>
    </row>
    <row r="162" spans="9:12" x14ac:dyDescent="0.35">
      <c r="I162" s="21" t="str">
        <f t="array" ref="I162">IF(OR($F162="P",$F162="M"),"", _xlfn.XLOOKUP($G162, Role_codes!$A$2:$A$16, _xlfn.CHOOSECOLS(Role_codes!$D$2:$E$16, IF($F162="C",1,2)),""))</f>
        <v/>
      </c>
      <c r="J162" s="3"/>
      <c r="K162" s="21" t="str">
        <f t="shared" si="8"/>
        <v/>
      </c>
      <c r="L162" s="21" t="str">
        <f t="shared" si="9"/>
        <v/>
      </c>
    </row>
    <row r="163" spans="9:12" x14ac:dyDescent="0.35">
      <c r="I163" s="21" t="str">
        <f t="array" ref="I163">IF(OR($F163="P",$F163="M"),"", _xlfn.XLOOKUP($G163, Role_codes!$A$2:$A$16, _xlfn.CHOOSECOLS(Role_codes!$D$2:$E$16, IF($F163="C",1,2)),""))</f>
        <v/>
      </c>
      <c r="J163" s="3"/>
      <c r="K163" s="21" t="str">
        <f t="shared" si="8"/>
        <v/>
      </c>
      <c r="L163" s="21" t="str">
        <f t="shared" si="9"/>
        <v/>
      </c>
    </row>
    <row r="164" spans="9:12" x14ac:dyDescent="0.35">
      <c r="I164" s="21" t="str">
        <f t="array" ref="I164">IF(OR($F164="P",$F164="M"),"", _xlfn.XLOOKUP($G164, Role_codes!$A$2:$A$16, _xlfn.CHOOSECOLS(Role_codes!$D$2:$E$16, IF($F164="C",1,2)),""))</f>
        <v/>
      </c>
      <c r="J164" s="3"/>
      <c r="K164" s="21" t="str">
        <f t="shared" si="8"/>
        <v/>
      </c>
      <c r="L164" s="21" t="str">
        <f t="shared" si="9"/>
        <v/>
      </c>
    </row>
    <row r="165" spans="9:12" x14ac:dyDescent="0.35">
      <c r="I165" s="21" t="str">
        <f t="array" ref="I165">IF(OR($F165="P",$F165="M"),"", _xlfn.XLOOKUP($G165, Role_codes!$A$2:$A$16, _xlfn.CHOOSECOLS(Role_codes!$D$2:$E$16, IF($F165="C",1,2)),""))</f>
        <v/>
      </c>
      <c r="J165" s="3"/>
      <c r="K165" s="21" t="str">
        <f t="shared" si="8"/>
        <v/>
      </c>
      <c r="L165" s="21" t="str">
        <f t="shared" si="9"/>
        <v/>
      </c>
    </row>
    <row r="166" spans="9:12" x14ac:dyDescent="0.35">
      <c r="I166" s="21" t="str">
        <f t="array" ref="I166">IF(OR($F166="P",$F166="M"),"", _xlfn.XLOOKUP($G166, Role_codes!$A$2:$A$16, _xlfn.CHOOSECOLS(Role_codes!$D$2:$E$16, IF($F166="C",1,2)),""))</f>
        <v/>
      </c>
      <c r="J166" s="3"/>
      <c r="K166" s="21" t="str">
        <f t="shared" ref="K166:K197" si="10">IF(OR($F166="P",$F166="M"), J166, I166)</f>
        <v/>
      </c>
      <c r="L166" s="21" t="str">
        <f t="shared" ref="L166:L200" si="11">IF($A167="","", IF(OR($F166="P",$F166="M"), $J166/180, $J166))</f>
        <v/>
      </c>
    </row>
    <row r="167" spans="9:12" x14ac:dyDescent="0.35">
      <c r="I167" s="21" t="str">
        <f t="array" ref="I167">IF(OR($F167="P",$F167="M"),"", _xlfn.XLOOKUP($G167, Role_codes!$A$2:$A$16, _xlfn.CHOOSECOLS(Role_codes!$D$2:$E$16, IF($F167="C",1,2)),""))</f>
        <v/>
      </c>
      <c r="J167" s="3"/>
      <c r="K167" s="21" t="str">
        <f t="shared" si="10"/>
        <v/>
      </c>
      <c r="L167" s="21" t="str">
        <f t="shared" si="11"/>
        <v/>
      </c>
    </row>
    <row r="168" spans="9:12" x14ac:dyDescent="0.35">
      <c r="I168" s="21" t="str">
        <f t="array" ref="I168">IF(OR($F168="P",$F168="M"),"", _xlfn.XLOOKUP($G168, Role_codes!$A$2:$A$16, _xlfn.CHOOSECOLS(Role_codes!$D$2:$E$16, IF($F168="C",1,2)),""))</f>
        <v/>
      </c>
      <c r="J168" s="3"/>
      <c r="K168" s="21" t="str">
        <f t="shared" si="10"/>
        <v/>
      </c>
      <c r="L168" s="21" t="str">
        <f t="shared" si="11"/>
        <v/>
      </c>
    </row>
    <row r="169" spans="9:12" x14ac:dyDescent="0.35">
      <c r="I169" s="21" t="str">
        <f t="array" ref="I169">IF(OR($F169="P",$F169="M"),"", _xlfn.XLOOKUP($G169, Role_codes!$A$2:$A$16, _xlfn.CHOOSECOLS(Role_codes!$D$2:$E$16, IF($F169="C",1,2)),""))</f>
        <v/>
      </c>
      <c r="J169" s="3"/>
      <c r="K169" s="21" t="str">
        <f t="shared" si="10"/>
        <v/>
      </c>
      <c r="L169" s="21" t="str">
        <f t="shared" si="11"/>
        <v/>
      </c>
    </row>
    <row r="170" spans="9:12" x14ac:dyDescent="0.35">
      <c r="I170" s="21" t="str">
        <f t="array" ref="I170">IF(OR($F170="P",$F170="M"),"", _xlfn.XLOOKUP($G170, Role_codes!$A$2:$A$16, _xlfn.CHOOSECOLS(Role_codes!$D$2:$E$16, IF($F170="C",1,2)),""))</f>
        <v/>
      </c>
      <c r="J170" s="3"/>
      <c r="K170" s="21" t="str">
        <f t="shared" si="10"/>
        <v/>
      </c>
      <c r="L170" s="21" t="str">
        <f t="shared" si="11"/>
        <v/>
      </c>
    </row>
    <row r="171" spans="9:12" x14ac:dyDescent="0.35">
      <c r="I171" s="21" t="str">
        <f t="array" ref="I171">IF(OR($F171="P",$F171="M"),"", _xlfn.XLOOKUP($G171, Role_codes!$A$2:$A$16, _xlfn.CHOOSECOLS(Role_codes!$D$2:$E$16, IF($F171="C",1,2)),""))</f>
        <v/>
      </c>
      <c r="J171" s="3"/>
      <c r="K171" s="21" t="str">
        <f t="shared" si="10"/>
        <v/>
      </c>
      <c r="L171" s="21" t="str">
        <f t="shared" si="11"/>
        <v/>
      </c>
    </row>
    <row r="172" spans="9:12" x14ac:dyDescent="0.35">
      <c r="I172" s="21" t="str">
        <f t="array" ref="I172">IF(OR($F172="P",$F172="M"),"", _xlfn.XLOOKUP($G172, Role_codes!$A$2:$A$16, _xlfn.CHOOSECOLS(Role_codes!$D$2:$E$16, IF($F172="C",1,2)),""))</f>
        <v/>
      </c>
      <c r="J172" s="3"/>
      <c r="K172" s="21" t="str">
        <f t="shared" si="10"/>
        <v/>
      </c>
      <c r="L172" s="21" t="str">
        <f t="shared" si="11"/>
        <v/>
      </c>
    </row>
    <row r="173" spans="9:12" x14ac:dyDescent="0.35">
      <c r="I173" s="21" t="str">
        <f t="array" ref="I173">IF(OR($F173="P",$F173="M"),"", _xlfn.XLOOKUP($G173, Role_codes!$A$2:$A$16, _xlfn.CHOOSECOLS(Role_codes!$D$2:$E$16, IF($F173="C",1,2)),""))</f>
        <v/>
      </c>
      <c r="J173" s="3"/>
      <c r="K173" s="21" t="str">
        <f t="shared" si="10"/>
        <v/>
      </c>
      <c r="L173" s="21" t="str">
        <f t="shared" si="11"/>
        <v/>
      </c>
    </row>
    <row r="174" spans="9:12" x14ac:dyDescent="0.35">
      <c r="I174" s="21" t="str">
        <f t="array" ref="I174">IF(OR($F174="P",$F174="M"),"", _xlfn.XLOOKUP($G174, Role_codes!$A$2:$A$16, _xlfn.CHOOSECOLS(Role_codes!$D$2:$E$16, IF($F174="C",1,2)),""))</f>
        <v/>
      </c>
      <c r="J174" s="3"/>
      <c r="K174" s="21" t="str">
        <f t="shared" si="10"/>
        <v/>
      </c>
      <c r="L174" s="21" t="str">
        <f t="shared" si="11"/>
        <v/>
      </c>
    </row>
    <row r="175" spans="9:12" x14ac:dyDescent="0.35">
      <c r="I175" s="21" t="str">
        <f t="array" ref="I175">IF(OR($F175="P",$F175="M"),"", _xlfn.XLOOKUP($G175, Role_codes!$A$2:$A$16, _xlfn.CHOOSECOLS(Role_codes!$D$2:$E$16, IF($F175="C",1,2)),""))</f>
        <v/>
      </c>
      <c r="J175" s="3"/>
      <c r="K175" s="21" t="str">
        <f t="shared" si="10"/>
        <v/>
      </c>
      <c r="L175" s="21" t="str">
        <f t="shared" si="11"/>
        <v/>
      </c>
    </row>
    <row r="176" spans="9:12" x14ac:dyDescent="0.35">
      <c r="I176" s="21" t="str">
        <f t="array" ref="I176">IF(OR($F176="P",$F176="M"),"", _xlfn.XLOOKUP($G176, Role_codes!$A$2:$A$16, _xlfn.CHOOSECOLS(Role_codes!$D$2:$E$16, IF($F176="C",1,2)),""))</f>
        <v/>
      </c>
      <c r="J176" s="3"/>
      <c r="K176" s="21" t="str">
        <f t="shared" si="10"/>
        <v/>
      </c>
      <c r="L176" s="21" t="str">
        <f t="shared" si="11"/>
        <v/>
      </c>
    </row>
    <row r="177" spans="9:12" x14ac:dyDescent="0.35">
      <c r="I177" s="21" t="str">
        <f t="array" ref="I177">IF(OR($F177="P",$F177="M"),"", _xlfn.XLOOKUP($G177, Role_codes!$A$2:$A$16, _xlfn.CHOOSECOLS(Role_codes!$D$2:$E$16, IF($F177="C",1,2)),""))</f>
        <v/>
      </c>
      <c r="J177" s="3"/>
      <c r="K177" s="21" t="str">
        <f t="shared" si="10"/>
        <v/>
      </c>
      <c r="L177" s="21" t="str">
        <f t="shared" si="11"/>
        <v/>
      </c>
    </row>
    <row r="178" spans="9:12" x14ac:dyDescent="0.35">
      <c r="I178" s="21" t="str">
        <f t="array" ref="I178">IF(OR($F178="P",$F178="M"),"", _xlfn.XLOOKUP($G178, Role_codes!$A$2:$A$16, _xlfn.CHOOSECOLS(Role_codes!$D$2:$E$16, IF($F178="C",1,2)),""))</f>
        <v/>
      </c>
      <c r="J178" s="3"/>
      <c r="K178" s="21" t="str">
        <f t="shared" si="10"/>
        <v/>
      </c>
      <c r="L178" s="21" t="str">
        <f t="shared" si="11"/>
        <v/>
      </c>
    </row>
    <row r="179" spans="9:12" x14ac:dyDescent="0.35">
      <c r="I179" s="21" t="str">
        <f t="array" ref="I179">IF(OR($F179="P",$F179="M"),"", _xlfn.XLOOKUP($G179, Role_codes!$A$2:$A$16, _xlfn.CHOOSECOLS(Role_codes!$D$2:$E$16, IF($F179="C",1,2)),""))</f>
        <v/>
      </c>
      <c r="J179" s="3"/>
      <c r="K179" s="21" t="str">
        <f t="shared" si="10"/>
        <v/>
      </c>
      <c r="L179" s="21" t="str">
        <f t="shared" si="11"/>
        <v/>
      </c>
    </row>
    <row r="180" spans="9:12" x14ac:dyDescent="0.35">
      <c r="I180" s="21" t="str">
        <f t="array" ref="I180">IF(OR($F180="P",$F180="M"),"", _xlfn.XLOOKUP($G180, Role_codes!$A$2:$A$16, _xlfn.CHOOSECOLS(Role_codes!$D$2:$E$16, IF($F180="C",1,2)),""))</f>
        <v/>
      </c>
      <c r="J180" s="3"/>
      <c r="K180" s="21" t="str">
        <f t="shared" si="10"/>
        <v/>
      </c>
      <c r="L180" s="21" t="str">
        <f t="shared" si="11"/>
        <v/>
      </c>
    </row>
    <row r="181" spans="9:12" x14ac:dyDescent="0.35">
      <c r="I181" s="21" t="str">
        <f t="array" ref="I181">IF(OR($F181="P",$F181="M"),"", _xlfn.XLOOKUP($G181, Role_codes!$A$2:$A$16, _xlfn.CHOOSECOLS(Role_codes!$D$2:$E$16, IF($F181="C",1,2)),""))</f>
        <v/>
      </c>
      <c r="J181" s="3"/>
      <c r="K181" s="21" t="str">
        <f t="shared" si="10"/>
        <v/>
      </c>
      <c r="L181" s="21" t="str">
        <f t="shared" si="11"/>
        <v/>
      </c>
    </row>
    <row r="182" spans="9:12" x14ac:dyDescent="0.35">
      <c r="I182" s="21" t="str">
        <f t="array" ref="I182">IF(OR($F182="P",$F182="M"),"", _xlfn.XLOOKUP($G182, Role_codes!$A$2:$A$16, _xlfn.CHOOSECOLS(Role_codes!$D$2:$E$16, IF($F182="C",1,2)),""))</f>
        <v/>
      </c>
      <c r="J182" s="3"/>
      <c r="K182" s="21" t="str">
        <f t="shared" si="10"/>
        <v/>
      </c>
      <c r="L182" s="21" t="str">
        <f t="shared" si="11"/>
        <v/>
      </c>
    </row>
    <row r="183" spans="9:12" x14ac:dyDescent="0.35">
      <c r="I183" s="21" t="str">
        <f t="array" ref="I183">IF(OR($F183="P",$F183="M"),"", _xlfn.XLOOKUP($G183, Role_codes!$A$2:$A$16, _xlfn.CHOOSECOLS(Role_codes!$D$2:$E$16, IF($F183="C",1,2)),""))</f>
        <v/>
      </c>
      <c r="J183" s="3"/>
      <c r="K183" s="21" t="str">
        <f t="shared" si="10"/>
        <v/>
      </c>
      <c r="L183" s="21" t="str">
        <f t="shared" si="11"/>
        <v/>
      </c>
    </row>
    <row r="184" spans="9:12" x14ac:dyDescent="0.35">
      <c r="I184" s="21" t="str">
        <f t="array" ref="I184">IF(OR($F184="P",$F184="M"),"", _xlfn.XLOOKUP($G184, Role_codes!$A$2:$A$16, _xlfn.CHOOSECOLS(Role_codes!$D$2:$E$16, IF($F184="C",1,2)),""))</f>
        <v/>
      </c>
      <c r="J184" s="3"/>
      <c r="K184" s="21" t="str">
        <f t="shared" si="10"/>
        <v/>
      </c>
      <c r="L184" s="21" t="str">
        <f t="shared" si="11"/>
        <v/>
      </c>
    </row>
    <row r="185" spans="9:12" x14ac:dyDescent="0.35">
      <c r="I185" s="21" t="str">
        <f t="array" ref="I185">IF(OR($F185="P",$F185="M"),"", _xlfn.XLOOKUP($G185, Role_codes!$A$2:$A$16, _xlfn.CHOOSECOLS(Role_codes!$D$2:$E$16, IF($F185="C",1,2)),""))</f>
        <v/>
      </c>
      <c r="J185" s="3"/>
      <c r="K185" s="21" t="str">
        <f t="shared" si="10"/>
        <v/>
      </c>
      <c r="L185" s="21" t="str">
        <f t="shared" si="11"/>
        <v/>
      </c>
    </row>
    <row r="186" spans="9:12" x14ac:dyDescent="0.35">
      <c r="I186" s="21" t="str">
        <f t="array" ref="I186">IF(OR($F186="P",$F186="M"),"", _xlfn.XLOOKUP($G186, Role_codes!$A$2:$A$16, _xlfn.CHOOSECOLS(Role_codes!$D$2:$E$16, IF($F186="C",1,2)),""))</f>
        <v/>
      </c>
      <c r="J186" s="3"/>
      <c r="K186" s="21" t="str">
        <f t="shared" si="10"/>
        <v/>
      </c>
      <c r="L186" s="21" t="str">
        <f t="shared" si="11"/>
        <v/>
      </c>
    </row>
    <row r="187" spans="9:12" x14ac:dyDescent="0.35">
      <c r="I187" s="21" t="str">
        <f t="array" ref="I187">IF(OR($F187="P",$F187="M"),"", _xlfn.XLOOKUP($G187, Role_codes!$A$2:$A$16, _xlfn.CHOOSECOLS(Role_codes!$D$2:$E$16, IF($F187="C",1,2)),""))</f>
        <v/>
      </c>
      <c r="J187" s="3"/>
      <c r="K187" s="21" t="str">
        <f t="shared" si="10"/>
        <v/>
      </c>
      <c r="L187" s="21" t="str">
        <f t="shared" si="11"/>
        <v/>
      </c>
    </row>
    <row r="188" spans="9:12" x14ac:dyDescent="0.35">
      <c r="I188" s="21" t="str">
        <f t="array" ref="I188">IF(OR($F188="P",$F188="M"),"", _xlfn.XLOOKUP($G188, Role_codes!$A$2:$A$16, _xlfn.CHOOSECOLS(Role_codes!$D$2:$E$16, IF($F188="C",1,2)),""))</f>
        <v/>
      </c>
      <c r="J188" s="3"/>
      <c r="K188" s="21" t="str">
        <f t="shared" si="10"/>
        <v/>
      </c>
      <c r="L188" s="21" t="str">
        <f t="shared" si="11"/>
        <v/>
      </c>
    </row>
    <row r="189" spans="9:12" x14ac:dyDescent="0.35">
      <c r="I189" s="21" t="str">
        <f t="array" ref="I189">IF(OR($F189="P",$F189="M"),"", _xlfn.XLOOKUP($G189, Role_codes!$A$2:$A$16, _xlfn.CHOOSECOLS(Role_codes!$D$2:$E$16, IF($F189="C",1,2)),""))</f>
        <v/>
      </c>
      <c r="J189" s="3"/>
      <c r="K189" s="21" t="str">
        <f t="shared" si="10"/>
        <v/>
      </c>
      <c r="L189" s="21" t="str">
        <f t="shared" si="11"/>
        <v/>
      </c>
    </row>
    <row r="190" spans="9:12" x14ac:dyDescent="0.35">
      <c r="I190" s="21" t="str">
        <f t="array" ref="I190">IF(OR($F190="P",$F190="M"),"", _xlfn.XLOOKUP($G190, Role_codes!$A$2:$A$16, _xlfn.CHOOSECOLS(Role_codes!$D$2:$E$16, IF($F190="C",1,2)),""))</f>
        <v/>
      </c>
      <c r="J190" s="3"/>
      <c r="K190" s="21" t="str">
        <f t="shared" si="10"/>
        <v/>
      </c>
      <c r="L190" s="21" t="str">
        <f t="shared" si="11"/>
        <v/>
      </c>
    </row>
    <row r="191" spans="9:12" x14ac:dyDescent="0.35">
      <c r="I191" s="21" t="str">
        <f t="array" ref="I191">IF(OR($F191="P",$F191="M"),"", _xlfn.XLOOKUP($G191, Role_codes!$A$2:$A$16, _xlfn.CHOOSECOLS(Role_codes!$D$2:$E$16, IF($F191="C",1,2)),""))</f>
        <v/>
      </c>
      <c r="J191" s="3"/>
      <c r="K191" s="21" t="str">
        <f t="shared" si="10"/>
        <v/>
      </c>
      <c r="L191" s="21" t="str">
        <f t="shared" si="11"/>
        <v/>
      </c>
    </row>
    <row r="192" spans="9:12" x14ac:dyDescent="0.35">
      <c r="I192" s="21" t="str">
        <f t="array" ref="I192">IF(OR($F192="P",$F192="M"),"", _xlfn.XLOOKUP($G192, Role_codes!$A$2:$A$16, _xlfn.CHOOSECOLS(Role_codes!$D$2:$E$16, IF($F192="C",1,2)),""))</f>
        <v/>
      </c>
      <c r="J192" s="3"/>
      <c r="K192" s="21" t="str">
        <f t="shared" si="10"/>
        <v/>
      </c>
      <c r="L192" s="21" t="str">
        <f t="shared" si="11"/>
        <v/>
      </c>
    </row>
    <row r="193" spans="9:12" x14ac:dyDescent="0.35">
      <c r="I193" s="21" t="str">
        <f t="array" ref="I193">IF(OR($F193="P",$F193="M"),"", _xlfn.XLOOKUP($G193, Role_codes!$A$2:$A$16, _xlfn.CHOOSECOLS(Role_codes!$D$2:$E$16, IF($F193="C",1,2)),""))</f>
        <v/>
      </c>
      <c r="J193" s="3"/>
      <c r="K193" s="21" t="str">
        <f t="shared" si="10"/>
        <v/>
      </c>
      <c r="L193" s="21" t="str">
        <f t="shared" si="11"/>
        <v/>
      </c>
    </row>
    <row r="194" spans="9:12" x14ac:dyDescent="0.35">
      <c r="I194" s="21" t="str">
        <f t="array" ref="I194">IF(OR($F194="P",$F194="M"),"", _xlfn.XLOOKUP($G194, Role_codes!$A$2:$A$16, _xlfn.CHOOSECOLS(Role_codes!$D$2:$E$16, IF($F194="C",1,2)),""))</f>
        <v/>
      </c>
      <c r="J194" s="3"/>
      <c r="K194" s="21" t="str">
        <f t="shared" si="10"/>
        <v/>
      </c>
      <c r="L194" s="21" t="str">
        <f t="shared" si="11"/>
        <v/>
      </c>
    </row>
    <row r="195" spans="9:12" x14ac:dyDescent="0.35">
      <c r="I195" s="21" t="str">
        <f t="array" ref="I195">IF(OR($F195="P",$F195="M"),"", _xlfn.XLOOKUP($G195, Role_codes!$A$2:$A$16, _xlfn.CHOOSECOLS(Role_codes!$D$2:$E$16, IF($F195="C",1,2)),""))</f>
        <v/>
      </c>
      <c r="J195" s="3"/>
      <c r="K195" s="21" t="str">
        <f t="shared" si="10"/>
        <v/>
      </c>
      <c r="L195" s="21" t="str">
        <f t="shared" si="11"/>
        <v/>
      </c>
    </row>
    <row r="196" spans="9:12" x14ac:dyDescent="0.35">
      <c r="I196" s="21" t="str">
        <f t="array" ref="I196">IF(OR($F196="P",$F196="M"),"", _xlfn.XLOOKUP($G196, Role_codes!$A$2:$A$16, _xlfn.CHOOSECOLS(Role_codes!$D$2:$E$16, IF($F196="C",1,2)),""))</f>
        <v/>
      </c>
      <c r="J196" s="3"/>
      <c r="K196" s="21" t="str">
        <f t="shared" si="10"/>
        <v/>
      </c>
      <c r="L196" s="21" t="str">
        <f t="shared" si="11"/>
        <v/>
      </c>
    </row>
    <row r="197" spans="9:12" x14ac:dyDescent="0.35">
      <c r="I197" s="21" t="str">
        <f t="array" ref="I197">IF(OR($F197="P",$F197="M"),"", _xlfn.XLOOKUP($G197, Role_codes!$A$2:$A$16, _xlfn.CHOOSECOLS(Role_codes!$D$2:$E$16, IF($F197="C",1,2)),""))</f>
        <v/>
      </c>
      <c r="J197" s="3"/>
      <c r="K197" s="21" t="str">
        <f t="shared" si="10"/>
        <v/>
      </c>
      <c r="L197" s="21" t="str">
        <f t="shared" si="11"/>
        <v/>
      </c>
    </row>
    <row r="198" spans="9:12" x14ac:dyDescent="0.35">
      <c r="I198" s="21" t="str">
        <f t="array" ref="I198">IF(OR($F198="P",$F198="M"),"", _xlfn.XLOOKUP($G198, Role_codes!$A$2:$A$16, _xlfn.CHOOSECOLS(Role_codes!$D$2:$E$16, IF($F198="C",1,2)),""))</f>
        <v/>
      </c>
      <c r="J198" s="3"/>
      <c r="K198" s="21" t="str">
        <f t="shared" ref="K198:K229" si="12">IF(OR($F198="P",$F198="M"), J198, I198)</f>
        <v/>
      </c>
      <c r="L198" s="21" t="str">
        <f t="shared" si="11"/>
        <v/>
      </c>
    </row>
    <row r="199" spans="9:12" x14ac:dyDescent="0.35">
      <c r="I199" s="21" t="str">
        <f t="array" ref="I199">IF(OR($F199="P",$F199="M"),"", _xlfn.XLOOKUP($G199, Role_codes!$A$2:$A$16, _xlfn.CHOOSECOLS(Role_codes!$D$2:$E$16, IF($F199="C",1,2)),""))</f>
        <v/>
      </c>
      <c r="J199" s="3"/>
      <c r="K199" s="21" t="str">
        <f t="shared" si="12"/>
        <v/>
      </c>
      <c r="L199" s="21" t="str">
        <f t="shared" si="11"/>
        <v/>
      </c>
    </row>
    <row r="200" spans="9:12" x14ac:dyDescent="0.35">
      <c r="I200" s="21" t="str">
        <f t="array" ref="I200">IF(OR($F200="P",$F200="M"),"", _xlfn.XLOOKUP($G200, Role_codes!$A$2:$A$16, _xlfn.CHOOSECOLS(Role_codes!$D$2:$E$16, IF($F200="C",1,2)),""))</f>
        <v/>
      </c>
      <c r="J200" s="3"/>
      <c r="K200" s="21" t="str">
        <f t="shared" si="12"/>
        <v/>
      </c>
      <c r="L200" s="21" t="str">
        <f t="shared" si="11"/>
        <v/>
      </c>
    </row>
  </sheetData>
  <sheetProtection sheet="1" selectLockedCells="1"/>
  <mergeCells count="2">
    <mergeCell ref="A4:B4"/>
    <mergeCell ref="A1:D3"/>
  </mergeCells>
  <conditionalFormatting sqref="A6:K198">
    <cfRule type="expression" dxfId="2" priority="2">
      <formula>LEN($A8)&gt;0</formula>
    </cfRule>
  </conditionalFormatting>
  <conditionalFormatting sqref="A199:K200">
    <cfRule type="expression" dxfId="1" priority="6">
      <formula>LEN(#REF!)&gt;0</formula>
    </cfRule>
  </conditionalFormatting>
  <conditionalFormatting sqref="A6:L200">
    <cfRule type="expression" dxfId="0" priority="1">
      <formula>$A6&gt;0</formula>
    </cfRule>
  </conditionalFormatting>
  <dataValidations count="4">
    <dataValidation type="list" allowBlank="1" showInputMessage="1" showErrorMessage="1" sqref="F6:F200" xr:uid="{00000000-0002-0000-0400-000000000000}">
      <formula1>"ER, COUNTER ASSISTANT, CONFECTIONERY ASSISTANT, BAKERS ASSISTANT, CONFECTIONER, BAKER, BUTCHERY PACKER, BUTCHERY DEBONER, BUTCHERY SAUSAGE MAKER, BUTCHERY BLOCKMAN, DELI PREP, DELI PRODUCTION ASSISTANT, DEPT. SUPERVISOR, SUPERVISOR, MANAGER,"</formula1>
    </dataValidation>
    <dataValidation type="list" allowBlank="1" showInputMessage="1" showErrorMessage="1" sqref="G6:G200" xr:uid="{00000000-0002-0000-0400-000001000000}">
      <formula1>"P1, S1, C178, D123"</formula1>
    </dataValidation>
    <dataValidation type="list" allowBlank="1" showInputMessage="1" showErrorMessage="1" sqref="H6:H200" xr:uid="{00000000-0002-0000-0400-000002000000}">
      <formula1>"YES, NO"</formula1>
    </dataValidation>
    <dataValidation type="list" allowBlank="1" showInputMessage="1" showErrorMessage="1" sqref="B6:B200" xr:uid="{00000000-0002-0000-0400-000003000000}">
      <formula1>"FRONT END, FLOOR, BAKERY, BUTCHERY, DELI, MANAGEMENT"</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tint="-0.249977111117893"/>
  </sheetPr>
  <dimension ref="A1:H16"/>
  <sheetViews>
    <sheetView workbookViewId="0">
      <selection activeCell="E3" sqref="E3"/>
    </sheetView>
  </sheetViews>
  <sheetFormatPr defaultColWidth="8.7265625" defaultRowHeight="14.5" x14ac:dyDescent="0.35"/>
  <cols>
    <col min="1" max="1" width="9.26953125" style="1" bestFit="1" customWidth="1"/>
    <col min="2" max="2" width="15.7265625" style="1" customWidth="1"/>
    <col min="3" max="3" width="32.26953125" style="1" bestFit="1" customWidth="1"/>
    <col min="4" max="5" width="9.81640625" style="1" bestFit="1" customWidth="1"/>
    <col min="6" max="6" width="8.7265625" style="1" customWidth="1"/>
    <col min="7" max="16384" width="8.7265625" style="1"/>
  </cols>
  <sheetData>
    <row r="1" spans="1:8" s="12" customFormat="1" x14ac:dyDescent="0.35">
      <c r="A1" s="11" t="s">
        <v>128</v>
      </c>
      <c r="B1" s="11" t="s">
        <v>129</v>
      </c>
      <c r="C1" s="11" t="s">
        <v>130</v>
      </c>
      <c r="D1" s="11" t="s">
        <v>131</v>
      </c>
      <c r="E1" s="11" t="s">
        <v>132</v>
      </c>
    </row>
    <row r="2" spans="1:8" ht="16" customHeight="1" x14ac:dyDescent="0.4">
      <c r="A2" s="8" t="s">
        <v>133</v>
      </c>
      <c r="B2" s="8" t="s">
        <v>134</v>
      </c>
      <c r="C2" s="9" t="s">
        <v>8</v>
      </c>
      <c r="D2" s="10">
        <f>Gazetted_Rates!B7</f>
        <v>15.76</v>
      </c>
      <c r="E2" s="10">
        <f>Gazetted_Rates!C7</f>
        <v>19.7</v>
      </c>
      <c r="F2" s="13"/>
      <c r="G2" s="13"/>
      <c r="H2" s="13"/>
    </row>
    <row r="3" spans="1:8" ht="16" customHeight="1" x14ac:dyDescent="0.4">
      <c r="A3" s="8" t="s">
        <v>135</v>
      </c>
      <c r="B3" s="8" t="s">
        <v>136</v>
      </c>
      <c r="C3" s="9" t="s">
        <v>9</v>
      </c>
      <c r="D3" s="10">
        <f>Gazetted_Rates!B8</f>
        <v>17.39</v>
      </c>
      <c r="E3" s="10">
        <f>Gazetted_Rates!C8</f>
        <v>21.74</v>
      </c>
    </row>
    <row r="4" spans="1:8" ht="16" customHeight="1" x14ac:dyDescent="0.4">
      <c r="A4" s="8" t="s">
        <v>137</v>
      </c>
      <c r="B4" s="8" t="s">
        <v>138</v>
      </c>
      <c r="C4" s="9" t="s">
        <v>10</v>
      </c>
      <c r="D4" s="10">
        <f>Gazetted_Rates!B9</f>
        <v>15.87</v>
      </c>
      <c r="E4" s="10">
        <f>Gazetted_Rates!C9</f>
        <v>19.84</v>
      </c>
    </row>
    <row r="5" spans="1:8" ht="16" customHeight="1" x14ac:dyDescent="0.4">
      <c r="A5" s="8" t="s">
        <v>139</v>
      </c>
      <c r="B5" s="8" t="s">
        <v>140</v>
      </c>
      <c r="C5" s="9" t="s">
        <v>11</v>
      </c>
      <c r="D5" s="10">
        <f>Gazetted_Rates!B10</f>
        <v>16.28</v>
      </c>
      <c r="E5" s="10">
        <f>Gazetted_Rates!C10</f>
        <v>20.350000000000001</v>
      </c>
    </row>
    <row r="6" spans="1:8" ht="16" customHeight="1" x14ac:dyDescent="0.4">
      <c r="A6" s="8" t="s">
        <v>141</v>
      </c>
      <c r="B6" s="8" t="s">
        <v>142</v>
      </c>
      <c r="C6" s="9" t="s">
        <v>142</v>
      </c>
      <c r="D6" s="10">
        <f>Gazetted_Rates!B11</f>
        <v>17.13</v>
      </c>
      <c r="E6" s="10">
        <f>Gazetted_Rates!C11</f>
        <v>21.42</v>
      </c>
    </row>
    <row r="7" spans="1:8" ht="16" customHeight="1" x14ac:dyDescent="0.4">
      <c r="A7" s="8" t="s">
        <v>143</v>
      </c>
      <c r="B7" s="8" t="s">
        <v>13</v>
      </c>
      <c r="C7" s="9" t="s">
        <v>13</v>
      </c>
      <c r="D7" s="10">
        <f>Gazetted_Rates!B12</f>
        <v>18.16</v>
      </c>
      <c r="E7" s="10">
        <f>Gazetted_Rates!C12</f>
        <v>22.71</v>
      </c>
    </row>
    <row r="8" spans="1:8" ht="16" customHeight="1" x14ac:dyDescent="0.4">
      <c r="A8" s="8" t="s">
        <v>144</v>
      </c>
      <c r="B8" s="8" t="s">
        <v>145</v>
      </c>
      <c r="C8" s="9" t="s">
        <v>145</v>
      </c>
      <c r="D8" s="10">
        <f>Gazetted_Rates!B14</f>
        <v>21.5</v>
      </c>
      <c r="E8" s="10">
        <f>Gazetted_Rates!C14</f>
        <v>26.88</v>
      </c>
    </row>
    <row r="9" spans="1:8" ht="16" customHeight="1" x14ac:dyDescent="0.4">
      <c r="A9" s="8" t="s">
        <v>146</v>
      </c>
      <c r="B9" s="8" t="s">
        <v>101</v>
      </c>
      <c r="C9" s="9" t="s">
        <v>147</v>
      </c>
      <c r="D9" s="10">
        <f>Gazetted_Rates!B14</f>
        <v>21.5</v>
      </c>
      <c r="E9" s="10">
        <f>Gazetted_Rates!C14</f>
        <v>26.88</v>
      </c>
    </row>
    <row r="10" spans="1:8" ht="16" customHeight="1" x14ac:dyDescent="0.4">
      <c r="A10" s="8" t="s">
        <v>148</v>
      </c>
      <c r="B10" s="8" t="s">
        <v>149</v>
      </c>
      <c r="C10" s="9" t="s">
        <v>150</v>
      </c>
      <c r="D10" s="10">
        <f>Gazetted_Rates!B14</f>
        <v>21.5</v>
      </c>
      <c r="E10" s="10">
        <f>Gazetted_Rates!C14</f>
        <v>26.88</v>
      </c>
    </row>
    <row r="11" spans="1:8" ht="16" customHeight="1" x14ac:dyDescent="0.4">
      <c r="A11" s="8" t="s">
        <v>151</v>
      </c>
      <c r="B11" s="8" t="s">
        <v>114</v>
      </c>
      <c r="C11" s="9" t="s">
        <v>114</v>
      </c>
      <c r="D11" s="10">
        <f>Gazetted_Rates!B14</f>
        <v>21.5</v>
      </c>
      <c r="E11" s="10">
        <f>Gazetted_Rates!C14</f>
        <v>26.88</v>
      </c>
    </row>
    <row r="12" spans="1:8" ht="16" customHeight="1" x14ac:dyDescent="0.4">
      <c r="A12" s="8" t="s">
        <v>152</v>
      </c>
      <c r="B12" s="8" t="s">
        <v>153</v>
      </c>
      <c r="C12" s="9" t="s">
        <v>154</v>
      </c>
      <c r="D12" s="10">
        <f>Gazetted_Rates!B14</f>
        <v>21.5</v>
      </c>
      <c r="E12" s="10">
        <f>Gazetted_Rates!C14</f>
        <v>26.88</v>
      </c>
    </row>
    <row r="13" spans="1:8" ht="16" customHeight="1" x14ac:dyDescent="0.4">
      <c r="A13" s="8" t="s">
        <v>155</v>
      </c>
      <c r="B13" s="8" t="s">
        <v>19</v>
      </c>
      <c r="C13" s="9" t="s">
        <v>19</v>
      </c>
      <c r="D13" s="10">
        <f>Gazetted_Rates!B18</f>
        <v>26.03</v>
      </c>
      <c r="E13" s="10">
        <f>Gazetted_Rates!C18</f>
        <v>32.54</v>
      </c>
    </row>
    <row r="14" spans="1:8" ht="16" customHeight="1" x14ac:dyDescent="0.4">
      <c r="A14" s="8" t="s">
        <v>156</v>
      </c>
      <c r="B14" s="8" t="s">
        <v>157</v>
      </c>
      <c r="C14" s="9" t="s">
        <v>20</v>
      </c>
      <c r="D14" s="10">
        <f>Gazetted_Rates!B19</f>
        <v>27.86</v>
      </c>
      <c r="E14" s="10">
        <f>Gazetted_Rates!C19</f>
        <v>34.82</v>
      </c>
    </row>
    <row r="15" spans="1:8" ht="16" customHeight="1" x14ac:dyDescent="0.4">
      <c r="A15" s="8" t="s">
        <v>158</v>
      </c>
      <c r="B15" s="8" t="s">
        <v>107</v>
      </c>
      <c r="C15" s="9" t="s">
        <v>21</v>
      </c>
      <c r="D15" s="10">
        <f>Gazetted_Rates!B20</f>
        <v>30.7</v>
      </c>
      <c r="E15" s="10">
        <f>Gazetted_Rates!C20</f>
        <v>38.380000000000003</v>
      </c>
    </row>
    <row r="16" spans="1:8" ht="16" customHeight="1" x14ac:dyDescent="0.4">
      <c r="A16" s="8" t="s">
        <v>159</v>
      </c>
      <c r="B16" s="8" t="s">
        <v>22</v>
      </c>
      <c r="C16" s="9" t="s">
        <v>22</v>
      </c>
      <c r="D16" s="10">
        <f>Gazetted_Rates!B21</f>
        <v>33.299999999999997</v>
      </c>
      <c r="E16" s="10">
        <f>Gazetted_Rates!C21</f>
        <v>41.62</v>
      </c>
    </row>
  </sheetData>
  <sheetProtection sheet="1" selectLockedCells="1" selectUnlockedCell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README</vt:lpstr>
      <vt:lpstr>DocInfo &amp; Library</vt:lpstr>
      <vt:lpstr>Emp_List</vt:lpstr>
      <vt:lpstr>Gazetted_Rates</vt:lpstr>
      <vt:lpstr>HR_Private</vt:lpstr>
      <vt:lpstr>Role_codes</vt:lpstr>
      <vt:lpstr>README!Print_Area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Emp_List</dc:title>
  <dc:subject>Emp_list Portfolio</dc:subject>
  <dc:creator>Keith Coetzee</dc:creator>
  <cp:keywords>Employee;Portfolio</cp:keywords>
  <cp:lastModifiedBy>Keith Coetzee</cp:lastModifiedBy>
  <cp:lastPrinted>2026-06-26T10:09:19Z</cp:lastPrinted>
  <dcterms:created xsi:type="dcterms:W3CDTF">2026-04-26T16:52:07Z</dcterms:created>
  <dcterms:modified xsi:type="dcterms:W3CDTF">2026-06-26T10:11:26Z</dcterms:modified>
</cp:coreProperties>
</file>