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eith\Local Work Portfolio\GitHub\Run_Work_Sandbox\Business_Health_Report\"/>
    </mc:Choice>
  </mc:AlternateContent>
  <xr:revisionPtr revIDLastSave="0" documentId="13_ncr:1_{948222F0-5A0E-4372-86C4-CD1DBCC202DF}" xr6:coauthVersionLast="47" xr6:coauthVersionMax="47" xr10:uidLastSave="{00000000-0000-0000-0000-000000000000}"/>
  <workbookProtection workbookAlgorithmName="SHA-512" workbookHashValue="6LoHk6eV0FDmRNMfgMG/X+/hJe5tZCLlq7D9BdXcgoYopQRbNzT4MBrScuBN4UQjfunW8K5eQffVeBhEXVXY1g==" workbookSaltValue="06WndhcvZgxjdw0Nj9Pgug==" workbookSpinCount="100000" lockStructure="1"/>
  <bookViews>
    <workbookView xWindow="14070" yWindow="0" windowWidth="19470" windowHeight="20880" xr2:uid="{00000000-000D-0000-FFFF-FFFF00000000}"/>
  </bookViews>
  <sheets>
    <sheet name="Dashboard" sheetId="7" r:id="rId1"/>
    <sheet name="2026_Payments" sheetId="2" r:id="rId2"/>
    <sheet name="2026_Purchases" sheetId="3" r:id="rId3"/>
    <sheet name="2026_Sales" sheetId="4" r:id="rId4"/>
    <sheet name="2026_S&amp;W" sheetId="5" r:id="rId5"/>
    <sheet name="2026_BackDoor_GP%" sheetId="1" r:id="rId6"/>
    <sheet name="2026_Cash_Flow" sheetId="6" r:id="rId7"/>
  </sheets>
  <definedNames>
    <definedName name="ExternalData_1" localSheetId="1" hidden="1">'2026_Payments'!$A$1:$B$13</definedName>
    <definedName name="ExternalData_1" localSheetId="2" hidden="1">'2026_Purchases'!$A$1:$C$13</definedName>
    <definedName name="ExternalData_1" localSheetId="4" hidden="1">'2026_S&amp;W'!$A$1:$B$13</definedName>
    <definedName name="ExternalData_1" localSheetId="3" hidden="1">'2026_Sales'!$A$1:$C$13</definedName>
    <definedName name="_xlnm.Print_Area" localSheetId="0">Dashboard!$A$1:$O$66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D3" i="6"/>
  <c r="E3" i="6"/>
  <c r="C4" i="6"/>
  <c r="D4" i="6"/>
  <c r="E4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E2" i="6"/>
  <c r="D2" i="6"/>
  <c r="C2" i="6"/>
  <c r="B3" i="6"/>
  <c r="B4" i="6"/>
  <c r="B5" i="6"/>
  <c r="B6" i="6"/>
  <c r="B7" i="6"/>
  <c r="B8" i="6"/>
  <c r="B9" i="6"/>
  <c r="B10" i="6"/>
  <c r="B11" i="6"/>
  <c r="B12" i="6"/>
  <c r="B13" i="6"/>
  <c r="B2" i="6"/>
  <c r="A3" i="6"/>
  <c r="A4" i="6"/>
  <c r="A5" i="6"/>
  <c r="A6" i="6"/>
  <c r="A7" i="6"/>
  <c r="A8" i="6"/>
  <c r="A9" i="6"/>
  <c r="A10" i="6"/>
  <c r="A11" i="6"/>
  <c r="A12" i="6"/>
  <c r="A13" i="6"/>
  <c r="A2" i="6"/>
  <c r="E3" i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6" i="1"/>
  <c r="D7" i="1"/>
  <c r="D8" i="1"/>
  <c r="D9" i="1"/>
  <c r="D10" i="1"/>
  <c r="D11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  <c r="E2" i="4"/>
  <c r="E3" i="4"/>
  <c r="E4" i="4"/>
  <c r="E5" i="4"/>
  <c r="E6" i="4"/>
  <c r="E7" i="4"/>
  <c r="E8" i="4"/>
  <c r="E9" i="4"/>
  <c r="E10" i="4"/>
  <c r="E11" i="4"/>
  <c r="E12" i="4"/>
  <c r="E13" i="4"/>
  <c r="D4" i="4"/>
  <c r="D5" i="4"/>
  <c r="D6" i="4"/>
  <c r="D7" i="4"/>
  <c r="D8" i="4"/>
  <c r="D9" i="4"/>
  <c r="D10" i="4"/>
  <c r="D11" i="4"/>
  <c r="D12" i="4"/>
  <c r="D13" i="4"/>
  <c r="D3" i="4"/>
  <c r="D2" i="4"/>
  <c r="B3" i="1"/>
  <c r="B4" i="1"/>
  <c r="B5" i="1"/>
  <c r="B6" i="1"/>
  <c r="B7" i="1"/>
  <c r="B8" i="1"/>
  <c r="B9" i="1"/>
  <c r="B10" i="1"/>
  <c r="B11" i="1"/>
  <c r="B12" i="1"/>
  <c r="B13" i="1"/>
  <c r="B2" i="1"/>
  <c r="A12" i="1"/>
  <c r="A13" i="1"/>
  <c r="A5" i="1"/>
  <c r="A6" i="1"/>
  <c r="A7" i="1"/>
  <c r="A8" i="1"/>
  <c r="A9" i="1"/>
  <c r="A10" i="1"/>
  <c r="A11" i="1"/>
  <c r="A4" i="1"/>
  <c r="A3" i="1"/>
  <c r="A2" i="1"/>
  <c r="F3" i="6" l="1"/>
  <c r="F4" i="6"/>
  <c r="G4" i="6" s="1"/>
  <c r="F8" i="6"/>
  <c r="G8" i="6" s="1"/>
  <c r="F12" i="6"/>
  <c r="G12" i="6" s="1"/>
  <c r="F5" i="6"/>
  <c r="G5" i="6" s="1"/>
  <c r="F6" i="6"/>
  <c r="G6" i="6" s="1"/>
  <c r="F7" i="6"/>
  <c r="G7" i="6" s="1"/>
  <c r="F9" i="6"/>
  <c r="G9" i="6" s="1"/>
  <c r="F10" i="6"/>
  <c r="G10" i="6" s="1"/>
  <c r="F11" i="6"/>
  <c r="G11" i="6" s="1"/>
  <c r="F13" i="6"/>
  <c r="G13" i="6" s="1"/>
  <c r="D14" i="6"/>
  <c r="F2" i="6"/>
  <c r="G2" i="6" s="1"/>
  <c r="G3" i="6" l="1"/>
  <c r="F14" i="6"/>
  <c r="G14" i="6" s="1"/>
  <c r="G15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DD611-A001-49B1-8A4D-712941C782F5}" keepAlive="1" name="Query - 2020_Payments" description="Connection to the '2020_Payments' query in the workbook." type="5" refreshedVersion="8" background="1" saveData="1">
    <dbPr connection="Provider=Microsoft.Mashup.OleDb.1;Data Source=$Workbook$;Location=2020_Payments;Extended Properties=&quot;&quot;" command="SELECT * FROM [2020_Payments]"/>
  </connection>
  <connection id="2" xr16:uid="{1852FA2C-07D4-4DAB-AED0-11C8DB890B64}" keepAlive="1" name="Query - 2020_Purchases" description="Connection to the '2020_Purchases' query in the workbook." type="5" refreshedVersion="8" background="1" saveData="1">
    <dbPr connection="Provider=Microsoft.Mashup.OleDb.1;Data Source=$Workbook$;Location=2020_Purchases;Extended Properties=&quot;&quot;" command="SELECT * FROM [2020_Purchases]"/>
  </connection>
  <connection id="3" xr16:uid="{91803EC4-89DD-4EBA-981D-28D81EC70CDB}" keepAlive="1" name="Query - 2020_S&amp;W" description="Connection to the '2020_S&amp;W' query in the workbook." type="5" refreshedVersion="8" background="1" saveData="1">
    <dbPr connection="Provider=Microsoft.Mashup.OleDb.1;Data Source=$Workbook$;Location=2020_S&amp;W;Extended Properties=&quot;&quot;" command="SELECT * FROM [2020_S&amp;W]"/>
  </connection>
  <connection id="4" xr16:uid="{D20F34D4-01E1-4012-913E-E753EC886D58}" keepAlive="1" name="Query - 2020_Sales" description="Connection to the '2020_Sales' query in the workbook." type="5" refreshedVersion="8" background="1" saveData="1">
    <dbPr connection="Provider=Microsoft.Mashup.OleDb.1;Data Source=$Workbook$;Location=2020_Sales;Extended Properties=&quot;&quot;" command="SELECT * FROM [2020_Sales]"/>
  </connection>
</connections>
</file>

<file path=xl/sharedStrings.xml><?xml version="1.0" encoding="utf-8"?>
<sst xmlns="http://schemas.openxmlformats.org/spreadsheetml/2006/main" count="25" uniqueCount="13">
  <si>
    <t>Month</t>
  </si>
  <si>
    <t>Total Cost Ex</t>
  </si>
  <si>
    <t>No of Items</t>
  </si>
  <si>
    <t>Total Sales Ex</t>
  </si>
  <si>
    <t>Total Payments</t>
  </si>
  <si>
    <t>POS GP%</t>
  </si>
  <si>
    <t>POS GP Rands</t>
  </si>
  <si>
    <t>BackDoor_GP Rds</t>
  </si>
  <si>
    <t>BackDoor_GP%</t>
  </si>
  <si>
    <t>Total S&amp;W</t>
  </si>
  <si>
    <t>Actual_GP RDs</t>
  </si>
  <si>
    <t>Actual_GP%</t>
  </si>
  <si>
    <t>CFGP%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</si>
</sst>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&quot;#,##0.00;[Red]\-&quot;R&quot;#,##0.00"/>
    <numFmt numFmtId="164" formatCode="&quot;R&quot;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/>
    <xf numFmtId="0" fontId="2" fillId="0" borderId="0" xfId="0" applyFont="1"/>
    <xf numFmtId="8" fontId="2" fillId="0" borderId="0" xfId="0" applyNumberFormat="1" applyFont="1"/>
    <xf numFmtId="164" fontId="2" fillId="0" borderId="0" xfId="0" applyNumberFormat="1" applyFont="1"/>
    <xf numFmtId="0" fontId="2" fillId="2" borderId="0" xfId="0" applyFont="1" applyFill="1"/>
    <xf numFmtId="8" fontId="2" fillId="2" borderId="0" xfId="0" applyNumberFormat="1" applyFont="1" applyFill="1"/>
    <xf numFmtId="164" fontId="2" fillId="2" borderId="0" xfId="0" applyNumberFormat="1" applyFont="1" applyFill="1"/>
    <xf numFmtId="165" fontId="2" fillId="2" borderId="0" xfId="1" applyNumberFormat="1" applyFont="1" applyFill="1"/>
    <xf numFmtId="10" fontId="1" fillId="0" borderId="0" xfId="0" applyNumberFormat="1" applyFont="1"/>
    <xf numFmtId="10" fontId="2" fillId="0" borderId="0" xfId="1" applyNumberFormat="1" applyFont="1"/>
    <xf numFmtId="0" fontId="0" fillId="3" borderId="0" xfId="0" applyFill="1"/>
    <xf numFmtId="10" fontId="0" fillId="0" borderId="0" xfId="0" applyNumberFormat="1"/>
  </cellXfs>
  <cellStyles count="2">
    <cellStyle name="Normal" xfId="0" builtinId="0"/>
    <cellStyle name="Per cent" xfId="1" builtinId="5"/>
  </cellStyles>
  <dxfs count="38">
    <dxf>
      <numFmt numFmtId="12" formatCode="&quot;R&quot;#,##0.00;[Red]\-&quot;R&quot;#,##0.00"/>
    </dxf>
    <dxf>
      <numFmt numFmtId="19" formatCode="yyyy/mm/dd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color rgb="FFFF0000"/>
      </font>
    </dxf>
    <dxf>
      <font>
        <b val="0"/>
        <i val="0"/>
        <color rgb="FFFF0000"/>
      </font>
    </dxf>
    <dxf>
      <numFmt numFmtId="12" formatCode="&quot;R&quot;#,##0.00;[Red]\-&quot;R&quot;#,##0.00"/>
    </dxf>
    <dxf>
      <numFmt numFmtId="12" formatCode="&quot;R&quot;#,##0.00;[Red]\-&quot;R&quot;#,##0.00"/>
    </dxf>
    <dxf>
      <numFmt numFmtId="12" formatCode="&quot;R&quot;#,##0.00;[Red]\-&quot;R&quot;#,##0.00"/>
    </dxf>
    <dxf>
      <numFmt numFmtId="12" formatCode="&quot;R&quot;#,##0.00;[Red]\-&quot;R&quot;#,##0.00"/>
    </dxf>
    <dxf>
      <numFmt numFmtId="12" formatCode="&quot;R&quot;#,##0.00;[Red]\-&quot;R&quot;#,##0.00"/>
    </dxf>
    <dxf>
      <numFmt numFmtId="12" formatCode="&quot;R&quot;#,##0.00;[Red]\-&quot;R&quot;#,##0.00"/>
    </dxf>
    <dxf>
      <numFmt numFmtId="12" formatCode="&quot;R&quot;#,##0.00;[Red]\-&quot;R&quot;#,##0.00"/>
    </dxf>
    <dxf>
      <numFmt numFmtId="12" formatCode="&quot;R&quot;#,##0.00;[Red]\-&quot;R&quot;#,##0.00"/>
    </dxf>
    <dxf>
      <numFmt numFmtId="12" formatCode="&quot;R&quot;#,##0.00;[Red]\-&quot;R&quot;#,##0.00"/>
    </dxf>
    <dxf>
      <numFmt numFmtId="12" formatCode="&quot;R&quot;#,##0.00;[Red]\-&quot;R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numFmt numFmtId="12" formatCode="&quot;R&quot;#,##0.00;[Red]\-&quot;R&quot;#,##0.00"/>
    </dxf>
    <dxf>
      <numFmt numFmtId="164" formatCode="&quot;R&quot;#,##0.00"/>
    </dxf>
    <dxf>
      <numFmt numFmtId="12" formatCode="&quot;R&quot;#,##0.00;[Red]\-&quot;R&quot;#,##0.00"/>
    </dxf>
    <dxf>
      <numFmt numFmtId="19" formatCode="yyyy/mm/dd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numFmt numFmtId="14" formatCode="0.00%"/>
    </dxf>
    <dxf>
      <numFmt numFmtId="164" formatCode="&quot;R&quot;#,##0.00"/>
    </dxf>
    <dxf>
      <numFmt numFmtId="12" formatCode="&quot;R&quot;#,##0.00;[Red]\-&quot;R&quot;#,##0.00"/>
    </dxf>
    <dxf>
      <numFmt numFmtId="164" formatCode="&quot;R&quot;#,##0.00"/>
    </dxf>
    <dxf>
      <numFmt numFmtId="19" formatCode="yyyy/mm/dd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numFmt numFmtId="12" formatCode="&quot;R&quot;#,##0.00;[Red]\-&quot;R&quot;#,##0.00"/>
    </dxf>
    <dxf>
      <numFmt numFmtId="19" formatCode="yyyy/mm/dd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numFmt numFmtId="12" formatCode="&quot;R&quot;#,##0.00;[Red]\-&quot;R&quot;#,##0.00"/>
    </dxf>
    <dxf>
      <numFmt numFmtId="19" formatCode="yyyy/mm/dd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9" formatCode="yyyy/mm/dd"/>
    </dxf>
    <dxf>
      <numFmt numFmtId="19" formatCode="yyyy/mm/dd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 Cost Ex</a:t>
            </a:r>
          </a:p>
        </c:rich>
      </c:tx>
      <c:layout>
        <c:manualLayout>
          <c:xMode val="edge"/>
          <c:yMode val="edge"/>
          <c:x val="0.59481493144658859"/>
          <c:y val="0.885948499680783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9152258703439"/>
          <c:y val="9.6345945945945949E-2"/>
          <c:w val="0.77966441042662715"/>
          <c:h val="0.85608648648648644"/>
        </c:manualLayout>
      </c:layout>
      <c:lineChart>
        <c:grouping val="standard"/>
        <c:varyColors val="0"/>
        <c:ser>
          <c:idx val="0"/>
          <c:order val="0"/>
          <c:tx>
            <c:strRef>
              <c:f>'2026_Purchases'!$B$1</c:f>
              <c:strCache>
                <c:ptCount val="1"/>
                <c:pt idx="0">
                  <c:v>Total Cost Ex</c:v>
                </c:pt>
              </c:strCache>
            </c:strRef>
          </c:tx>
          <c:spPr>
            <a:ln w="3492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'2026_Purchases'!$A$2:$A$13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'2026_Purchases'!$B$2:$B$13</c:f>
              <c:numCache>
                <c:formatCode>"R"#,##0.00_);[Red]\("R"#,##0.00\)</c:formatCode>
                <c:ptCount val="12"/>
                <c:pt idx="0">
                  <c:v>4081967.6911999998</c:v>
                </c:pt>
                <c:pt idx="1">
                  <c:v>3864848.6688000001</c:v>
                </c:pt>
                <c:pt idx="2">
                  <c:v>4116026.9248000002</c:v>
                </c:pt>
                <c:pt idx="3">
                  <c:v>3837128.0639999998</c:v>
                </c:pt>
                <c:pt idx="4">
                  <c:v>3136305.1888000001</c:v>
                </c:pt>
                <c:pt idx="5">
                  <c:v>3338591.9616</c:v>
                </c:pt>
                <c:pt idx="6">
                  <c:v>2853053.2015999998</c:v>
                </c:pt>
                <c:pt idx="7">
                  <c:v>3121811.4704</c:v>
                </c:pt>
                <c:pt idx="8">
                  <c:v>3044300.6047999999</c:v>
                </c:pt>
                <c:pt idx="9">
                  <c:v>3822418.7008000002</c:v>
                </c:pt>
                <c:pt idx="10">
                  <c:v>3465268.1616000002</c:v>
                </c:pt>
                <c:pt idx="11">
                  <c:v>3570780.8864000002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D0-4C7D-9279-D8CD9CDAC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dropLines>
        <c:smooth val="0"/>
        <c:axId val="1047456544"/>
        <c:axId val="1047459424"/>
      </c:lineChart>
      <c:dateAx>
        <c:axId val="1047456544"/>
        <c:scaling>
          <c:orientation val="minMax"/>
        </c:scaling>
        <c:delete val="1"/>
        <c:axPos val="t"/>
        <c:numFmt formatCode="mm/yyyy" sourceLinked="0"/>
        <c:majorTickMark val="out"/>
        <c:minorTickMark val="none"/>
        <c:tickLblPos val="nextTo"/>
        <c:crossAx val="1047459424"/>
        <c:crosses val="autoZero"/>
        <c:auto val="1"/>
        <c:lblOffset val="100"/>
        <c:baseTimeUnit val="months"/>
      </c:dateAx>
      <c:valAx>
        <c:axId val="1047459424"/>
        <c:scaling>
          <c:orientation val="maxMin"/>
        </c:scaling>
        <c:delete val="0"/>
        <c:axPos val="l"/>
        <c:numFmt formatCode="&quot;R&quot;#,##0.00_);\(&quot;R&quot;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5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 Payments</a:t>
            </a:r>
          </a:p>
        </c:rich>
      </c:tx>
      <c:layout>
        <c:manualLayout>
          <c:xMode val="edge"/>
          <c:yMode val="edge"/>
          <c:x val="0.55566555931183514"/>
          <c:y val="2.23407676134723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73221468690374"/>
          <c:y val="0.19518324607329843"/>
          <c:w val="0.78149854776687355"/>
          <c:h val="0.62980319083151259"/>
        </c:manualLayout>
      </c:layout>
      <c:lineChart>
        <c:grouping val="standard"/>
        <c:varyColors val="0"/>
        <c:ser>
          <c:idx val="0"/>
          <c:order val="0"/>
          <c:tx>
            <c:strRef>
              <c:f>'2026_Payments'!$B$1</c:f>
              <c:strCache>
                <c:ptCount val="1"/>
                <c:pt idx="0">
                  <c:v>Total Payments</c:v>
                </c:pt>
              </c:strCache>
            </c:strRef>
          </c:tx>
          <c:spPr>
            <a:ln w="3492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'2026_Payments'!$A$2:$A$13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'2026_Payments'!$B$2:$B$13</c:f>
              <c:numCache>
                <c:formatCode>"R"#,##0.00_);[Red]\("R"#,##0.00\)</c:formatCode>
                <c:ptCount val="12"/>
                <c:pt idx="0">
                  <c:v>4840653.3373999996</c:v>
                </c:pt>
                <c:pt idx="1">
                  <c:v>2590215.0166000002</c:v>
                </c:pt>
                <c:pt idx="2">
                  <c:v>4293932.9813999999</c:v>
                </c:pt>
                <c:pt idx="3">
                  <c:v>3271612.284</c:v>
                </c:pt>
                <c:pt idx="4">
                  <c:v>3940568.2941999999</c:v>
                </c:pt>
                <c:pt idx="5">
                  <c:v>3254447.4797999999</c:v>
                </c:pt>
                <c:pt idx="6">
                  <c:v>4386245.0422</c:v>
                </c:pt>
                <c:pt idx="7">
                  <c:v>2713533.9832000001</c:v>
                </c:pt>
                <c:pt idx="8">
                  <c:v>3281415.7601999999</c:v>
                </c:pt>
                <c:pt idx="9">
                  <c:v>2724136.7790000001</c:v>
                </c:pt>
                <c:pt idx="10">
                  <c:v>3166345.4345999998</c:v>
                </c:pt>
                <c:pt idx="11">
                  <c:v>3811130.8018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C3-4ECF-B43F-AA10C7E8D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dropLines>
        <c:smooth val="0"/>
        <c:axId val="1049371872"/>
        <c:axId val="1049378592"/>
      </c:lineChart>
      <c:dateAx>
        <c:axId val="1049371872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1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78592"/>
        <c:crosses val="autoZero"/>
        <c:auto val="1"/>
        <c:lblOffset val="100"/>
        <c:baseTimeUnit val="months"/>
      </c:dateAx>
      <c:valAx>
        <c:axId val="1049378592"/>
        <c:scaling>
          <c:orientation val="minMax"/>
        </c:scaling>
        <c:delete val="0"/>
        <c:axPos val="l"/>
        <c:numFmt formatCode="&quot;R&quot;#,##0.00_);[Red]\(&quot;R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7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0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200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front-end GP%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0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5936151236246"/>
          <c:y val="0.20646040931296"/>
          <c:w val="0.85339444321632851"/>
          <c:h val="0.40164607628801585"/>
        </c:manualLayout>
      </c:layout>
      <c:lineChart>
        <c:grouping val="standard"/>
        <c:varyColors val="0"/>
        <c:ser>
          <c:idx val="3"/>
          <c:order val="3"/>
          <c:tx>
            <c:strRef>
              <c:f>'2026_Sales'!$E$1</c:f>
              <c:strCache>
                <c:ptCount val="1"/>
                <c:pt idx="0">
                  <c:v>POS GP%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none"/>
          </c:marker>
          <c:cat>
            <c:numRef>
              <c:f>'2026_Sales'!$A$2:$A$13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'2026_Sales'!$E$2:$E$13</c:f>
              <c:numCache>
                <c:formatCode>0.00%</c:formatCode>
                <c:ptCount val="12"/>
                <c:pt idx="0">
                  <c:v>0.31139779906275605</c:v>
                </c:pt>
                <c:pt idx="1">
                  <c:v>0.30378509589555541</c:v>
                </c:pt>
                <c:pt idx="2">
                  <c:v>0.30223216746118498</c:v>
                </c:pt>
                <c:pt idx="3">
                  <c:v>0.29536828061803433</c:v>
                </c:pt>
                <c:pt idx="4">
                  <c:v>0.29085542130121778</c:v>
                </c:pt>
                <c:pt idx="5">
                  <c:v>0.29274141385368119</c:v>
                </c:pt>
                <c:pt idx="6">
                  <c:v>0.27214055981910151</c:v>
                </c:pt>
                <c:pt idx="7">
                  <c:v>0.28112013345279341</c:v>
                </c:pt>
                <c:pt idx="8">
                  <c:v>0.28818036512459272</c:v>
                </c:pt>
                <c:pt idx="9">
                  <c:v>0.29585412178139631</c:v>
                </c:pt>
                <c:pt idx="10">
                  <c:v>0.28147726838353149</c:v>
                </c:pt>
                <c:pt idx="11">
                  <c:v>0.29733127225533229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A9-4024-8C7C-F78D778E4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dropLines>
        <c:smooth val="0"/>
        <c:axId val="1285320752"/>
        <c:axId val="12853212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'2026_Sales'!$B$1</c15:sqref>
                        </c15:formulaRef>
                      </c:ext>
                    </c:extLst>
                    <c:strCache>
                      <c:ptCount val="1"/>
                      <c:pt idx="0">
                        <c:v>Total Sales Ex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'2026_Sales'!$A$2:$A$13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46023</c:v>
                      </c:pt>
                      <c:pt idx="1">
                        <c:v>46055</c:v>
                      </c:pt>
                      <c:pt idx="2">
                        <c:v>46084</c:v>
                      </c:pt>
                      <c:pt idx="3">
                        <c:v>46116</c:v>
                      </c:pt>
                      <c:pt idx="4">
                        <c:v>46147</c:v>
                      </c:pt>
                      <c:pt idx="5">
                        <c:v>46179</c:v>
                      </c:pt>
                      <c:pt idx="6">
                        <c:v>46210</c:v>
                      </c:pt>
                      <c:pt idx="7">
                        <c:v>46242</c:v>
                      </c:pt>
                      <c:pt idx="8">
                        <c:v>46274</c:v>
                      </c:pt>
                      <c:pt idx="9">
                        <c:v>46305</c:v>
                      </c:pt>
                      <c:pt idx="10">
                        <c:v>46337</c:v>
                      </c:pt>
                      <c:pt idx="11">
                        <c:v>46368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'2026_Sales'!$B$2:$B$13</c15:sqref>
                        </c15:formulaRef>
                      </c:ext>
                    </c:extLst>
                    <c:numCache>
                      <c:formatCode>"R"#\ ##0.00</c:formatCode>
                      <c:ptCount val="12"/>
                      <c:pt idx="0">
                        <c:v>3643698.6571999998</c:v>
                      </c:pt>
                      <c:pt idx="1">
                        <c:v>3194563.4624999999</c:v>
                      </c:pt>
                      <c:pt idx="2">
                        <c:v>3609819.8813999998</c:v>
                      </c:pt>
                      <c:pt idx="3">
                        <c:v>3526936.4145</c:v>
                      </c:pt>
                      <c:pt idx="4">
                        <c:v>3244527.9654000001</c:v>
                      </c:pt>
                      <c:pt idx="5">
                        <c:v>3361101.8149000001</c:v>
                      </c:pt>
                      <c:pt idx="6">
                        <c:v>3695666.68</c:v>
                      </c:pt>
                      <c:pt idx="7">
                        <c:v>3050479.2401999999</c:v>
                      </c:pt>
                      <c:pt idx="8">
                        <c:v>2864006.8925000001</c:v>
                      </c:pt>
                      <c:pt idx="9">
                        <c:v>3120748.2100999998</c:v>
                      </c:pt>
                      <c:pt idx="10">
                        <c:v>3332163.6521000001</c:v>
                      </c:pt>
                      <c:pt idx="11">
                        <c:v>3860433.9391999999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2A9-4024-8C7C-F78D778E4E8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'2026_Sales'!$C$1</c15:sqref>
                        </c15:formulaRef>
                      </c:ext>
                    </c:extLst>
                    <c:strCache>
                      <c:ptCount val="1"/>
                      <c:pt idx="0">
                        <c:v>Total Cost Ex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'2026_Sales'!$A$2:$A$13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46023</c:v>
                      </c:pt>
                      <c:pt idx="1">
                        <c:v>46055</c:v>
                      </c:pt>
                      <c:pt idx="2">
                        <c:v>46084</c:v>
                      </c:pt>
                      <c:pt idx="3">
                        <c:v>46116</c:v>
                      </c:pt>
                      <c:pt idx="4">
                        <c:v>46147</c:v>
                      </c:pt>
                      <c:pt idx="5">
                        <c:v>46179</c:v>
                      </c:pt>
                      <c:pt idx="6">
                        <c:v>46210</c:v>
                      </c:pt>
                      <c:pt idx="7">
                        <c:v>46242</c:v>
                      </c:pt>
                      <c:pt idx="8">
                        <c:v>46274</c:v>
                      </c:pt>
                      <c:pt idx="9">
                        <c:v>46305</c:v>
                      </c:pt>
                      <c:pt idx="10">
                        <c:v>46337</c:v>
                      </c:pt>
                      <c:pt idx="11">
                        <c:v>46368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'2026_Sales'!$C$2:$C$13</c15:sqref>
                        </c15:formulaRef>
                      </c:ext>
                    </c:extLst>
                    <c:numCache>
                      <c:formatCode>"R"#,##0.00_);[Red]\("R"#,##0.00\)</c:formatCode>
                      <c:ptCount val="12"/>
                      <c:pt idx="0">
                        <c:v>2509058.9149000002</c:v>
                      </c:pt>
                      <c:pt idx="1">
                        <c:v>2224102.6946999999</c:v>
                      </c:pt>
                      <c:pt idx="2">
                        <c:v>2518816.1945000002</c:v>
                      </c:pt>
                      <c:pt idx="3">
                        <c:v>2485191.2699000002</c:v>
                      </c:pt>
                      <c:pt idx="4">
                        <c:v>2300839.4171000002</c:v>
                      </c:pt>
                      <c:pt idx="5">
                        <c:v>2377168.1175000002</c:v>
                      </c:pt>
                      <c:pt idx="6">
                        <c:v>2689925.8807999999</c:v>
                      </c:pt>
                      <c:pt idx="7">
                        <c:v>2192928.1091</c:v>
                      </c:pt>
                      <c:pt idx="8">
                        <c:v>2038656.3404999999</c:v>
                      </c:pt>
                      <c:pt idx="9">
                        <c:v>2197461.9890999999</c:v>
                      </c:pt>
                      <c:pt idx="10">
                        <c:v>2394235.3295</c:v>
                      </c:pt>
                      <c:pt idx="11">
                        <c:v>2712606.2045999998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A9-4024-8C7C-F78D778E4E8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'2026_Sales'!$D$1</c15:sqref>
                        </c15:formulaRef>
                      </c:ext>
                    </c:extLst>
                    <c:strCache>
                      <c:ptCount val="1"/>
                      <c:pt idx="0">
                        <c:v>POS GP Rands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'2026_Sales'!$A$2:$A$13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46023</c:v>
                      </c:pt>
                      <c:pt idx="1">
                        <c:v>46055</c:v>
                      </c:pt>
                      <c:pt idx="2">
                        <c:v>46084</c:v>
                      </c:pt>
                      <c:pt idx="3">
                        <c:v>46116</c:v>
                      </c:pt>
                      <c:pt idx="4">
                        <c:v>46147</c:v>
                      </c:pt>
                      <c:pt idx="5">
                        <c:v>46179</c:v>
                      </c:pt>
                      <c:pt idx="6">
                        <c:v>46210</c:v>
                      </c:pt>
                      <c:pt idx="7">
                        <c:v>46242</c:v>
                      </c:pt>
                      <c:pt idx="8">
                        <c:v>46274</c:v>
                      </c:pt>
                      <c:pt idx="9">
                        <c:v>46305</c:v>
                      </c:pt>
                      <c:pt idx="10">
                        <c:v>46337</c:v>
                      </c:pt>
                      <c:pt idx="11">
                        <c:v>46368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'2026_Sales'!$D$2:$D$13</c15:sqref>
                        </c15:formulaRef>
                      </c:ext>
                    </c:extLst>
                    <c:numCache>
                      <c:formatCode>"R"#\ ##0.00</c:formatCode>
                      <c:ptCount val="12"/>
                      <c:pt idx="0">
                        <c:v>1134639.7422999996</c:v>
                      </c:pt>
                      <c:pt idx="1">
                        <c:v>970460.76780000003</c:v>
                      </c:pt>
                      <c:pt idx="2">
                        <c:v>1091003.6868999996</c:v>
                      </c:pt>
                      <c:pt idx="3">
                        <c:v>1041745.1445999998</c:v>
                      </c:pt>
                      <c:pt idx="4">
                        <c:v>943688.54829999991</c:v>
                      </c:pt>
                      <c:pt idx="5">
                        <c:v>983933.69739999995</c:v>
                      </c:pt>
                      <c:pt idx="6">
                        <c:v>1005740.7992000002</c:v>
                      </c:pt>
                      <c:pt idx="7">
                        <c:v>857551.13109999988</c:v>
                      </c:pt>
                      <c:pt idx="8">
                        <c:v>825350.55200000014</c:v>
                      </c:pt>
                      <c:pt idx="9">
                        <c:v>923286.2209999999</c:v>
                      </c:pt>
                      <c:pt idx="10">
                        <c:v>937928.32260000007</c:v>
                      </c:pt>
                      <c:pt idx="11">
                        <c:v>1147827.7346000001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2A9-4024-8C7C-F78D778E4E84}"/>
                  </c:ext>
                </c:extLst>
              </c15:ser>
            </c15:filteredLineSeries>
          </c:ext>
        </c:extLst>
      </c:lineChart>
      <c:dateAx>
        <c:axId val="1285320752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21232"/>
        <c:crosses val="autoZero"/>
        <c:auto val="1"/>
        <c:lblOffset val="100"/>
        <c:baseTimeUnit val="months"/>
      </c:dateAx>
      <c:valAx>
        <c:axId val="128532123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320752"/>
        <c:crosses val="autoZero"/>
        <c:crossBetween val="between"/>
      </c:valAx>
      <c:spPr>
        <a:solidFill>
          <a:schemeClr val="tx2">
            <a:lumMod val="50000"/>
          </a:schemeClr>
        </a:solidFill>
        <a:ln>
          <a:solidFill>
            <a:schemeClr val="tx2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 S&amp;W</a:t>
            </a:r>
          </a:p>
        </c:rich>
      </c:tx>
      <c:layout>
        <c:manualLayout>
          <c:xMode val="edge"/>
          <c:yMode val="edge"/>
          <c:x val="0.64280107414031473"/>
          <c:y val="0.868890022461186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58096230335371"/>
          <c:y val="5.4857128752787088E-2"/>
          <c:w val="0.79959592375901667"/>
          <c:h val="0.89725172709795431"/>
        </c:manualLayout>
      </c:layout>
      <c:lineChart>
        <c:grouping val="standard"/>
        <c:varyColors val="0"/>
        <c:ser>
          <c:idx val="0"/>
          <c:order val="0"/>
          <c:tx>
            <c:strRef>
              <c:f>'2026_S&amp;W'!$B$1</c:f>
              <c:strCache>
                <c:ptCount val="1"/>
                <c:pt idx="0">
                  <c:v>Total S&amp;W</c:v>
                </c:pt>
              </c:strCache>
            </c:strRef>
          </c:tx>
          <c:spPr>
            <a:ln w="3492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'2026_S&amp;W'!$A$2:$A$13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'2026_S&amp;W'!$B$2:$B$13</c:f>
              <c:numCache>
                <c:formatCode>"R"#,##0.00_);[Red]\("R"#,##0.00\)</c:formatCode>
                <c:ptCount val="12"/>
                <c:pt idx="0">
                  <c:v>495555.33299999998</c:v>
                </c:pt>
                <c:pt idx="1">
                  <c:v>623259.28599999996</c:v>
                </c:pt>
                <c:pt idx="2">
                  <c:v>412133.11099999998</c:v>
                </c:pt>
                <c:pt idx="3">
                  <c:v>358366.58649999998</c:v>
                </c:pt>
                <c:pt idx="4">
                  <c:v>357363.97450000001</c:v>
                </c:pt>
                <c:pt idx="5">
                  <c:v>404476.98849999998</c:v>
                </c:pt>
                <c:pt idx="6">
                  <c:v>411046.64899999998</c:v>
                </c:pt>
                <c:pt idx="7">
                  <c:v>347220.35399999999</c:v>
                </c:pt>
                <c:pt idx="8">
                  <c:v>308334.962</c:v>
                </c:pt>
                <c:pt idx="9">
                  <c:v>406765.06650000002</c:v>
                </c:pt>
                <c:pt idx="10">
                  <c:v>343499.98800000001</c:v>
                </c:pt>
                <c:pt idx="11">
                  <c:v>323199.83799999999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B7-4DC2-B12A-8D517E4F5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dropLines>
        <c:smooth val="0"/>
        <c:axId val="1049397312"/>
        <c:axId val="1049386272"/>
      </c:lineChart>
      <c:dateAx>
        <c:axId val="1049397312"/>
        <c:scaling>
          <c:orientation val="minMax"/>
          <c:min val="46023"/>
        </c:scaling>
        <c:delete val="1"/>
        <c:axPos val="t"/>
        <c:numFmt formatCode="mm/yyyy" sourceLinked="0"/>
        <c:majorTickMark val="out"/>
        <c:minorTickMark val="none"/>
        <c:tickLblPos val="nextTo"/>
        <c:crossAx val="1049386272"/>
        <c:crosses val="autoZero"/>
        <c:auto val="1"/>
        <c:lblOffset val="100"/>
        <c:baseTimeUnit val="months"/>
      </c:dateAx>
      <c:valAx>
        <c:axId val="1049386272"/>
        <c:scaling>
          <c:orientation val="maxMin"/>
        </c:scaling>
        <c:delete val="0"/>
        <c:axPos val="r"/>
        <c:numFmt formatCode="&quot;R&quot;#,##0.00_);[Red]\(&quot;R&quot;#,##0.00\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9731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 Sales Ex</a:t>
            </a:r>
          </a:p>
        </c:rich>
      </c:tx>
      <c:layout>
        <c:manualLayout>
          <c:xMode val="edge"/>
          <c:yMode val="edge"/>
          <c:x val="0.51281182193323427"/>
          <c:y val="4.272370598356911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06474193335364"/>
          <c:y val="0.19113398110952073"/>
          <c:w val="0.79417595269186447"/>
          <c:h val="0.60195076146320403"/>
        </c:manualLayout>
      </c:layout>
      <c:lineChart>
        <c:grouping val="standard"/>
        <c:varyColors val="0"/>
        <c:ser>
          <c:idx val="0"/>
          <c:order val="0"/>
          <c:tx>
            <c:strRef>
              <c:f>'2026_Sales'!$B$1</c:f>
              <c:strCache>
                <c:ptCount val="1"/>
                <c:pt idx="0">
                  <c:v>Total Sales Ex</c:v>
                </c:pt>
              </c:strCache>
            </c:strRef>
          </c:tx>
          <c:spPr>
            <a:ln w="3492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'2026_Sales'!$A$2:$A$13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'2026_Sales'!$B$2:$B$13</c:f>
              <c:numCache>
                <c:formatCode>"R"#\ ##0.00</c:formatCode>
                <c:ptCount val="12"/>
                <c:pt idx="0">
                  <c:v>3643698.6571999998</c:v>
                </c:pt>
                <c:pt idx="1">
                  <c:v>3194563.4624999999</c:v>
                </c:pt>
                <c:pt idx="2">
                  <c:v>3609819.8813999998</c:v>
                </c:pt>
                <c:pt idx="3">
                  <c:v>3526936.4145</c:v>
                </c:pt>
                <c:pt idx="4">
                  <c:v>3244527.9654000001</c:v>
                </c:pt>
                <c:pt idx="5">
                  <c:v>3361101.8149000001</c:v>
                </c:pt>
                <c:pt idx="6">
                  <c:v>3695666.68</c:v>
                </c:pt>
                <c:pt idx="7">
                  <c:v>3050479.2401999999</c:v>
                </c:pt>
                <c:pt idx="8">
                  <c:v>2864006.8925000001</c:v>
                </c:pt>
                <c:pt idx="9">
                  <c:v>3120748.2100999998</c:v>
                </c:pt>
                <c:pt idx="10">
                  <c:v>3332163.6521000001</c:v>
                </c:pt>
                <c:pt idx="11">
                  <c:v>3860433.9391999999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F8-478F-8C0E-3545810CA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dropLines>
        <c:smooth val="0"/>
        <c:axId val="1182566384"/>
        <c:axId val="1182567344"/>
      </c:lineChart>
      <c:dateAx>
        <c:axId val="1182566384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67344"/>
        <c:crosses val="autoZero"/>
        <c:auto val="1"/>
        <c:lblOffset val="100"/>
        <c:baseTimeUnit val="months"/>
      </c:dateAx>
      <c:valAx>
        <c:axId val="1182567344"/>
        <c:scaling>
          <c:orientation val="minMax"/>
        </c:scaling>
        <c:delete val="0"/>
        <c:axPos val="l"/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6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u="sng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rPr>
              <a:t>  Total YTD</a:t>
            </a:r>
            <a:r>
              <a:rPr lang="en-US" sz="2000" u="sng" baseline="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rPr>
              <a:t> </a:t>
            </a:r>
            <a:r>
              <a:rPr lang="en-US" sz="2000" u="sng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rPr>
              <a:t>CFGP % </a:t>
            </a:r>
            <a:r>
              <a:rPr lang="en-US" sz="2000" u="none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 sz="2000" u="sng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  </a:t>
            </a:r>
          </a:p>
          <a:p>
            <a:pPr>
              <a:defRPr sz="2000" u="none">
                <a:solidFill>
                  <a:schemeClr val="accent4">
                    <a:lumMod val="20000"/>
                    <a:lumOff val="80000"/>
                  </a:schemeClr>
                </a:solidFill>
              </a:defRPr>
            </a:pPr>
            <a:r>
              <a:rPr lang="en-US" sz="1050" u="none">
                <a:solidFill>
                  <a:schemeClr val="accent4">
                    <a:lumMod val="20000"/>
                    <a:lumOff val="80000"/>
                  </a:schemeClr>
                </a:solidFill>
                <a:latin typeface="+mj-lt"/>
              </a:rPr>
              <a:t>Cash</a:t>
            </a:r>
            <a:r>
              <a:rPr lang="en-US" sz="1050" u="none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j-lt"/>
              </a:rPr>
              <a:t> Flow GP %  </a:t>
            </a:r>
            <a:endParaRPr lang="en-US" sz="1050" u="none">
              <a:solidFill>
                <a:schemeClr val="accent4">
                  <a:lumMod val="20000"/>
                  <a:lumOff val="80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0.52567666626612275"/>
          <c:y val="4.78910627951907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0510581219702"/>
          <c:y val="6.4869472587382654E-2"/>
          <c:w val="0.36130197005234377"/>
          <c:h val="0.67368922133219222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20000"/>
                <a:lumOff val="80000"/>
                <a:alpha val="61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  <c:dPt>
            <c:idx val="0"/>
            <c:bubble3D val="0"/>
            <c:explosion val="3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A8-4151-BF3D-285D04C901E7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  <a:alpha val="50000"/>
                </a:schemeClr>
              </a:solidFill>
              <a:ln w="190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532-4E4A-8D3C-3E776D61BFF9}"/>
              </c:ext>
            </c:extLst>
          </c:dPt>
          <c:dLbls>
            <c:dLbl>
              <c:idx val="0"/>
              <c:layout>
                <c:manualLayout>
                  <c:x val="0.20779601199635925"/>
                  <c:y val="-1.10598646037815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accent4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201132074932036"/>
                      <c:h val="0.305046296296296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1A8-4151-BF3D-285D04C901E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32-4E4A-8D3C-3E776D61BF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'2026_Cash_Flow'!$G$14:$G$15</c:f>
              <c:numCache>
                <c:formatCode>0.00%</c:formatCode>
                <c:ptCount val="2"/>
                <c:pt idx="0">
                  <c:v>-0.16199113024595521</c:v>
                </c:pt>
                <c:pt idx="1">
                  <c:v>0.83800886975404476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A8-4151-BF3D-285D04C90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7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sz="200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rPr>
              <a:t>Back Door GP Rands &amp; %</a:t>
            </a:r>
          </a:p>
        </c:rich>
      </c:tx>
      <c:layout>
        <c:manualLayout>
          <c:xMode val="edge"/>
          <c:yMode val="edge"/>
          <c:x val="0.17422491672078022"/>
          <c:y val="2.1694910621665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'2026_BackDoor_GP%'!$D$1</c:f>
              <c:strCache>
                <c:ptCount val="1"/>
                <c:pt idx="0">
                  <c:v>BackDoor_GP Rds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74000"/>
              </a:schemeClr>
            </a:solidFill>
            <a:ln>
              <a:noFill/>
            </a:ln>
            <a:effectLst/>
          </c:spPr>
          <c:invertIfNegative val="0"/>
          <c:cat>
            <c:numRef>
              <c:f>'2026_BackDoor_GP%'!$A$2:$A$13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'2026_BackDoor_GP%'!$D$2:$D$13</c:f>
              <c:numCache>
                <c:formatCode>"R"#,##0.00_);[Red]\("R"#,##0.00\)</c:formatCode>
                <c:ptCount val="12"/>
                <c:pt idx="0">
                  <c:v>1196954.6801999998</c:v>
                </c:pt>
                <c:pt idx="1">
                  <c:v>-604348.4458999997</c:v>
                </c:pt>
                <c:pt idx="2">
                  <c:v>684113.10000000009</c:v>
                </c:pt>
                <c:pt idx="3">
                  <c:v>-255324.13049999997</c:v>
                </c:pt>
                <c:pt idx="4">
                  <c:v>696040.32879999978</c:v>
                </c:pt>
                <c:pt idx="5">
                  <c:v>-106654.33510000026</c:v>
                </c:pt>
                <c:pt idx="6">
                  <c:v>690578.36219999986</c:v>
                </c:pt>
                <c:pt idx="7">
                  <c:v>-336945.25699999975</c:v>
                </c:pt>
                <c:pt idx="8">
                  <c:v>417408.86769999983</c:v>
                </c:pt>
                <c:pt idx="9">
                  <c:v>-396611.4310999997</c:v>
                </c:pt>
                <c:pt idx="10">
                  <c:v>-165818.21750000026</c:v>
                </c:pt>
                <c:pt idx="11">
                  <c:v>-49303.13739999989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8-4581-BDAA-406AB244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298667791"/>
        <c:axId val="1298669711"/>
      </c:barChart>
      <c:lineChart>
        <c:grouping val="standard"/>
        <c:varyColors val="0"/>
        <c:ser>
          <c:idx val="1"/>
          <c:order val="1"/>
          <c:tx>
            <c:strRef>
              <c:f>'2026_BackDoor_GP%'!$E$1</c:f>
              <c:strCache>
                <c:ptCount val="1"/>
                <c:pt idx="0">
                  <c:v>BackDoor_GP%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>
              <a:glow rad="12700">
                <a:schemeClr val="accent1">
                  <a:lumMod val="40000"/>
                  <a:lumOff val="60000"/>
                  <a:alpha val="67000"/>
                </a:schemeClr>
              </a:glow>
              <a:innerShdw blurRad="63500" dist="50800" dir="2700000">
                <a:schemeClr val="accent4">
                  <a:lumMod val="20000"/>
                  <a:lumOff val="80000"/>
                </a:schemeClr>
              </a:innerShdw>
            </a:effectLst>
          </c:spPr>
          <c:marker>
            <c:symbol val="none"/>
          </c:marker>
          <c:cat>
            <c:numRef>
              <c:f>'2026_BackDoor_GP%'!$A$2:$A$13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'2026_BackDoor_GP%'!$E$2:$E$13</c:f>
              <c:numCache>
                <c:formatCode>0.0%</c:formatCode>
                <c:ptCount val="12"/>
                <c:pt idx="0">
                  <c:v>0.24727130756339294</c:v>
                </c:pt>
                <c:pt idx="1">
                  <c:v>-0.23331979855992302</c:v>
                </c:pt>
                <c:pt idx="2">
                  <c:v>0.1593208610761668</c:v>
                </c:pt>
                <c:pt idx="3">
                  <c:v>-7.8042294849141103E-2</c:v>
                </c:pt>
                <c:pt idx="4">
                  <c:v>0.17663450467905351</c:v>
                </c:pt>
                <c:pt idx="5">
                  <c:v>-3.2771871650101002E-2</c:v>
                </c:pt>
                <c:pt idx="6">
                  <c:v>0.15744181083271805</c:v>
                </c:pt>
                <c:pt idx="7">
                  <c:v>-0.12417211617252309</c:v>
                </c:pt>
                <c:pt idx="8">
                  <c:v>0.12720389557541439</c:v>
                </c:pt>
                <c:pt idx="9">
                  <c:v>-0.14559159956923723</c:v>
                </c:pt>
                <c:pt idx="10">
                  <c:v>-5.2368960028187153E-2</c:v>
                </c:pt>
                <c:pt idx="11">
                  <c:v>-1.2936616443789854E-2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68-4581-BDAA-406AB244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861087"/>
        <c:axId val="1327863007"/>
      </c:lineChart>
      <c:dateAx>
        <c:axId val="1298667791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69711"/>
        <c:crosses val="autoZero"/>
        <c:auto val="1"/>
        <c:lblOffset val="100"/>
        <c:baseTimeUnit val="months"/>
      </c:dateAx>
      <c:valAx>
        <c:axId val="12986697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&quot;#,##0.00_);\(&quot;R&quot;#,##0.00\)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67791"/>
        <c:crosses val="autoZero"/>
        <c:crossBetween val="between"/>
      </c:valAx>
      <c:valAx>
        <c:axId val="1327863007"/>
        <c:scaling>
          <c:orientation val="minMax"/>
          <c:max val="0.30000000000000004"/>
          <c:min val="-0.30000000000000004"/>
        </c:scaling>
        <c:delete val="0"/>
        <c:axPos val="r"/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861087"/>
        <c:crosses val="max"/>
        <c:crossBetween val="between"/>
        <c:majorUnit val="0.1"/>
        <c:minorUnit val="2.0000000000000004E-2"/>
      </c:valAx>
      <c:dateAx>
        <c:axId val="132786108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2786300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defRPr>
            </a:pPr>
            <a:r>
              <a:rPr lang="en-US" sz="2000" b="0" u="none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rPr>
              <a:t>Actual</a:t>
            </a:r>
            <a:r>
              <a:rPr lang="en-US" sz="2000" b="0" u="none" baseline="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rPr>
              <a:t> CF</a:t>
            </a:r>
            <a:r>
              <a:rPr lang="en-US" sz="2000" b="0" u="none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rPr>
              <a:t>GP RDs</a:t>
            </a:r>
          </a:p>
        </c:rich>
      </c:tx>
      <c:layout>
        <c:manualLayout>
          <c:xMode val="edge"/>
          <c:yMode val="edge"/>
          <c:x val="1.6346223010167599E-2"/>
          <c:y val="1.3645830630078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Segoe UI Semibold" panose="020B0702040204020203" pitchFamily="34" charset="0"/>
              <a:ea typeface="Tahoma" panose="020B0604030504040204" pitchFamily="34" charset="0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486144902026328E-2"/>
          <c:y val="4.6046568611179665E-2"/>
          <c:w val="0.83629384062723455"/>
          <c:h val="0.851443281734605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'2026_Cash_Flow'!$F$1</c:f>
              <c:strCache>
                <c:ptCount val="1"/>
                <c:pt idx="0">
                  <c:v>Actual_GP RDs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9525"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2241822128383384E-2"/>
                  <c:y val="6.5149705513674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27-4F8C-81B8-00F5ECD9DC96}"/>
                </c:ext>
              </c:extLst>
            </c:dLbl>
            <c:numFmt formatCode="&quot;R&quot;#,##0.00_);\(&quot;R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'2026_Cash_Flow'!$A$2:$A$14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'2026_Cash_Flow'!$F$2:$F$14</c:f>
              <c:numCache>
                <c:formatCode>"R"#,##0.00_);[Red]\("R"#,##0.00\)</c:formatCode>
                <c:ptCount val="12"/>
                <c:pt idx="0">
                  <c:v>-1692510.0131999995</c:v>
                </c:pt>
                <c:pt idx="1">
                  <c:v>-18910.840100000147</c:v>
                </c:pt>
                <c:pt idx="2">
                  <c:v>-1096246.2109999997</c:v>
                </c:pt>
                <c:pt idx="3">
                  <c:v>-103042.45600000024</c:v>
                </c:pt>
                <c:pt idx="4">
                  <c:v>-1053404.3032999998</c:v>
                </c:pt>
                <c:pt idx="5">
                  <c:v>-297822.65339999972</c:v>
                </c:pt>
                <c:pt idx="6">
                  <c:v>-1101625.0112000001</c:v>
                </c:pt>
                <c:pt idx="7">
                  <c:v>-10275.097000000067</c:v>
                </c:pt>
                <c:pt idx="8">
                  <c:v>-725743.82969999965</c:v>
                </c:pt>
                <c:pt idx="9">
                  <c:v>-10153.635400000494</c:v>
                </c:pt>
                <c:pt idx="10">
                  <c:v>-177681.77049999963</c:v>
                </c:pt>
                <c:pt idx="11">
                  <c:v>-273896.7006000001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C-41EA-AD61-9953DB963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82627344"/>
        <c:axId val="1182631664"/>
      </c:barChart>
      <c:dateAx>
        <c:axId val="1182627344"/>
        <c:scaling>
          <c:orientation val="minMax"/>
        </c:scaling>
        <c:delete val="0"/>
        <c:axPos val="l"/>
        <c:numFmt formatCode="mm/yyyy" sourceLinked="0"/>
        <c:majorTickMark val="out"/>
        <c:minorTickMark val="none"/>
        <c:tickLblPos val="high"/>
        <c:spPr>
          <a:noFill/>
          <a:ln w="9525" cap="flat" cmpd="sng" algn="ctr">
            <a:noFill/>
            <a:round/>
          </a:ln>
          <a:effectLst/>
        </c:spPr>
        <c:txPr>
          <a:bodyPr rot="-252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31664"/>
        <c:crosses val="autoZero"/>
        <c:auto val="1"/>
        <c:lblOffset val="100"/>
        <c:baseTimeUnit val="months"/>
        <c:majorUnit val="1"/>
        <c:majorTimeUnit val="months"/>
      </c:dateAx>
      <c:valAx>
        <c:axId val="1182631664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&quot;#,##0.00_);\(&quot;R&quot;#,##0.00\)" sourceLinked="0"/>
        <c:majorTickMark val="none"/>
        <c:minorTickMark val="none"/>
        <c:tickLblPos val="nextTo"/>
        <c:crossAx val="1182627344"/>
        <c:crossesAt val="46023"/>
        <c:crossBetween val="between"/>
        <c:majorUnit val="100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defRPr>
            </a:pPr>
            <a:r>
              <a:rPr lang="en-US" sz="2000" b="0" u="none">
                <a:solidFill>
                  <a:schemeClr val="accent4">
                    <a:lumMod val="20000"/>
                    <a:lumOff val="80000"/>
                  </a:schemeClr>
                </a:solidFill>
                <a:latin typeface="Segoe UI Semibold" panose="020B0702040204020203" pitchFamily="34" charset="0"/>
                <a:ea typeface="Tahoma" panose="020B0604030504040204" pitchFamily="34" charset="0"/>
                <a:cs typeface="Segoe UI Semibold" panose="020B0702040204020203" pitchFamily="34" charset="0"/>
              </a:rPr>
              <a:t>ACTUAL CFGP%</a:t>
            </a:r>
          </a:p>
        </c:rich>
      </c:tx>
      <c:layout>
        <c:manualLayout>
          <c:xMode val="edge"/>
          <c:yMode val="edge"/>
          <c:x val="0.54809680224993851"/>
          <c:y val="8.9559226126867202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Segoe UI Semibold" panose="020B0702040204020203" pitchFamily="34" charset="0"/>
              <a:ea typeface="Tahoma" panose="020B0604030504040204" pitchFamily="34" charset="0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601776567417951E-2"/>
          <c:y val="0.2253511411451142"/>
          <c:w val="0.92246788348227171"/>
          <c:h val="0.510515293481739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213781574713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F2-4EA9-A47E-A724D07788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'2026_Cash_Flow'!$A$2:$A$14</c:f>
              <c:numCache>
                <c:formatCode>m/d/yyyy</c:formatCode>
                <c:ptCount val="12"/>
                <c:pt idx="0">
                  <c:v>46023</c:v>
                </c:pt>
                <c:pt idx="1">
                  <c:v>46055</c:v>
                </c:pt>
                <c:pt idx="2">
                  <c:v>46084</c:v>
                </c:pt>
                <c:pt idx="3">
                  <c:v>46116</c:v>
                </c:pt>
                <c:pt idx="4">
                  <c:v>46147</c:v>
                </c:pt>
                <c:pt idx="5">
                  <c:v>46179</c:v>
                </c:pt>
                <c:pt idx="6">
                  <c:v>46210</c:v>
                </c:pt>
                <c:pt idx="7">
                  <c:v>46242</c:v>
                </c:pt>
                <c:pt idx="8">
                  <c:v>46274</c:v>
                </c:pt>
                <c:pt idx="9">
                  <c:v>46305</c:v>
                </c:pt>
                <c:pt idx="10">
                  <c:v>46337</c:v>
                </c:pt>
                <c:pt idx="11">
                  <c:v>46368</c:v>
                </c:pt>
              </c:numCache>
            </c:numRef>
          </c:cat>
          <c:val>
            <c:numRef>
              <c:f>'2026_Cash_Flow'!$G$2:$G$14</c:f>
              <c:numCache>
                <c:formatCode>0.00%</c:formatCode>
                <c:ptCount val="12"/>
                <c:pt idx="0">
                  <c:v>-0.4645032897700187</c:v>
                </c:pt>
                <c:pt idx="1">
                  <c:v>-5.9196946067870291E-3</c:v>
                </c:pt>
                <c:pt idx="2">
                  <c:v>-0.30368446266489102</c:v>
                </c:pt>
                <c:pt idx="3">
                  <c:v>-2.9215853049227192E-2</c:v>
                </c:pt>
                <c:pt idx="4">
                  <c:v>-0.32467105062234575</c:v>
                </c:pt>
                <c:pt idx="5">
                  <c:v>-8.8608637822195982E-2</c:v>
                </c:pt>
                <c:pt idx="6">
                  <c:v>-0.29808559769789628</c:v>
                </c:pt>
                <c:pt idx="7">
                  <c:v>-3.3683549996315976E-3</c:v>
                </c:pt>
                <c:pt idx="8">
                  <c:v>-0.2534015653385861</c:v>
                </c:pt>
                <c:pt idx="9">
                  <c:v>-3.2535900740531501E-3</c:v>
                </c:pt>
                <c:pt idx="10">
                  <c:v>-5.3323242508818806E-2</c:v>
                </c:pt>
                <c:pt idx="11">
                  <c:v>-7.0949718325385949E-2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9-4D26-98BB-B06AC7AC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2611504"/>
        <c:axId val="1182611984"/>
      </c:barChart>
      <c:dateAx>
        <c:axId val="1182611504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11984"/>
        <c:crosses val="autoZero"/>
        <c:auto val="1"/>
        <c:lblOffset val="100"/>
        <c:baseTimeUnit val="months"/>
      </c:dateAx>
      <c:valAx>
        <c:axId val="118261198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18261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15876</xdr:colOff>
      <xdr:row>15</xdr:row>
      <xdr:rowOff>142875</xdr:rowOff>
    </xdr:from>
    <xdr:to>
      <xdr:col>7</xdr:col>
      <xdr:colOff>257969</xdr:colOff>
      <xdr:row>31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B53AFD-BE3A-4EF9-95B7-A923987F3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166688</xdr:rowOff>
    </xdr:from>
    <xdr:to>
      <xdr:col>7</xdr:col>
      <xdr:colOff>261936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58D1C-1C19-4070-BCB9-7AFD2951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307462</xdr:colOff>
      <xdr:row>33</xdr:row>
      <xdr:rowOff>11626</xdr:rowOff>
    </xdr:from>
    <xdr:to>
      <xdr:col>14</xdr:col>
      <xdr:colOff>602551</xdr:colOff>
      <xdr:row>47</xdr:row>
      <xdr:rowOff>170935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09116E-27A3-4CC9-9160-FCCA0F906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230187</xdr:colOff>
      <xdr:row>15</xdr:row>
      <xdr:rowOff>115093</xdr:rowOff>
    </xdr:from>
    <xdr:to>
      <xdr:col>14</xdr:col>
      <xdr:colOff>563563</xdr:colOff>
      <xdr:row>31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2963A8-9A4F-4939-A424-28C602854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234156</xdr:colOff>
      <xdr:row>0</xdr:row>
      <xdr:rowOff>170656</xdr:rowOff>
    </xdr:from>
    <xdr:to>
      <xdr:col>14</xdr:col>
      <xdr:colOff>531813</xdr:colOff>
      <xdr:row>18</xdr:row>
      <xdr:rowOff>39688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461EF3-35E5-49A9-B141-D97494F84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611187</xdr:colOff>
      <xdr:row>44</xdr:row>
      <xdr:rowOff>142875</xdr:rowOff>
    </xdr:from>
    <xdr:to>
      <xdr:col>14</xdr:col>
      <xdr:colOff>531813</xdr:colOff>
      <xdr:row>58</xdr:row>
      <xdr:rowOff>166688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764B954-D30F-406E-83CF-29FB886D6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</xdr:colOff>
      <xdr:row>33</xdr:row>
      <xdr:rowOff>111124</xdr:rowOff>
    </xdr:from>
    <xdr:to>
      <xdr:col>7</xdr:col>
      <xdr:colOff>273844</xdr:colOff>
      <xdr:row>46</xdr:row>
      <xdr:rowOff>79375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9FDF7AC-33F2-4184-AC6B-EF31137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</xdr:colOff>
      <xdr:row>47</xdr:row>
      <xdr:rowOff>23812</xdr:rowOff>
    </xdr:from>
    <xdr:to>
      <xdr:col>7</xdr:col>
      <xdr:colOff>448468</xdr:colOff>
      <xdr:row>65</xdr:row>
      <xdr:rowOff>51593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9E97D1-652B-4513-8F93-209F90ADB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305594</xdr:colOff>
      <xdr:row>55</xdr:row>
      <xdr:rowOff>103186</xdr:rowOff>
    </xdr:from>
    <xdr:to>
      <xdr:col>14</xdr:col>
      <xdr:colOff>515938</xdr:colOff>
      <xdr:row>64</xdr:row>
      <xdr:rowOff>181161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2251EA-4C61-4EC9-BFCC-E276AA294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D531F0-9257-4C0C-95B8-908FAF66355F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otal Cost Ex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E6F5072-8519-4106-8F05-CD3BC739571E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Total Cost Ex" tableColumnId="2"/>
      <queryTableField id="3" name="No of Item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07403CD-925B-4230-AAF4-744195F1337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Month" tableColumnId="1"/>
      <queryTableField id="2" name="Total Sales Ex" tableColumnId="2"/>
      <queryTableField id="3" name="Total Cost Ex" tableColumnId="3"/>
      <queryTableField id="4" dataBound="0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BEC3490-7913-4678-A286-5213B66B6CA0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otal Cost Ex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22F7E-5E26-4249-80BF-EF0E9A5835CB}" name="Payments" displayName="Payments" ref="A1:B13" tableType="queryTable" totalsRowShown="0" headerRowDxfId="32">
  <autoFilter ref="A1:B13" xr:uid="{C5E22F7E-5E26-4249-80BF-EF0E9A5835CB}"/>
  <tableColumns count="2">
    <tableColumn id="1" xr3:uid="{63D2C1D4-EDF1-452D-923C-7985F518DA7E}" uniqueName="1" name="Month" queryTableFieldId="1" dataDxfId="31"/>
    <tableColumn id="2" xr3:uid="{D0CD7D06-5401-47E1-B9C7-5DFAF42686FA}" uniqueName="2" name="Total Payments" queryTableFieldId="2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3FC5A3-4D27-4A6B-B285-9040F82BFB62}" name="Purchases" displayName="Purchases" ref="A1:C13" tableType="queryTable" totalsRowShown="0" headerRowDxfId="29">
  <autoFilter ref="A1:C13" xr:uid="{283FC5A3-4D27-4A6B-B285-9040F82BFB62}"/>
  <tableColumns count="3">
    <tableColumn id="1" xr3:uid="{58DDDEBF-6A88-4080-B8C9-E6EA7763F256}" uniqueName="1" name="Month" queryTableFieldId="1" dataDxfId="28"/>
    <tableColumn id="2" xr3:uid="{82EAE714-5ABE-4B87-BDE7-DFCE9612B63D}" uniqueName="2" name="Total Cost Ex" queryTableFieldId="2" dataDxfId="27"/>
    <tableColumn id="3" xr3:uid="{292D8FEB-6E03-47F6-8874-EAD919F375C4}" uniqueName="3" name="No of Item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46B972-3096-4185-9639-1ED8C17863F1}" name="Sales" displayName="Sales" ref="A1:E13" tableType="queryTable" totalsRowShown="0" headerRowDxfId="26">
  <autoFilter ref="A1:E13" xr:uid="{CF46B972-3096-4185-9639-1ED8C17863F1}"/>
  <tableColumns count="5">
    <tableColumn id="1" xr3:uid="{6D33BA9A-E0D6-4D9F-BED5-27572AE804ED}" uniqueName="1" name="Month" queryTableFieldId="1" dataDxfId="25"/>
    <tableColumn id="2" xr3:uid="{5A3D1721-F9A0-4617-9B34-312814A9D1E8}" uniqueName="2" name="Total Sales Ex" queryTableFieldId="2" dataDxfId="24"/>
    <tableColumn id="3" xr3:uid="{8D8E5AA7-9867-46B7-9406-CC6E4C7F7970}" uniqueName="3" name="Total Cost Ex" queryTableFieldId="3" dataDxfId="23"/>
    <tableColumn id="4" xr3:uid="{D3F0E1AE-5E85-4715-B36A-61D9E37F7855}" uniqueName="4" name="POS GP Rands" queryTableFieldId="4" dataDxfId="22">
      <calculatedColumnFormula>SUM((Sales[[#This Row],[Total Sales Ex]]-Sales[[#This Row],[Total Cost Ex]]))</calculatedColumnFormula>
    </tableColumn>
    <tableColumn id="5" xr3:uid="{C91F0B00-C5B3-43E7-8BE9-A123E8CFDE9F}" uniqueName="5" name="POS GP%" queryTableFieldId="5" dataDxfId="21" dataCellStyle="Per cent">
      <calculatedColumnFormula>SUM(Sales[[#This Row],[POS GP Rands]]/Sales[[#This Row],[Total Sales Ex]])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2D8535-5CE1-44F5-8EFB-C179208A6DA1}" name="S_W" displayName="S_W" ref="A1:B13" tableType="queryTable" totalsRowShown="0" headerRowDxfId="2">
  <autoFilter ref="A1:B13" xr:uid="{132D8535-5CE1-44F5-8EFB-C179208A6DA1}"/>
  <tableColumns count="2">
    <tableColumn id="1" xr3:uid="{FFD70AA4-D3C7-4F9E-AE90-00022C643A09}" uniqueName="1" name="Month" queryTableFieldId="1" dataDxfId="1"/>
    <tableColumn id="2" xr3:uid="{50895A11-C678-4B94-834A-5DF6C0F2EDB3}" uniqueName="2" name="Total S&amp;W" queryTableFieldId="2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E307D2-F8C0-402F-BAD9-E301DB2AF334}" name="Actual_GP" displayName="Actual_GP" ref="A1:E13" totalsRowShown="0" headerRowDxfId="20">
  <autoFilter ref="A1:E13" xr:uid="{3EE307D2-F8C0-402F-BAD9-E301DB2AF334}"/>
  <tableColumns count="5">
    <tableColumn id="1" xr3:uid="{E3283695-32A3-4A91-845F-2D9AA85E819A}" name="Month" dataDxfId="19">
      <calculatedColumnFormula>Payments[[#This Row],[Month]]</calculatedColumnFormula>
    </tableColumn>
    <tableColumn id="2" xr3:uid="{BC5D4C43-90B5-4D20-BF77-BCCF4C417826}" name="Total Payments" dataDxfId="18">
      <calculatedColumnFormula>Payments[[#This Row],[Total Payments]]</calculatedColumnFormula>
    </tableColumn>
    <tableColumn id="3" xr3:uid="{F3AFEAA3-88D2-45B5-8F91-F348D3DB5008}" name="Total Sales Ex" dataDxfId="17">
      <calculatedColumnFormula>Sales[[#This Row],[Total Sales Ex]]</calculatedColumnFormula>
    </tableColumn>
    <tableColumn id="4" xr3:uid="{B2D2F0E6-B050-4A06-BBA6-A8D8619DF039}" name="BackDoor_GP Rds" dataDxfId="16">
      <calculatedColumnFormula>SUM(B2-C2)</calculatedColumnFormula>
    </tableColumn>
    <tableColumn id="5" xr3:uid="{52EDEF15-1745-4DCF-97D8-271FDBE44804}" name="BackDoor_GP%" dataDxfId="15" dataCellStyle="Per cent">
      <calculatedColumnFormula>D2/B2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A8B987-2790-426B-A679-5CEA8875C1E6}" name="Table6" displayName="Table6" ref="A1:G14" totalsRowCount="1" headerRowDxfId="37">
  <autoFilter ref="A1:G13" xr:uid="{9CA8B987-2790-426B-A679-5CEA8875C1E6}"/>
  <tableColumns count="7">
    <tableColumn id="1" xr3:uid="{9FE87AEE-259C-43D4-879A-703D6C877317}" name="Month" totalsRowLabel="CFGP%" dataDxfId="36" totalsRowDxfId="35">
      <calculatedColumnFormula>Payments[[#This Row],[Month]]</calculatedColumnFormula>
    </tableColumn>
    <tableColumn id="2" xr3:uid="{2D577016-A22E-4A3C-9389-5EA975FD1548}" name="Total Payments" dataDxfId="14" totalsRowDxfId="13">
      <calculatedColumnFormula>Payments[[#This Row],[Total Payments]]</calculatedColumnFormula>
    </tableColumn>
    <tableColumn id="3" xr3:uid="{02EC5758-CCB4-48EC-8DDB-0BBA2E4B94D1}" name="Total Cost Ex" dataDxfId="12" totalsRowDxfId="11">
      <calculatedColumnFormula>Purchases[[#This Row],[Total Cost Ex]]</calculatedColumnFormula>
    </tableColumn>
    <tableColumn id="4" xr3:uid="{7628D9F7-7128-4F6D-B8B7-A642EF65BE2C}" name="Total Sales Ex" totalsRowFunction="custom" dataDxfId="10" totalsRowDxfId="9">
      <calculatedColumnFormula>Sales[[#This Row],[Total Sales Ex]]</calculatedColumnFormula>
      <totalsRowFormula>SUM(Table6[Total Sales Ex])</totalsRowFormula>
    </tableColumn>
    <tableColumn id="5" xr3:uid="{E90F2345-24BF-491C-A471-0A759237E0F3}" name="Total S&amp;W" dataDxfId="8" totalsRowDxfId="7">
      <calculatedColumnFormula>S_W[[#This Row],[Total S&amp;W]]</calculatedColumnFormula>
    </tableColumn>
    <tableColumn id="6" xr3:uid="{174D19BC-3728-4514-813B-BB5FE307FD1B}" name="Actual_GP RDs" totalsRowFunction="custom" dataDxfId="6" totalsRowDxfId="5">
      <calculatedColumnFormula>SUM((D2-(B2+E2)))</calculatedColumnFormula>
      <totalsRowFormula>SUM(Table6[Actual_GP RDs])</totalsRowFormula>
    </tableColumn>
    <tableColumn id="7" xr3:uid="{299FD794-0068-4D8F-8A9C-C1E9A3D607D8}" name="Actual_GP%" totalsRowFunction="custom" dataDxfId="34" totalsRowDxfId="33" dataCellStyle="Per cent">
      <calculatedColumnFormula>SUM(F2/D2)</calculatedColumnFormula>
      <totalsRowFormula>SUM(F14/D14)</totalsRow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DAF1-322D-4337-897F-A7F0D78071BB}">
  <dimension ref="A1:O66"/>
  <sheetViews>
    <sheetView showGridLines="0" tabSelected="1" topLeftCell="A31" zoomScale="160" zoomScaleNormal="160" zoomScaleSheetLayoutView="115" workbookViewId="0">
      <selection activeCell="P63" sqref="P63"/>
    </sheetView>
  </sheetViews>
  <sheetFormatPr defaultRowHeight="14.5" x14ac:dyDescent="0.35"/>
  <sheetData>
    <row r="1" spans="1:15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3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</sheetData>
  <sheetProtection algorithmName="SHA-512" hashValue="rBhstIkZPQkYLamNn69PHxbhUxCD318XNr3l3Te6kRb3/dk2XYfc6gvDV60tld5TCsOwq2+cXGTycRb1ugwbqA==" saltValue="/4xjyJEx/J2GbrsSiDer0g==" spinCount="100000" sheet="1" objects="1" scenarios="1" selectLockedCells="1" selectUnlockedCells="1"/>
  <pageMargins left="0.7" right="0.7" top="0.75" bottom="0.75" header="0.3" footer="0.3"/>
  <pageSetup paperSize="9" orientation="landscape" r:id="rId1"/>
  <headerFooter>
    <oddHeader>&amp;C&amp;"Segoe UI Semibold,Bold"&amp;22&amp;U&amp;K03-049XYZ WHOLESALERS&amp;R&amp;D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EFC5-9851-4A04-9B5C-F041802843E1}">
  <dimension ref="A1:B13"/>
  <sheetViews>
    <sheetView showGridLines="0" zoomScale="130" zoomScaleNormal="130" workbookViewId="0">
      <selection activeCell="C6" sqref="C6"/>
    </sheetView>
  </sheetViews>
  <sheetFormatPr defaultRowHeight="14.5" x14ac:dyDescent="0.35"/>
  <cols>
    <col min="1" max="1" width="15.453125" customWidth="1"/>
    <col min="2" max="2" width="13.90625" style="2" bestFit="1" customWidth="1"/>
    <col min="4" max="4" width="14" customWidth="1"/>
  </cols>
  <sheetData>
    <row r="1" spans="1:2" s="6" customFormat="1" x14ac:dyDescent="0.35">
      <c r="A1" s="6" t="s">
        <v>0</v>
      </c>
      <c r="B1" s="7" t="s">
        <v>4</v>
      </c>
    </row>
    <row r="2" spans="1:2" x14ac:dyDescent="0.35">
      <c r="A2" s="1">
        <v>46023</v>
      </c>
      <c r="B2" s="2">
        <v>4840653.3373999996</v>
      </c>
    </row>
    <row r="3" spans="1:2" x14ac:dyDescent="0.35">
      <c r="A3" s="1">
        <v>46055</v>
      </c>
      <c r="B3" s="2">
        <v>2590215.0166000002</v>
      </c>
    </row>
    <row r="4" spans="1:2" x14ac:dyDescent="0.35">
      <c r="A4" s="1">
        <v>46084</v>
      </c>
      <c r="B4" s="2">
        <v>4293932.9813999999</v>
      </c>
    </row>
    <row r="5" spans="1:2" x14ac:dyDescent="0.35">
      <c r="A5" s="1">
        <v>46116</v>
      </c>
      <c r="B5" s="2">
        <v>3271612.284</v>
      </c>
    </row>
    <row r="6" spans="1:2" x14ac:dyDescent="0.35">
      <c r="A6" s="1">
        <v>46147</v>
      </c>
      <c r="B6" s="2">
        <v>3940568.2941999999</v>
      </c>
    </row>
    <row r="7" spans="1:2" x14ac:dyDescent="0.35">
      <c r="A7" s="1">
        <v>46179</v>
      </c>
      <c r="B7" s="2">
        <v>3254447.4797999999</v>
      </c>
    </row>
    <row r="8" spans="1:2" x14ac:dyDescent="0.35">
      <c r="A8" s="1">
        <v>46210</v>
      </c>
      <c r="B8" s="2">
        <v>4386245.0422</v>
      </c>
    </row>
    <row r="9" spans="1:2" x14ac:dyDescent="0.35">
      <c r="A9" s="1">
        <v>46242</v>
      </c>
      <c r="B9" s="2">
        <v>2713533.9832000001</v>
      </c>
    </row>
    <row r="10" spans="1:2" x14ac:dyDescent="0.35">
      <c r="A10" s="1">
        <v>46274</v>
      </c>
      <c r="B10" s="2">
        <v>3281415.7601999999</v>
      </c>
    </row>
    <row r="11" spans="1:2" x14ac:dyDescent="0.35">
      <c r="A11" s="1">
        <v>46305</v>
      </c>
      <c r="B11" s="2">
        <v>2724136.7790000001</v>
      </c>
    </row>
    <row r="12" spans="1:2" x14ac:dyDescent="0.35">
      <c r="A12" s="1">
        <v>46337</v>
      </c>
      <c r="B12" s="2">
        <v>3166345.4345999998</v>
      </c>
    </row>
    <row r="13" spans="1:2" x14ac:dyDescent="0.35">
      <c r="A13" s="1">
        <v>46368</v>
      </c>
      <c r="B13" s="2">
        <v>3811130.8018</v>
      </c>
    </row>
  </sheetData>
  <sheetProtection algorithmName="SHA-512" hashValue="7s1pregUzzrPn5UxsDXkwVlMeJs8xE8GJN+YqkJh11z4pOuogTyoSOrzO15YC9otVORfVkoMBcnYkHazxOBqpA==" saltValue="dce87dz60ZohmfkGLsxu4w==" spinCount="100000" sheet="1" objects="1" scenarios="1" selectLockedCells="1" selectUnlockedCell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1B0F-C1F5-4680-9CE0-8B08768756CE}">
  <dimension ref="A1:C13"/>
  <sheetViews>
    <sheetView showGridLines="0" zoomScale="130" zoomScaleNormal="130" workbookViewId="0">
      <selection activeCell="C6" sqref="C6"/>
    </sheetView>
  </sheetViews>
  <sheetFormatPr defaultRowHeight="14.5" x14ac:dyDescent="0.35"/>
  <cols>
    <col min="1" max="1" width="15.453125" customWidth="1"/>
    <col min="2" max="2" width="13.90625" style="2" bestFit="1" customWidth="1"/>
    <col min="3" max="3" width="12.81640625" bestFit="1" customWidth="1"/>
    <col min="4" max="4" width="14" customWidth="1"/>
  </cols>
  <sheetData>
    <row r="1" spans="1:3" s="6" customFormat="1" x14ac:dyDescent="0.35">
      <c r="A1" s="6" t="s">
        <v>0</v>
      </c>
      <c r="B1" s="7" t="s">
        <v>1</v>
      </c>
      <c r="C1" s="6" t="s">
        <v>2</v>
      </c>
    </row>
    <row r="2" spans="1:3" x14ac:dyDescent="0.35">
      <c r="A2" s="1">
        <v>46023</v>
      </c>
      <c r="B2" s="2">
        <v>4081967.6911999998</v>
      </c>
      <c r="C2">
        <v>424729.76000000007</v>
      </c>
    </row>
    <row r="3" spans="1:3" x14ac:dyDescent="0.35">
      <c r="A3" s="1">
        <v>46055</v>
      </c>
      <c r="B3" s="2">
        <v>3864848.6688000001</v>
      </c>
      <c r="C3">
        <v>355946.08</v>
      </c>
    </row>
    <row r="4" spans="1:3" x14ac:dyDescent="0.35">
      <c r="A4" s="1">
        <v>46084</v>
      </c>
      <c r="B4" s="2">
        <v>4116026.9248000002</v>
      </c>
      <c r="C4">
        <v>308757.12000000005</v>
      </c>
    </row>
    <row r="5" spans="1:3" x14ac:dyDescent="0.35">
      <c r="A5" s="1">
        <v>46116</v>
      </c>
      <c r="B5" s="2">
        <v>3837128.0639999998</v>
      </c>
      <c r="C5">
        <v>283642.24000000005</v>
      </c>
    </row>
    <row r="6" spans="1:3" x14ac:dyDescent="0.35">
      <c r="A6" s="1">
        <v>46147</v>
      </c>
      <c r="B6" s="2">
        <v>3136305.1888000001</v>
      </c>
      <c r="C6">
        <v>85452.640000000014</v>
      </c>
    </row>
    <row r="7" spans="1:3" x14ac:dyDescent="0.35">
      <c r="A7" s="1">
        <v>46179</v>
      </c>
      <c r="B7" s="2">
        <v>3338591.9616</v>
      </c>
      <c r="C7">
        <v>113892.80000000002</v>
      </c>
    </row>
    <row r="8" spans="1:3" x14ac:dyDescent="0.35">
      <c r="A8" s="1">
        <v>46210</v>
      </c>
      <c r="B8" s="2">
        <v>2853053.2015999998</v>
      </c>
      <c r="C8">
        <v>105920.64000000001</v>
      </c>
    </row>
    <row r="9" spans="1:3" x14ac:dyDescent="0.35">
      <c r="A9" s="1">
        <v>46242</v>
      </c>
      <c r="B9" s="2">
        <v>3121811.4704</v>
      </c>
      <c r="C9">
        <v>62255.200000000004</v>
      </c>
    </row>
    <row r="10" spans="1:3" x14ac:dyDescent="0.35">
      <c r="A10" s="1">
        <v>46274</v>
      </c>
      <c r="B10" s="2">
        <v>3044300.6047999999</v>
      </c>
      <c r="C10">
        <v>163925.44</v>
      </c>
    </row>
    <row r="11" spans="1:3" x14ac:dyDescent="0.35">
      <c r="A11" s="1">
        <v>46305</v>
      </c>
      <c r="B11" s="2">
        <v>3822418.7008000002</v>
      </c>
      <c r="C11">
        <v>564846.24000000011</v>
      </c>
    </row>
    <row r="12" spans="1:3" x14ac:dyDescent="0.35">
      <c r="A12" s="1">
        <v>46337</v>
      </c>
      <c r="B12" s="2">
        <v>3465268.1616000002</v>
      </c>
      <c r="C12">
        <v>249026.40000000002</v>
      </c>
    </row>
    <row r="13" spans="1:3" x14ac:dyDescent="0.35">
      <c r="A13" s="1">
        <v>46368</v>
      </c>
      <c r="B13" s="2">
        <v>3570780.8864000002</v>
      </c>
      <c r="C13">
        <v>257391.68000000002</v>
      </c>
    </row>
  </sheetData>
  <sheetProtection algorithmName="SHA-512" hashValue="9fGjXHoOF/AnFazXP0vteii854eWEdLZWY3EmBw5Av6dmwJAvJn+agenMRijVv61kxAv+/nsI56hzDVn+bR01w==" saltValue="/j35JIwUoCX+6ezo2mRgEA==" spinCount="100000" sheet="1" objects="1" scenarios="1" selectLockedCells="1" selectUnlockedCell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3F9B-642B-4096-B9BD-C9CCA9F33A31}">
  <dimension ref="A1:E13"/>
  <sheetViews>
    <sheetView showGridLines="0" zoomScale="130" zoomScaleNormal="130" workbookViewId="0">
      <selection activeCell="C6" sqref="C6"/>
    </sheetView>
  </sheetViews>
  <sheetFormatPr defaultRowHeight="14.5" x14ac:dyDescent="0.35"/>
  <cols>
    <col min="1" max="1" width="15.453125" customWidth="1"/>
    <col min="2" max="2" width="14.36328125" style="3" bestFit="1" customWidth="1"/>
    <col min="3" max="3" width="13.90625" style="2" bestFit="1" customWidth="1"/>
    <col min="4" max="4" width="14" customWidth="1"/>
    <col min="5" max="5" width="8.7265625" style="5"/>
  </cols>
  <sheetData>
    <row r="1" spans="1:5" s="6" customFormat="1" x14ac:dyDescent="0.35">
      <c r="A1" s="6" t="s">
        <v>0</v>
      </c>
      <c r="B1" s="8" t="s">
        <v>3</v>
      </c>
      <c r="C1" s="7" t="s">
        <v>1</v>
      </c>
      <c r="D1" s="6" t="s">
        <v>6</v>
      </c>
      <c r="E1" s="14" t="s">
        <v>5</v>
      </c>
    </row>
    <row r="2" spans="1:5" x14ac:dyDescent="0.35">
      <c r="A2" s="1">
        <v>46023</v>
      </c>
      <c r="B2" s="3">
        <v>3643698.6571999998</v>
      </c>
      <c r="C2" s="2">
        <v>2509058.9149000002</v>
      </c>
      <c r="D2" s="3">
        <f>SUM((Sales[[#This Row],[Total Sales Ex]]-Sales[[#This Row],[Total Cost Ex]]))</f>
        <v>1134639.7422999996</v>
      </c>
      <c r="E2" s="5">
        <f>SUM(Sales[[#This Row],[POS GP Rands]]/Sales[[#This Row],[Total Sales Ex]])</f>
        <v>0.31139779906275605</v>
      </c>
    </row>
    <row r="3" spans="1:5" x14ac:dyDescent="0.35">
      <c r="A3" s="1">
        <v>46055</v>
      </c>
      <c r="B3" s="3">
        <v>3194563.4624999999</v>
      </c>
      <c r="C3" s="2">
        <v>2224102.6946999999</v>
      </c>
      <c r="D3" s="3">
        <f>SUM((Sales[[#This Row],[Total Sales Ex]]-Sales[[#This Row],[Total Cost Ex]]))</f>
        <v>970460.76780000003</v>
      </c>
      <c r="E3" s="5">
        <f>SUM(Sales[[#This Row],[POS GP Rands]]/Sales[[#This Row],[Total Sales Ex]])</f>
        <v>0.30378509589555541</v>
      </c>
    </row>
    <row r="4" spans="1:5" x14ac:dyDescent="0.35">
      <c r="A4" s="1">
        <v>46084</v>
      </c>
      <c r="B4" s="3">
        <v>3609819.8813999998</v>
      </c>
      <c r="C4" s="2">
        <v>2518816.1945000002</v>
      </c>
      <c r="D4" s="3">
        <f>SUM((Sales[[#This Row],[Total Sales Ex]]-Sales[[#This Row],[Total Cost Ex]]))</f>
        <v>1091003.6868999996</v>
      </c>
      <c r="E4" s="5">
        <f>SUM(Sales[[#This Row],[POS GP Rands]]/Sales[[#This Row],[Total Sales Ex]])</f>
        <v>0.30223216746118498</v>
      </c>
    </row>
    <row r="5" spans="1:5" x14ac:dyDescent="0.35">
      <c r="A5" s="1">
        <v>46116</v>
      </c>
      <c r="B5" s="3">
        <v>3526936.4145</v>
      </c>
      <c r="C5" s="2">
        <v>2485191.2699000002</v>
      </c>
      <c r="D5" s="3">
        <f>SUM((Sales[[#This Row],[Total Sales Ex]]-Sales[[#This Row],[Total Cost Ex]]))</f>
        <v>1041745.1445999998</v>
      </c>
      <c r="E5" s="5">
        <f>SUM(Sales[[#This Row],[POS GP Rands]]/Sales[[#This Row],[Total Sales Ex]])</f>
        <v>0.29536828061803433</v>
      </c>
    </row>
    <row r="6" spans="1:5" x14ac:dyDescent="0.35">
      <c r="A6" s="1">
        <v>46147</v>
      </c>
      <c r="B6" s="3">
        <v>3244527.9654000001</v>
      </c>
      <c r="C6" s="2">
        <v>2300839.4171000002</v>
      </c>
      <c r="D6" s="3">
        <f>SUM((Sales[[#This Row],[Total Sales Ex]]-Sales[[#This Row],[Total Cost Ex]]))</f>
        <v>943688.54829999991</v>
      </c>
      <c r="E6" s="5">
        <f>SUM(Sales[[#This Row],[POS GP Rands]]/Sales[[#This Row],[Total Sales Ex]])</f>
        <v>0.29085542130121778</v>
      </c>
    </row>
    <row r="7" spans="1:5" x14ac:dyDescent="0.35">
      <c r="A7" s="1">
        <v>46179</v>
      </c>
      <c r="B7" s="3">
        <v>3361101.8149000001</v>
      </c>
      <c r="C7" s="2">
        <v>2377168.1175000002</v>
      </c>
      <c r="D7" s="3">
        <f>SUM((Sales[[#This Row],[Total Sales Ex]]-Sales[[#This Row],[Total Cost Ex]]))</f>
        <v>983933.69739999995</v>
      </c>
      <c r="E7" s="5">
        <f>SUM(Sales[[#This Row],[POS GP Rands]]/Sales[[#This Row],[Total Sales Ex]])</f>
        <v>0.29274141385368119</v>
      </c>
    </row>
    <row r="8" spans="1:5" x14ac:dyDescent="0.35">
      <c r="A8" s="1">
        <v>46210</v>
      </c>
      <c r="B8" s="3">
        <v>3695666.68</v>
      </c>
      <c r="C8" s="2">
        <v>2689925.8807999999</v>
      </c>
      <c r="D8" s="3">
        <f>SUM((Sales[[#This Row],[Total Sales Ex]]-Sales[[#This Row],[Total Cost Ex]]))</f>
        <v>1005740.7992000002</v>
      </c>
      <c r="E8" s="5">
        <f>SUM(Sales[[#This Row],[POS GP Rands]]/Sales[[#This Row],[Total Sales Ex]])</f>
        <v>0.27214055981910151</v>
      </c>
    </row>
    <row r="9" spans="1:5" x14ac:dyDescent="0.35">
      <c r="A9" s="1">
        <v>46242</v>
      </c>
      <c r="B9" s="3">
        <v>3050479.2401999999</v>
      </c>
      <c r="C9" s="2">
        <v>2192928.1091</v>
      </c>
      <c r="D9" s="3">
        <f>SUM((Sales[[#This Row],[Total Sales Ex]]-Sales[[#This Row],[Total Cost Ex]]))</f>
        <v>857551.13109999988</v>
      </c>
      <c r="E9" s="5">
        <f>SUM(Sales[[#This Row],[POS GP Rands]]/Sales[[#This Row],[Total Sales Ex]])</f>
        <v>0.28112013345279341</v>
      </c>
    </row>
    <row r="10" spans="1:5" x14ac:dyDescent="0.35">
      <c r="A10" s="1">
        <v>46274</v>
      </c>
      <c r="B10" s="3">
        <v>2864006.8925000001</v>
      </c>
      <c r="C10" s="2">
        <v>2038656.3404999999</v>
      </c>
      <c r="D10" s="3">
        <f>SUM((Sales[[#This Row],[Total Sales Ex]]-Sales[[#This Row],[Total Cost Ex]]))</f>
        <v>825350.55200000014</v>
      </c>
      <c r="E10" s="5">
        <f>SUM(Sales[[#This Row],[POS GP Rands]]/Sales[[#This Row],[Total Sales Ex]])</f>
        <v>0.28818036512459272</v>
      </c>
    </row>
    <row r="11" spans="1:5" x14ac:dyDescent="0.35">
      <c r="A11" s="1">
        <v>46305</v>
      </c>
      <c r="B11" s="3">
        <v>3120748.2100999998</v>
      </c>
      <c r="C11" s="2">
        <v>2197461.9890999999</v>
      </c>
      <c r="D11" s="3">
        <f>SUM((Sales[[#This Row],[Total Sales Ex]]-Sales[[#This Row],[Total Cost Ex]]))</f>
        <v>923286.2209999999</v>
      </c>
      <c r="E11" s="5">
        <f>SUM(Sales[[#This Row],[POS GP Rands]]/Sales[[#This Row],[Total Sales Ex]])</f>
        <v>0.29585412178139631</v>
      </c>
    </row>
    <row r="12" spans="1:5" x14ac:dyDescent="0.35">
      <c r="A12" s="1">
        <v>46337</v>
      </c>
      <c r="B12" s="3">
        <v>3332163.6521000001</v>
      </c>
      <c r="C12" s="2">
        <v>2394235.3295</v>
      </c>
      <c r="D12" s="3">
        <f>SUM((Sales[[#This Row],[Total Sales Ex]]-Sales[[#This Row],[Total Cost Ex]]))</f>
        <v>937928.32260000007</v>
      </c>
      <c r="E12" s="5">
        <f>SUM(Sales[[#This Row],[POS GP Rands]]/Sales[[#This Row],[Total Sales Ex]])</f>
        <v>0.28147726838353149</v>
      </c>
    </row>
    <row r="13" spans="1:5" x14ac:dyDescent="0.35">
      <c r="A13" s="1">
        <v>46368</v>
      </c>
      <c r="B13" s="3">
        <v>3860433.9391999999</v>
      </c>
      <c r="C13" s="2">
        <v>2712606.2045999998</v>
      </c>
      <c r="D13" s="3">
        <f>SUM((Sales[[#This Row],[Total Sales Ex]]-Sales[[#This Row],[Total Cost Ex]]))</f>
        <v>1147827.7346000001</v>
      </c>
      <c r="E13" s="5">
        <f>SUM(Sales[[#This Row],[POS GP Rands]]/Sales[[#This Row],[Total Sales Ex]])</f>
        <v>0.29733127225533229</v>
      </c>
    </row>
  </sheetData>
  <sheetProtection algorithmName="SHA-512" hashValue="9ansFjwLR13cZx5k1iVseB8qjB95so2D6iiGsU1OLze0BM1hof+LXwQJE8VzvI1x0EbmbdnJzqbXk/mtvBWbBg==" saltValue="zbuF92pDV6AQQ4IKBe5lag==" spinCount="100000" sheet="1" objects="1" scenarios="1" selectLockedCells="1" selectUnlockedCell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6F9F-4775-4AC0-AAA7-7A7B58ECF29D}">
  <dimension ref="A1:B13"/>
  <sheetViews>
    <sheetView showGridLines="0" zoomScale="130" zoomScaleNormal="130" workbookViewId="0">
      <selection activeCell="C6" sqref="C6"/>
    </sheetView>
  </sheetViews>
  <sheetFormatPr defaultRowHeight="14.5" x14ac:dyDescent="0.35"/>
  <cols>
    <col min="1" max="1" width="15.453125" customWidth="1"/>
    <col min="2" max="2" width="13.90625" bestFit="1" customWidth="1"/>
    <col min="4" max="4" width="14" customWidth="1"/>
  </cols>
  <sheetData>
    <row r="1" spans="1:2" s="6" customFormat="1" x14ac:dyDescent="0.35">
      <c r="A1" s="6" t="s">
        <v>0</v>
      </c>
      <c r="B1" s="6" t="s">
        <v>9</v>
      </c>
    </row>
    <row r="2" spans="1:2" x14ac:dyDescent="0.35">
      <c r="A2" s="1">
        <v>46023</v>
      </c>
      <c r="B2" s="2">
        <v>495555.33299999998</v>
      </c>
    </row>
    <row r="3" spans="1:2" x14ac:dyDescent="0.35">
      <c r="A3" s="1">
        <v>46055</v>
      </c>
      <c r="B3" s="2">
        <v>623259.28599999996</v>
      </c>
    </row>
    <row r="4" spans="1:2" x14ac:dyDescent="0.35">
      <c r="A4" s="1">
        <v>46084</v>
      </c>
      <c r="B4" s="2">
        <v>412133.11099999998</v>
      </c>
    </row>
    <row r="5" spans="1:2" x14ac:dyDescent="0.35">
      <c r="A5" s="1">
        <v>46116</v>
      </c>
      <c r="B5" s="2">
        <v>358366.58649999998</v>
      </c>
    </row>
    <row r="6" spans="1:2" x14ac:dyDescent="0.35">
      <c r="A6" s="1">
        <v>46147</v>
      </c>
      <c r="B6" s="2">
        <v>357363.97450000001</v>
      </c>
    </row>
    <row r="7" spans="1:2" x14ac:dyDescent="0.35">
      <c r="A7" s="1">
        <v>46179</v>
      </c>
      <c r="B7" s="2">
        <v>404476.98849999998</v>
      </c>
    </row>
    <row r="8" spans="1:2" x14ac:dyDescent="0.35">
      <c r="A8" s="1">
        <v>46210</v>
      </c>
      <c r="B8" s="2">
        <v>411046.64899999998</v>
      </c>
    </row>
    <row r="9" spans="1:2" x14ac:dyDescent="0.35">
      <c r="A9" s="1">
        <v>46242</v>
      </c>
      <c r="B9" s="2">
        <v>347220.35399999999</v>
      </c>
    </row>
    <row r="10" spans="1:2" x14ac:dyDescent="0.35">
      <c r="A10" s="1">
        <v>46274</v>
      </c>
      <c r="B10" s="2">
        <v>308334.962</v>
      </c>
    </row>
    <row r="11" spans="1:2" x14ac:dyDescent="0.35">
      <c r="A11" s="1">
        <v>46305</v>
      </c>
      <c r="B11" s="2">
        <v>406765.06650000002</v>
      </c>
    </row>
    <row r="12" spans="1:2" x14ac:dyDescent="0.35">
      <c r="A12" s="1">
        <v>46337</v>
      </c>
      <c r="B12" s="2">
        <v>343499.98800000001</v>
      </c>
    </row>
    <row r="13" spans="1:2" x14ac:dyDescent="0.35">
      <c r="A13" s="1">
        <v>46368</v>
      </c>
      <c r="B13" s="2">
        <v>323199.83799999999</v>
      </c>
    </row>
  </sheetData>
  <sheetProtection algorithmName="SHA-512" hashValue="bOcggg+Nq0NCqcg4K5ASj2nlfskPvqai5Ua41KMdSIkHBg1qMEtQ/GtKPoJ4H14wuL5BukfK5rkrwse9Y3bpfA==" saltValue="CeTms9g6mDTyj6pGVB39Tg==" spinCount="100000" sheet="1" objects="1" scenarios="1" selectLockedCells="1" selectUnlockedCell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zoomScale="130" zoomScaleNormal="130" workbookViewId="0">
      <selection activeCell="E1" activeCellId="2" sqref="A1:A13 D1:D13 E1:E13"/>
    </sheetView>
  </sheetViews>
  <sheetFormatPr defaultRowHeight="14.5" x14ac:dyDescent="0.35"/>
  <cols>
    <col min="1" max="1" width="15.453125" customWidth="1"/>
    <col min="2" max="2" width="15.81640625" style="2" customWidth="1"/>
    <col min="3" max="3" width="14.08984375" customWidth="1"/>
    <col min="4" max="4" width="14" customWidth="1"/>
    <col min="5" max="5" width="15.7265625" style="4" customWidth="1"/>
  </cols>
  <sheetData>
    <row r="1" spans="1:5" s="6" customFormat="1" x14ac:dyDescent="0.35">
      <c r="A1" s="9" t="s">
        <v>0</v>
      </c>
      <c r="B1" s="10" t="s">
        <v>4</v>
      </c>
      <c r="C1" s="11" t="s">
        <v>3</v>
      </c>
      <c r="D1" s="9" t="s">
        <v>7</v>
      </c>
      <c r="E1" s="12" t="s">
        <v>8</v>
      </c>
    </row>
    <row r="2" spans="1:5" x14ac:dyDescent="0.35">
      <c r="A2" s="1">
        <f>Payments[[#This Row],[Month]]</f>
        <v>46023</v>
      </c>
      <c r="B2" s="2">
        <f>Payments[[#This Row],[Total Payments]]</f>
        <v>4840653.3373999996</v>
      </c>
      <c r="C2" s="3">
        <f>Sales[[#This Row],[Total Sales Ex]]</f>
        <v>3643698.6571999998</v>
      </c>
      <c r="D2" s="2">
        <f>SUM(B2-C2)</f>
        <v>1196954.6801999998</v>
      </c>
      <c r="E2" s="4">
        <f>D2/B2</f>
        <v>0.24727130756339294</v>
      </c>
    </row>
    <row r="3" spans="1:5" x14ac:dyDescent="0.35">
      <c r="A3" s="1">
        <f>Payments[[#This Row],[Month]]</f>
        <v>46055</v>
      </c>
      <c r="B3" s="2">
        <f>Payments[[#This Row],[Total Payments]]</f>
        <v>2590215.0166000002</v>
      </c>
      <c r="C3" s="3">
        <f>Sales[[#This Row],[Total Sales Ex]]</f>
        <v>3194563.4624999999</v>
      </c>
      <c r="D3" s="2">
        <f t="shared" ref="D3:D13" si="0">SUM(B3-C3)</f>
        <v>-604348.4458999997</v>
      </c>
      <c r="E3" s="4">
        <f t="shared" ref="E3:E13" si="1">D3/B3</f>
        <v>-0.23331979855992302</v>
      </c>
    </row>
    <row r="4" spans="1:5" x14ac:dyDescent="0.35">
      <c r="A4" s="1">
        <f>Payments[[#This Row],[Month]]</f>
        <v>46084</v>
      </c>
      <c r="B4" s="2">
        <f>Payments[[#This Row],[Total Payments]]</f>
        <v>4293932.9813999999</v>
      </c>
      <c r="C4" s="3">
        <f>Sales[[#This Row],[Total Sales Ex]]</f>
        <v>3609819.8813999998</v>
      </c>
      <c r="D4" s="2">
        <f t="shared" si="0"/>
        <v>684113.10000000009</v>
      </c>
      <c r="E4" s="4">
        <f t="shared" si="1"/>
        <v>0.1593208610761668</v>
      </c>
    </row>
    <row r="5" spans="1:5" x14ac:dyDescent="0.35">
      <c r="A5" s="1">
        <f>Payments[[#This Row],[Month]]</f>
        <v>46116</v>
      </c>
      <c r="B5" s="2">
        <f>Payments[[#This Row],[Total Payments]]</f>
        <v>3271612.284</v>
      </c>
      <c r="C5" s="3">
        <f>Sales[[#This Row],[Total Sales Ex]]</f>
        <v>3526936.4145</v>
      </c>
      <c r="D5" s="2">
        <f t="shared" si="0"/>
        <v>-255324.13049999997</v>
      </c>
      <c r="E5" s="4">
        <f t="shared" si="1"/>
        <v>-7.8042294849141103E-2</v>
      </c>
    </row>
    <row r="6" spans="1:5" x14ac:dyDescent="0.35">
      <c r="A6" s="1">
        <f>Payments[[#This Row],[Month]]</f>
        <v>46147</v>
      </c>
      <c r="B6" s="2">
        <f>Payments[[#This Row],[Total Payments]]</f>
        <v>3940568.2941999999</v>
      </c>
      <c r="C6" s="3">
        <f>Sales[[#This Row],[Total Sales Ex]]</f>
        <v>3244527.9654000001</v>
      </c>
      <c r="D6" s="2">
        <f t="shared" si="0"/>
        <v>696040.32879999978</v>
      </c>
      <c r="E6" s="4">
        <f t="shared" si="1"/>
        <v>0.17663450467905351</v>
      </c>
    </row>
    <row r="7" spans="1:5" x14ac:dyDescent="0.35">
      <c r="A7" s="1">
        <f>Payments[[#This Row],[Month]]</f>
        <v>46179</v>
      </c>
      <c r="B7" s="2">
        <f>Payments[[#This Row],[Total Payments]]</f>
        <v>3254447.4797999999</v>
      </c>
      <c r="C7" s="3">
        <f>Sales[[#This Row],[Total Sales Ex]]</f>
        <v>3361101.8149000001</v>
      </c>
      <c r="D7" s="2">
        <f t="shared" si="0"/>
        <v>-106654.33510000026</v>
      </c>
      <c r="E7" s="4">
        <f t="shared" si="1"/>
        <v>-3.2771871650101002E-2</v>
      </c>
    </row>
    <row r="8" spans="1:5" x14ac:dyDescent="0.35">
      <c r="A8" s="1">
        <f>Payments[[#This Row],[Month]]</f>
        <v>46210</v>
      </c>
      <c r="B8" s="2">
        <f>Payments[[#This Row],[Total Payments]]</f>
        <v>4386245.0422</v>
      </c>
      <c r="C8" s="3">
        <f>Sales[[#This Row],[Total Sales Ex]]</f>
        <v>3695666.68</v>
      </c>
      <c r="D8" s="2">
        <f t="shared" si="0"/>
        <v>690578.36219999986</v>
      </c>
      <c r="E8" s="4">
        <f t="shared" si="1"/>
        <v>0.15744181083271805</v>
      </c>
    </row>
    <row r="9" spans="1:5" x14ac:dyDescent="0.35">
      <c r="A9" s="1">
        <f>Payments[[#This Row],[Month]]</f>
        <v>46242</v>
      </c>
      <c r="B9" s="2">
        <f>Payments[[#This Row],[Total Payments]]</f>
        <v>2713533.9832000001</v>
      </c>
      <c r="C9" s="3">
        <f>Sales[[#This Row],[Total Sales Ex]]</f>
        <v>3050479.2401999999</v>
      </c>
      <c r="D9" s="2">
        <f t="shared" si="0"/>
        <v>-336945.25699999975</v>
      </c>
      <c r="E9" s="4">
        <f t="shared" si="1"/>
        <v>-0.12417211617252309</v>
      </c>
    </row>
    <row r="10" spans="1:5" x14ac:dyDescent="0.35">
      <c r="A10" s="1">
        <f>Payments[[#This Row],[Month]]</f>
        <v>46274</v>
      </c>
      <c r="B10" s="2">
        <f>Payments[[#This Row],[Total Payments]]</f>
        <v>3281415.7601999999</v>
      </c>
      <c r="C10" s="3">
        <f>Sales[[#This Row],[Total Sales Ex]]</f>
        <v>2864006.8925000001</v>
      </c>
      <c r="D10" s="2">
        <f t="shared" si="0"/>
        <v>417408.86769999983</v>
      </c>
      <c r="E10" s="4">
        <f t="shared" si="1"/>
        <v>0.12720389557541439</v>
      </c>
    </row>
    <row r="11" spans="1:5" x14ac:dyDescent="0.35">
      <c r="A11" s="1">
        <f>Payments[[#This Row],[Month]]</f>
        <v>46305</v>
      </c>
      <c r="B11" s="2">
        <f>Payments[[#This Row],[Total Payments]]</f>
        <v>2724136.7790000001</v>
      </c>
      <c r="C11" s="3">
        <f>Sales[[#This Row],[Total Sales Ex]]</f>
        <v>3120748.2100999998</v>
      </c>
      <c r="D11" s="2">
        <f t="shared" si="0"/>
        <v>-396611.4310999997</v>
      </c>
      <c r="E11" s="4">
        <f t="shared" si="1"/>
        <v>-0.14559159956923723</v>
      </c>
    </row>
    <row r="12" spans="1:5" x14ac:dyDescent="0.35">
      <c r="A12" s="1">
        <f>Payments[[#This Row],[Month]]</f>
        <v>46337</v>
      </c>
      <c r="B12" s="2">
        <f>Payments[[#This Row],[Total Payments]]</f>
        <v>3166345.4345999998</v>
      </c>
      <c r="C12" s="3">
        <f>Sales[[#This Row],[Total Sales Ex]]</f>
        <v>3332163.6521000001</v>
      </c>
      <c r="D12" s="2">
        <f t="shared" si="0"/>
        <v>-165818.21750000026</v>
      </c>
      <c r="E12" s="4">
        <f t="shared" si="1"/>
        <v>-5.2368960028187153E-2</v>
      </c>
    </row>
    <row r="13" spans="1:5" x14ac:dyDescent="0.35">
      <c r="A13" s="1">
        <f>Payments[[#This Row],[Month]]</f>
        <v>46368</v>
      </c>
      <c r="B13" s="2">
        <f>Payments[[#This Row],[Total Payments]]</f>
        <v>3811130.8018</v>
      </c>
      <c r="C13" s="3">
        <f>Sales[[#This Row],[Total Sales Ex]]</f>
        <v>3860433.9391999999</v>
      </c>
      <c r="D13" s="2">
        <f t="shared" si="0"/>
        <v>-49303.13739999989</v>
      </c>
      <c r="E13" s="4">
        <f t="shared" si="1"/>
        <v>-1.2936616443789854E-2</v>
      </c>
    </row>
  </sheetData>
  <sheetProtection algorithmName="SHA-512" hashValue="F7BdT8M7z8ayHD1yeZww0N94kDKNIie6S/MhTwHG1D3/5mVRy62sqnG3eWtVMyY78EjWc0pjlO9IjDyClNK3tg==" saltValue="GiShdnCt5Vhe6foaCMCscA==" spinCount="100000" sheet="1" objects="1" scenarios="1" selectLockedCells="1" selectUnlockedCells="1"/>
  <conditionalFormatting sqref="E2:E13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9ECC-511D-459D-9605-0940DF76E09E}">
  <dimension ref="A1:G15"/>
  <sheetViews>
    <sheetView showGridLines="0" zoomScale="130" zoomScaleNormal="130" zoomScaleSheetLayoutView="115" workbookViewId="0">
      <selection activeCell="G16" sqref="G16"/>
    </sheetView>
  </sheetViews>
  <sheetFormatPr defaultRowHeight="14.5" x14ac:dyDescent="0.35"/>
  <cols>
    <col min="1" max="1" width="12.08984375" customWidth="1"/>
    <col min="2" max="2" width="15.81640625" customWidth="1"/>
    <col min="3" max="3" width="13.6328125" customWidth="1"/>
    <col min="4" max="4" width="14" customWidth="1"/>
    <col min="5" max="5" width="11.7265625" customWidth="1"/>
    <col min="6" max="6" width="15.08984375" customWidth="1"/>
    <col min="7" max="7" width="12.90625" customWidth="1"/>
  </cols>
  <sheetData>
    <row r="1" spans="1:7" s="6" customFormat="1" x14ac:dyDescent="0.35">
      <c r="A1" s="9" t="s">
        <v>0</v>
      </c>
      <c r="B1" s="9" t="s">
        <v>4</v>
      </c>
      <c r="C1" s="10" t="s">
        <v>1</v>
      </c>
      <c r="D1" s="11" t="s">
        <v>3</v>
      </c>
      <c r="E1" s="9" t="s">
        <v>9</v>
      </c>
      <c r="F1" s="9" t="s">
        <v>10</v>
      </c>
      <c r="G1" s="9" t="s">
        <v>11</v>
      </c>
    </row>
    <row r="2" spans="1:7" x14ac:dyDescent="0.35">
      <c r="A2" s="1">
        <f>Payments[[#This Row],[Month]]</f>
        <v>46023</v>
      </c>
      <c r="B2" s="2">
        <f>Payments[[#This Row],[Total Payments]]</f>
        <v>4840653.3373999996</v>
      </c>
      <c r="C2" s="2">
        <f>Purchases[[#This Row],[Total Cost Ex]]</f>
        <v>4081967.6911999998</v>
      </c>
      <c r="D2" s="2">
        <f>Sales[[#This Row],[Total Sales Ex]]</f>
        <v>3643698.6571999998</v>
      </c>
      <c r="E2" s="2">
        <f>S_W[[#This Row],[Total S&amp;W]]</f>
        <v>495555.33299999998</v>
      </c>
      <c r="F2" s="2">
        <f>SUM((D2-(B2+E2)))</f>
        <v>-1692510.0131999995</v>
      </c>
      <c r="G2" s="5">
        <f>SUM(F2/D2)</f>
        <v>-0.4645032897700187</v>
      </c>
    </row>
    <row r="3" spans="1:7" x14ac:dyDescent="0.35">
      <c r="A3" s="1">
        <f>Payments[[#This Row],[Month]]</f>
        <v>46055</v>
      </c>
      <c r="B3" s="2">
        <f>Payments[[#This Row],[Total Payments]]</f>
        <v>2590215.0166000002</v>
      </c>
      <c r="C3" s="2">
        <f>Purchases[[#This Row],[Total Cost Ex]]</f>
        <v>3864848.6688000001</v>
      </c>
      <c r="D3" s="2">
        <f>Sales[[#This Row],[Total Sales Ex]]</f>
        <v>3194563.4624999999</v>
      </c>
      <c r="E3" s="2">
        <f>S_W[[#This Row],[Total S&amp;W]]</f>
        <v>623259.28599999996</v>
      </c>
      <c r="F3" s="2">
        <f t="shared" ref="F3:F13" si="0">SUM((D3-(B3+E3)))</f>
        <v>-18910.840100000147</v>
      </c>
      <c r="G3" s="5">
        <f t="shared" ref="G3:G12" si="1">SUM(F3/D3)</f>
        <v>-5.9196946067870291E-3</v>
      </c>
    </row>
    <row r="4" spans="1:7" x14ac:dyDescent="0.35">
      <c r="A4" s="1">
        <f>Payments[[#This Row],[Month]]</f>
        <v>46084</v>
      </c>
      <c r="B4" s="2">
        <f>Payments[[#This Row],[Total Payments]]</f>
        <v>4293932.9813999999</v>
      </c>
      <c r="C4" s="2">
        <f>Purchases[[#This Row],[Total Cost Ex]]</f>
        <v>4116026.9248000002</v>
      </c>
      <c r="D4" s="2">
        <f>Sales[[#This Row],[Total Sales Ex]]</f>
        <v>3609819.8813999998</v>
      </c>
      <c r="E4" s="2">
        <f>S_W[[#This Row],[Total S&amp;W]]</f>
        <v>412133.11099999998</v>
      </c>
      <c r="F4" s="2">
        <f t="shared" si="0"/>
        <v>-1096246.2109999997</v>
      </c>
      <c r="G4" s="5">
        <f t="shared" si="1"/>
        <v>-0.30368446266489102</v>
      </c>
    </row>
    <row r="5" spans="1:7" x14ac:dyDescent="0.35">
      <c r="A5" s="1">
        <f>Payments[[#This Row],[Month]]</f>
        <v>46116</v>
      </c>
      <c r="B5" s="2">
        <f>Payments[[#This Row],[Total Payments]]</f>
        <v>3271612.284</v>
      </c>
      <c r="C5" s="2">
        <f>Purchases[[#This Row],[Total Cost Ex]]</f>
        <v>3837128.0639999998</v>
      </c>
      <c r="D5" s="2">
        <f>Sales[[#This Row],[Total Sales Ex]]</f>
        <v>3526936.4145</v>
      </c>
      <c r="E5" s="2">
        <f>S_W[[#This Row],[Total S&amp;W]]</f>
        <v>358366.58649999998</v>
      </c>
      <c r="F5" s="2">
        <f t="shared" si="0"/>
        <v>-103042.45600000024</v>
      </c>
      <c r="G5" s="5">
        <f t="shared" si="1"/>
        <v>-2.9215853049227192E-2</v>
      </c>
    </row>
    <row r="6" spans="1:7" x14ac:dyDescent="0.35">
      <c r="A6" s="1">
        <f>Payments[[#This Row],[Month]]</f>
        <v>46147</v>
      </c>
      <c r="B6" s="2">
        <f>Payments[[#This Row],[Total Payments]]</f>
        <v>3940568.2941999999</v>
      </c>
      <c r="C6" s="2">
        <f>Purchases[[#This Row],[Total Cost Ex]]</f>
        <v>3136305.1888000001</v>
      </c>
      <c r="D6" s="2">
        <f>Sales[[#This Row],[Total Sales Ex]]</f>
        <v>3244527.9654000001</v>
      </c>
      <c r="E6" s="2">
        <f>S_W[[#This Row],[Total S&amp;W]]</f>
        <v>357363.97450000001</v>
      </c>
      <c r="F6" s="2">
        <f t="shared" si="0"/>
        <v>-1053404.3032999998</v>
      </c>
      <c r="G6" s="5">
        <f t="shared" si="1"/>
        <v>-0.32467105062234575</v>
      </c>
    </row>
    <row r="7" spans="1:7" x14ac:dyDescent="0.35">
      <c r="A7" s="1">
        <f>Payments[[#This Row],[Month]]</f>
        <v>46179</v>
      </c>
      <c r="B7" s="2">
        <f>Payments[[#This Row],[Total Payments]]</f>
        <v>3254447.4797999999</v>
      </c>
      <c r="C7" s="2">
        <f>Purchases[[#This Row],[Total Cost Ex]]</f>
        <v>3338591.9616</v>
      </c>
      <c r="D7" s="2">
        <f>Sales[[#This Row],[Total Sales Ex]]</f>
        <v>3361101.8149000001</v>
      </c>
      <c r="E7" s="2">
        <f>S_W[[#This Row],[Total S&amp;W]]</f>
        <v>404476.98849999998</v>
      </c>
      <c r="F7" s="2">
        <f t="shared" si="0"/>
        <v>-297822.65339999972</v>
      </c>
      <c r="G7" s="5">
        <f t="shared" si="1"/>
        <v>-8.8608637822195982E-2</v>
      </c>
    </row>
    <row r="8" spans="1:7" x14ac:dyDescent="0.35">
      <c r="A8" s="1">
        <f>Payments[[#This Row],[Month]]</f>
        <v>46210</v>
      </c>
      <c r="B8" s="2">
        <f>Payments[[#This Row],[Total Payments]]</f>
        <v>4386245.0422</v>
      </c>
      <c r="C8" s="2">
        <f>Purchases[[#This Row],[Total Cost Ex]]</f>
        <v>2853053.2015999998</v>
      </c>
      <c r="D8" s="2">
        <f>Sales[[#This Row],[Total Sales Ex]]</f>
        <v>3695666.68</v>
      </c>
      <c r="E8" s="2">
        <f>S_W[[#This Row],[Total S&amp;W]]</f>
        <v>411046.64899999998</v>
      </c>
      <c r="F8" s="2">
        <f t="shared" si="0"/>
        <v>-1101625.0112000001</v>
      </c>
      <c r="G8" s="5">
        <f t="shared" si="1"/>
        <v>-0.29808559769789628</v>
      </c>
    </row>
    <row r="9" spans="1:7" x14ac:dyDescent="0.35">
      <c r="A9" s="1">
        <f>Payments[[#This Row],[Month]]</f>
        <v>46242</v>
      </c>
      <c r="B9" s="2">
        <f>Payments[[#This Row],[Total Payments]]</f>
        <v>2713533.9832000001</v>
      </c>
      <c r="C9" s="2">
        <f>Purchases[[#This Row],[Total Cost Ex]]</f>
        <v>3121811.4704</v>
      </c>
      <c r="D9" s="2">
        <f>Sales[[#This Row],[Total Sales Ex]]</f>
        <v>3050479.2401999999</v>
      </c>
      <c r="E9" s="2">
        <f>S_W[[#This Row],[Total S&amp;W]]</f>
        <v>347220.35399999999</v>
      </c>
      <c r="F9" s="2">
        <f t="shared" si="0"/>
        <v>-10275.097000000067</v>
      </c>
      <c r="G9" s="5">
        <f t="shared" si="1"/>
        <v>-3.3683549996315976E-3</v>
      </c>
    </row>
    <row r="10" spans="1:7" x14ac:dyDescent="0.35">
      <c r="A10" s="1">
        <f>Payments[[#This Row],[Month]]</f>
        <v>46274</v>
      </c>
      <c r="B10" s="2">
        <f>Payments[[#This Row],[Total Payments]]</f>
        <v>3281415.7601999999</v>
      </c>
      <c r="C10" s="2">
        <f>Purchases[[#This Row],[Total Cost Ex]]</f>
        <v>3044300.6047999999</v>
      </c>
      <c r="D10" s="2">
        <f>Sales[[#This Row],[Total Sales Ex]]</f>
        <v>2864006.8925000001</v>
      </c>
      <c r="E10" s="2">
        <f>S_W[[#This Row],[Total S&amp;W]]</f>
        <v>308334.962</v>
      </c>
      <c r="F10" s="2">
        <f t="shared" si="0"/>
        <v>-725743.82969999965</v>
      </c>
      <c r="G10" s="5">
        <f t="shared" si="1"/>
        <v>-0.2534015653385861</v>
      </c>
    </row>
    <row r="11" spans="1:7" x14ac:dyDescent="0.35">
      <c r="A11" s="1">
        <f>Payments[[#This Row],[Month]]</f>
        <v>46305</v>
      </c>
      <c r="B11" s="2">
        <f>Payments[[#This Row],[Total Payments]]</f>
        <v>2724136.7790000001</v>
      </c>
      <c r="C11" s="2">
        <f>Purchases[[#This Row],[Total Cost Ex]]</f>
        <v>3822418.7008000002</v>
      </c>
      <c r="D11" s="2">
        <f>Sales[[#This Row],[Total Sales Ex]]</f>
        <v>3120748.2100999998</v>
      </c>
      <c r="E11" s="2">
        <f>S_W[[#This Row],[Total S&amp;W]]</f>
        <v>406765.06650000002</v>
      </c>
      <c r="F11" s="2">
        <f t="shared" si="0"/>
        <v>-10153.635400000494</v>
      </c>
      <c r="G11" s="5">
        <f t="shared" si="1"/>
        <v>-3.2535900740531501E-3</v>
      </c>
    </row>
    <row r="12" spans="1:7" x14ac:dyDescent="0.35">
      <c r="A12" s="1">
        <f>Payments[[#This Row],[Month]]</f>
        <v>46337</v>
      </c>
      <c r="B12" s="2">
        <f>Payments[[#This Row],[Total Payments]]</f>
        <v>3166345.4345999998</v>
      </c>
      <c r="C12" s="2">
        <f>Purchases[[#This Row],[Total Cost Ex]]</f>
        <v>3465268.1616000002</v>
      </c>
      <c r="D12" s="2">
        <f>Sales[[#This Row],[Total Sales Ex]]</f>
        <v>3332163.6521000001</v>
      </c>
      <c r="E12" s="2">
        <f>S_W[[#This Row],[Total S&amp;W]]</f>
        <v>343499.98800000001</v>
      </c>
      <c r="F12" s="2">
        <f t="shared" si="0"/>
        <v>-177681.77049999963</v>
      </c>
      <c r="G12" s="5">
        <f t="shared" si="1"/>
        <v>-5.3323242508818806E-2</v>
      </c>
    </row>
    <row r="13" spans="1:7" x14ac:dyDescent="0.35">
      <c r="A13" s="1">
        <f>Payments[[#This Row],[Month]]</f>
        <v>46368</v>
      </c>
      <c r="B13" s="2">
        <f>Payments[[#This Row],[Total Payments]]</f>
        <v>3811130.8018</v>
      </c>
      <c r="C13" s="2">
        <f>Purchases[[#This Row],[Total Cost Ex]]</f>
        <v>3570780.8864000002</v>
      </c>
      <c r="D13" s="2">
        <f>Sales[[#This Row],[Total Sales Ex]]</f>
        <v>3860433.9391999999</v>
      </c>
      <c r="E13" s="2">
        <f>S_W[[#This Row],[Total S&amp;W]]</f>
        <v>323199.83799999999</v>
      </c>
      <c r="F13" s="2">
        <f t="shared" si="0"/>
        <v>-273896.7006000001</v>
      </c>
      <c r="G13" s="5">
        <f>SUM(F13/D13)</f>
        <v>-7.0949718325385949E-2</v>
      </c>
    </row>
    <row r="14" spans="1:7" x14ac:dyDescent="0.35">
      <c r="A14" s="1" t="s">
        <v>12</v>
      </c>
      <c r="B14" s="2"/>
      <c r="C14" s="2"/>
      <c r="D14" s="2">
        <f>SUM(Table6[Total Sales Ex])</f>
        <v>40504146.809999995</v>
      </c>
      <c r="E14" s="2"/>
      <c r="F14" s="2">
        <f>SUM(Table6[Actual_GP RDs])</f>
        <v>-6561312.5214</v>
      </c>
      <c r="G14" s="13">
        <f>SUM(F14/D14)</f>
        <v>-0.16199113024595521</v>
      </c>
    </row>
    <row r="15" spans="1:7" x14ac:dyDescent="0.35">
      <c r="G15" s="16">
        <f>100%+Table6[[#Totals],[Actual_GP%]]</f>
        <v>0.83800886975404476</v>
      </c>
    </row>
  </sheetData>
  <sheetProtection algorithmName="SHA-512" hashValue="D6Wki6lzOU586VAmf1qt6lbRgzD7JwEJc8NTN7krXtTjfiEa53Ifv43D15VlB4vSAUXsa/GOdi0o+wbIJ5Bvdg==" saltValue="5IwgU3ToTEaWqZTD0WKPhw==" spinCount="100000" sheet="1" objects="1" scenarios="1" selectLockedCells="1" selectUnlockedCells="1"/>
  <conditionalFormatting sqref="G2:G14">
    <cfRule type="cellIs" dxfId="3" priority="1" operator="lessThan">
      <formula>0</formula>
    </cfRule>
  </conditionalFormatting>
  <pageMargins left="0.7" right="0.7" top="0.75" bottom="0.75" header="0.3" footer="0.3"/>
  <pageSetup paperSize="9" scale="91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1F5B7-A4FC-496C-B93A-0B62A1E6FB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Dashboard</vt:lpstr>
      <vt:lpstr>2026_Payments</vt:lpstr>
      <vt:lpstr>2026_Purchases</vt:lpstr>
      <vt:lpstr>2026_Sales</vt:lpstr>
      <vt:lpstr>2026_S&amp;W</vt:lpstr>
      <vt:lpstr>2026_BackDoor_GP%</vt:lpstr>
      <vt:lpstr>2026_Cash_Flow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Coetzee</dc:creator>
  <cp:lastModifiedBy>Keith Coetzee</cp:lastModifiedBy>
  <cp:lastPrinted>2026-07-24T20:45:56Z</cp:lastPrinted>
  <dcterms:created xsi:type="dcterms:W3CDTF">2015-06-05T18:17:20Z</dcterms:created>
  <dcterms:modified xsi:type="dcterms:W3CDTF">2026-07-24T21:05:59Z</dcterms:modified>
</cp:coreProperties>
</file>