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2.xml" ContentType="application/vnd.openxmlformats-officedocument.spreadsheetml.table+xml"/>
  <Override PartName="/xl/tables/table3.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c04201e4fb2a04af/Desktop/Local Work Portfolio/GitHub/Run_Work/03_Data_Operations/FMCG_Demand_Planning/"/>
    </mc:Choice>
  </mc:AlternateContent>
  <xr:revisionPtr revIDLastSave="864" documentId="14_{7C3CE971-0282-4E1F-8BC4-A1B625E62A86}" xr6:coauthVersionLast="47" xr6:coauthVersionMax="47" xr10:uidLastSave="{3E2DB5F1-84CB-4FE8-BAA4-41FB9727C35C}"/>
  <bookViews>
    <workbookView xWindow="-110" yWindow="-110" windowWidth="38620" windowHeight="21100" activeTab="1" xr2:uid="{698A86FF-035B-41C1-AB67-35A7EBBEA5FF}"/>
  </bookViews>
  <sheets>
    <sheet name="DashBoard" sheetId="5" r:id="rId1"/>
    <sheet name="FMCG_Raw_Sales" sheetId="2" r:id="rId2"/>
    <sheet name="Recount_List" sheetId="4" r:id="rId3"/>
    <sheet name="DashBoard_Data" sheetId="3" r:id="rId4"/>
    <sheet name="Size_Map" sheetId="1" r:id="rId5"/>
  </sheets>
  <definedNames>
    <definedName name="_xlnm._FilterDatabase" localSheetId="2" hidden="1">Recount_List!$K$1:$K$200</definedName>
    <definedName name="_xlnm.Print_Area" localSheetId="2">Recount_List!$K$1:$O$200</definedName>
    <definedName name="rng_Recount">Recount_List!$K$1:$O$20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38" i="3" l="1"/>
  <c r="A39" i="3"/>
  <c r="A40" i="3"/>
  <c r="A41" i="3"/>
  <c r="A42" i="3"/>
  <c r="A43" i="3"/>
  <c r="A44" i="3"/>
  <c r="A45" i="3"/>
  <c r="A46" i="3"/>
  <c r="A47" i="3"/>
  <c r="A48" i="3"/>
  <c r="A49" i="3"/>
  <c r="A50" i="3"/>
  <c r="A51" i="3"/>
  <c r="A52" i="3"/>
  <c r="A53" i="3"/>
  <c r="A54" i="3"/>
  <c r="A55" i="3"/>
  <c r="A56" i="3"/>
  <c r="A57" i="3"/>
  <c r="A58" i="3"/>
  <c r="A59" i="3"/>
  <c r="A60" i="3"/>
  <c r="A61" i="3"/>
  <c r="A62" i="3"/>
  <c r="A63" i="3"/>
  <c r="A64" i="3"/>
  <c r="A65" i="3"/>
  <c r="A66" i="3"/>
  <c r="A67" i="3"/>
  <c r="A68" i="3"/>
  <c r="A69" i="3"/>
  <c r="A70" i="3"/>
  <c r="A71" i="3"/>
  <c r="A72" i="3"/>
  <c r="A73" i="3"/>
  <c r="A74" i="3"/>
  <c r="A75" i="3"/>
  <c r="A76" i="3"/>
  <c r="A77" i="3"/>
  <c r="A78" i="3"/>
  <c r="A79" i="3"/>
  <c r="A80" i="3"/>
  <c r="A81" i="3"/>
  <c r="A82" i="3"/>
  <c r="A83" i="3"/>
  <c r="A84" i="3"/>
  <c r="A85" i="3"/>
  <c r="A86" i="3"/>
  <c r="A87" i="3"/>
  <c r="A88" i="3"/>
  <c r="C93" i="3"/>
  <c r="C95" i="3"/>
  <c r="C94"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B38" i="3"/>
  <c r="B39" i="3"/>
  <c r="B40" i="3"/>
  <c r="B41" i="3"/>
  <c r="B42" i="3"/>
  <c r="B43" i="3"/>
  <c r="B44" i="3"/>
  <c r="B45" i="3"/>
  <c r="B46" i="3"/>
  <c r="B47" i="3"/>
  <c r="B48" i="3"/>
  <c r="B49" i="3"/>
  <c r="B50" i="3"/>
  <c r="B51" i="3"/>
  <c r="B52" i="3"/>
  <c r="B53" i="3"/>
  <c r="B54" i="3"/>
  <c r="B55" i="3"/>
  <c r="B56" i="3"/>
  <c r="B57" i="3"/>
  <c r="B58" i="3"/>
  <c r="B59" i="3"/>
  <c r="B60" i="3"/>
  <c r="B61" i="3"/>
  <c r="B62" i="3"/>
  <c r="B63" i="3"/>
  <c r="B64" i="3"/>
  <c r="B65" i="3"/>
  <c r="B66" i="3"/>
  <c r="B67" i="3"/>
  <c r="B68" i="3"/>
  <c r="B69" i="3"/>
  <c r="B70" i="3"/>
  <c r="B71" i="3"/>
  <c r="B72" i="3"/>
  <c r="B73" i="3"/>
  <c r="B74" i="3"/>
  <c r="B75" i="3"/>
  <c r="B76" i="3"/>
  <c r="B77" i="3"/>
  <c r="B78" i="3"/>
  <c r="B79" i="3"/>
  <c r="B80" i="3"/>
  <c r="B81" i="3"/>
  <c r="B82" i="3"/>
  <c r="B83" i="3"/>
  <c r="B84" i="3"/>
  <c r="B85" i="3"/>
  <c r="B86" i="3"/>
  <c r="B87" i="3"/>
  <c r="B88" i="3"/>
  <c r="B4" i="3"/>
  <c r="M201" i="4"/>
  <c r="L201" i="4"/>
  <c r="K201" i="4"/>
  <c r="K200" i="4"/>
  <c r="K199" i="4"/>
  <c r="K198" i="4"/>
  <c r="K197" i="4"/>
  <c r="K196" i="4"/>
  <c r="K195" i="4"/>
  <c r="K194" i="4"/>
  <c r="K193" i="4"/>
  <c r="K192" i="4"/>
  <c r="K191" i="4"/>
  <c r="K190" i="4"/>
  <c r="K189" i="4"/>
  <c r="K188" i="4"/>
  <c r="K187" i="4"/>
  <c r="K186" i="4"/>
  <c r="K185" i="4"/>
  <c r="K184" i="4"/>
  <c r="K183" i="4"/>
  <c r="K182" i="4"/>
  <c r="K181" i="4"/>
  <c r="K180" i="4"/>
  <c r="K179" i="4"/>
  <c r="K178" i="4"/>
  <c r="K177" i="4"/>
  <c r="K176" i="4"/>
  <c r="K175" i="4"/>
  <c r="K174" i="4"/>
  <c r="K173" i="4"/>
  <c r="K172" i="4"/>
  <c r="K171" i="4"/>
  <c r="K170" i="4"/>
  <c r="K169" i="4"/>
  <c r="K168" i="4"/>
  <c r="K167" i="4"/>
  <c r="K166" i="4"/>
  <c r="K165" i="4"/>
  <c r="K164" i="4"/>
  <c r="K163" i="4"/>
  <c r="K162" i="4"/>
  <c r="K161" i="4"/>
  <c r="K160" i="4"/>
  <c r="K159" i="4"/>
  <c r="K158" i="4"/>
  <c r="K157" i="4"/>
  <c r="K156" i="4"/>
  <c r="K155" i="4"/>
  <c r="K154" i="4"/>
  <c r="K153" i="4"/>
  <c r="K152" i="4"/>
  <c r="K151" i="4"/>
  <c r="K150" i="4"/>
  <c r="K149" i="4"/>
  <c r="K148" i="4"/>
  <c r="K147" i="4"/>
  <c r="K146" i="4"/>
  <c r="K145" i="4"/>
  <c r="K144" i="4"/>
  <c r="K143" i="4"/>
  <c r="K142" i="4"/>
  <c r="K141" i="4"/>
  <c r="K140" i="4"/>
  <c r="K139" i="4"/>
  <c r="K138" i="4"/>
  <c r="K137" i="4"/>
  <c r="K136" i="4"/>
  <c r="K135" i="4"/>
  <c r="K134" i="4"/>
  <c r="K133" i="4"/>
  <c r="K132" i="4"/>
  <c r="K131" i="4"/>
  <c r="K130" i="4"/>
  <c r="K129" i="4"/>
  <c r="K128" i="4"/>
  <c r="K127" i="4"/>
  <c r="K126" i="4"/>
  <c r="K125" i="4"/>
  <c r="K124" i="4"/>
  <c r="K123" i="4"/>
  <c r="K122" i="4"/>
  <c r="K121" i="4"/>
  <c r="K120" i="4"/>
  <c r="K119" i="4"/>
  <c r="K118" i="4"/>
  <c r="K117" i="4"/>
  <c r="K116" i="4"/>
  <c r="K115" i="4"/>
  <c r="K114" i="4"/>
  <c r="K113" i="4"/>
  <c r="K112" i="4"/>
  <c r="K111" i="4"/>
  <c r="K110" i="4"/>
  <c r="K109" i="4"/>
  <c r="K108" i="4"/>
  <c r="K107" i="4"/>
  <c r="K106" i="4"/>
  <c r="K105" i="4"/>
  <c r="K104" i="4"/>
  <c r="K103" i="4"/>
  <c r="K102" i="4"/>
  <c r="K101" i="4"/>
  <c r="K100" i="4"/>
  <c r="K99" i="4"/>
  <c r="K98" i="4"/>
  <c r="K97" i="4"/>
  <c r="K96" i="4"/>
  <c r="K95" i="4"/>
  <c r="K94" i="4"/>
  <c r="K93" i="4"/>
  <c r="K92" i="4"/>
  <c r="K91" i="4"/>
  <c r="K90" i="4"/>
  <c r="K89" i="4"/>
  <c r="K88" i="4"/>
  <c r="K87" i="4"/>
  <c r="K86" i="4"/>
  <c r="K85" i="4"/>
  <c r="K84" i="4"/>
  <c r="K83" i="4"/>
  <c r="K82" i="4"/>
  <c r="K81" i="4"/>
  <c r="K80" i="4"/>
  <c r="K79" i="4"/>
  <c r="K78" i="4"/>
  <c r="K77" i="4"/>
  <c r="K76" i="4"/>
  <c r="K75" i="4"/>
  <c r="K74" i="4"/>
  <c r="K73" i="4"/>
  <c r="K72" i="4"/>
  <c r="K71" i="4"/>
  <c r="K70" i="4"/>
  <c r="K69" i="4"/>
  <c r="K68" i="4"/>
  <c r="K67" i="4"/>
  <c r="K66" i="4"/>
  <c r="K65" i="4"/>
  <c r="K64" i="4"/>
  <c r="K63" i="4"/>
  <c r="K62" i="4"/>
  <c r="K61" i="4"/>
  <c r="K60" i="4"/>
  <c r="K59" i="4"/>
  <c r="K58" i="4"/>
  <c r="K57" i="4"/>
  <c r="K56" i="4"/>
  <c r="K55" i="4"/>
  <c r="K54" i="4"/>
  <c r="K53" i="4"/>
  <c r="K52" i="4"/>
  <c r="K51" i="4"/>
  <c r="K50" i="4"/>
  <c r="K49" i="4"/>
  <c r="K48" i="4"/>
  <c r="K47" i="4"/>
  <c r="K46" i="4"/>
  <c r="K45" i="4"/>
  <c r="K44" i="4"/>
  <c r="K43" i="4"/>
  <c r="K42" i="4"/>
  <c r="K41" i="4"/>
  <c r="K40" i="4"/>
  <c r="K39" i="4"/>
  <c r="K38" i="4"/>
  <c r="K37" i="4"/>
  <c r="K36" i="4"/>
  <c r="K35" i="4"/>
  <c r="K34" i="4"/>
  <c r="K33" i="4"/>
  <c r="K32" i="4"/>
  <c r="K31" i="4"/>
  <c r="K30" i="4"/>
  <c r="K29" i="4"/>
  <c r="L200" i="4"/>
  <c r="L199" i="4"/>
  <c r="L198" i="4"/>
  <c r="L197" i="4"/>
  <c r="L196" i="4"/>
  <c r="L195" i="4"/>
  <c r="L194" i="4"/>
  <c r="L193" i="4"/>
  <c r="L192" i="4"/>
  <c r="L191" i="4"/>
  <c r="L190" i="4"/>
  <c r="L189" i="4"/>
  <c r="L188" i="4"/>
  <c r="L187" i="4"/>
  <c r="L186" i="4"/>
  <c r="L185" i="4"/>
  <c r="L184" i="4"/>
  <c r="L183" i="4"/>
  <c r="L182" i="4"/>
  <c r="L181" i="4"/>
  <c r="L180" i="4"/>
  <c r="L179" i="4"/>
  <c r="L178" i="4"/>
  <c r="L177" i="4"/>
  <c r="L176" i="4"/>
  <c r="L175" i="4"/>
  <c r="L174" i="4"/>
  <c r="L173" i="4"/>
  <c r="L172" i="4"/>
  <c r="L171" i="4"/>
  <c r="L170" i="4"/>
  <c r="L169" i="4"/>
  <c r="L168" i="4"/>
  <c r="L167" i="4"/>
  <c r="L166" i="4"/>
  <c r="L165" i="4"/>
  <c r="L164" i="4"/>
  <c r="L163" i="4"/>
  <c r="L162" i="4"/>
  <c r="L161" i="4"/>
  <c r="L160" i="4"/>
  <c r="L159" i="4"/>
  <c r="L158" i="4"/>
  <c r="L157" i="4"/>
  <c r="L156" i="4"/>
  <c r="L155" i="4"/>
  <c r="L154" i="4"/>
  <c r="L153" i="4"/>
  <c r="L152" i="4"/>
  <c r="L151" i="4"/>
  <c r="L150" i="4"/>
  <c r="L149" i="4"/>
  <c r="L148" i="4"/>
  <c r="L147" i="4"/>
  <c r="L146" i="4"/>
  <c r="L145" i="4"/>
  <c r="L144" i="4"/>
  <c r="L143" i="4"/>
  <c r="L142" i="4"/>
  <c r="L141" i="4"/>
  <c r="L140" i="4"/>
  <c r="L139" i="4"/>
  <c r="L138" i="4"/>
  <c r="L137" i="4"/>
  <c r="L136" i="4"/>
  <c r="L135" i="4"/>
  <c r="L134" i="4"/>
  <c r="L133" i="4"/>
  <c r="L132" i="4"/>
  <c r="L131" i="4"/>
  <c r="L130" i="4"/>
  <c r="L129" i="4"/>
  <c r="L128" i="4"/>
  <c r="L127" i="4"/>
  <c r="L126" i="4"/>
  <c r="L125" i="4"/>
  <c r="L124" i="4"/>
  <c r="L123" i="4"/>
  <c r="L122" i="4"/>
  <c r="L121" i="4"/>
  <c r="L120" i="4"/>
  <c r="L119" i="4"/>
  <c r="L118" i="4"/>
  <c r="L117" i="4"/>
  <c r="L116" i="4"/>
  <c r="L115" i="4"/>
  <c r="L114" i="4"/>
  <c r="L113" i="4"/>
  <c r="L112" i="4"/>
  <c r="L111" i="4"/>
  <c r="L110" i="4"/>
  <c r="L109" i="4"/>
  <c r="L108" i="4"/>
  <c r="L107" i="4"/>
  <c r="L106" i="4"/>
  <c r="L105" i="4"/>
  <c r="L104" i="4"/>
  <c r="L103" i="4"/>
  <c r="L102" i="4"/>
  <c r="L101" i="4"/>
  <c r="L100" i="4"/>
  <c r="L99" i="4"/>
  <c r="L98" i="4"/>
  <c r="L97" i="4"/>
  <c r="L96" i="4"/>
  <c r="L95" i="4"/>
  <c r="L94" i="4"/>
  <c r="L93" i="4"/>
  <c r="L92" i="4"/>
  <c r="L91" i="4"/>
  <c r="L90" i="4"/>
  <c r="L89" i="4"/>
  <c r="L88" i="4"/>
  <c r="L87" i="4"/>
  <c r="L86" i="4"/>
  <c r="L85" i="4"/>
  <c r="L84" i="4"/>
  <c r="L83" i="4"/>
  <c r="L82" i="4"/>
  <c r="L81" i="4"/>
  <c r="L80" i="4"/>
  <c r="L79" i="4"/>
  <c r="L78" i="4"/>
  <c r="L77" i="4"/>
  <c r="L76" i="4"/>
  <c r="L75" i="4"/>
  <c r="L74" i="4"/>
  <c r="L73" i="4"/>
  <c r="L72" i="4"/>
  <c r="L71" i="4"/>
  <c r="L70" i="4"/>
  <c r="L69" i="4"/>
  <c r="L68" i="4"/>
  <c r="L67" i="4"/>
  <c r="L66" i="4"/>
  <c r="L65" i="4"/>
  <c r="L64" i="4"/>
  <c r="L63" i="4"/>
  <c r="L62" i="4"/>
  <c r="L61" i="4"/>
  <c r="L60" i="4"/>
  <c r="L59" i="4"/>
  <c r="L58" i="4"/>
  <c r="L57" i="4"/>
  <c r="L56" i="4"/>
  <c r="L55" i="4"/>
  <c r="L54" i="4"/>
  <c r="L53" i="4"/>
  <c r="L52" i="4"/>
  <c r="L51" i="4"/>
  <c r="L50" i="4"/>
  <c r="L49" i="4"/>
  <c r="L48" i="4"/>
  <c r="L47" i="4"/>
  <c r="L46" i="4"/>
  <c r="L45" i="4"/>
  <c r="L44" i="4"/>
  <c r="L43" i="4"/>
  <c r="L42" i="4"/>
  <c r="L41" i="4"/>
  <c r="L40" i="4"/>
  <c r="L39" i="4"/>
  <c r="L38" i="4"/>
  <c r="L37" i="4"/>
  <c r="L36" i="4"/>
  <c r="L35" i="4"/>
  <c r="L34" i="4"/>
  <c r="L33" i="4"/>
  <c r="L32" i="4"/>
  <c r="L31" i="4"/>
  <c r="L30" i="4"/>
  <c r="L29" i="4"/>
  <c r="AD2" i="2"/>
  <c r="AD3" i="2"/>
  <c r="AD4" i="2"/>
  <c r="AD5" i="2"/>
  <c r="AD6" i="2"/>
  <c r="AD7" i="2"/>
  <c r="AD8" i="2"/>
  <c r="AD9" i="2"/>
  <c r="AD10" i="2"/>
  <c r="AD11" i="2"/>
  <c r="AD12" i="2"/>
  <c r="AD13" i="2"/>
  <c r="AD14" i="2"/>
  <c r="AD15" i="2"/>
  <c r="AD16" i="2"/>
  <c r="AD17" i="2"/>
  <c r="AD18" i="2"/>
  <c r="AD19" i="2"/>
  <c r="AD20" i="2"/>
  <c r="AD21" i="2"/>
  <c r="AD22" i="2"/>
  <c r="AD23" i="2"/>
  <c r="AD24" i="2"/>
  <c r="AD25" i="2"/>
  <c r="AD26" i="2"/>
  <c r="AD27" i="2"/>
  <c r="AD28" i="2"/>
  <c r="AD29" i="2"/>
  <c r="AD30" i="2"/>
  <c r="AD31" i="2"/>
  <c r="AD32" i="2"/>
  <c r="AD33" i="2"/>
  <c r="AD34" i="2"/>
  <c r="AD35" i="2"/>
  <c r="AD36" i="2"/>
  <c r="AD37" i="2"/>
  <c r="AD38" i="2"/>
  <c r="AD39" i="2"/>
  <c r="AD40" i="2"/>
  <c r="AD41" i="2"/>
  <c r="AD42" i="2"/>
  <c r="AD43" i="2"/>
  <c r="AD44" i="2"/>
  <c r="AD45" i="2"/>
  <c r="AD46" i="2"/>
  <c r="AD47" i="2"/>
  <c r="AD48" i="2"/>
  <c r="AD49" i="2"/>
  <c r="AD50" i="2"/>
  <c r="AD51" i="2"/>
  <c r="AD52" i="2"/>
  <c r="AD53" i="2"/>
  <c r="AD54" i="2"/>
  <c r="AD55" i="2"/>
  <c r="AD56" i="2"/>
  <c r="AD57" i="2"/>
  <c r="AD58" i="2"/>
  <c r="AD59" i="2"/>
  <c r="AD60" i="2"/>
  <c r="AD61" i="2"/>
  <c r="AD62" i="2"/>
  <c r="AD63" i="2"/>
  <c r="AD64" i="2"/>
  <c r="AD65" i="2"/>
  <c r="AD66" i="2"/>
  <c r="AD67" i="2"/>
  <c r="AD68" i="2"/>
  <c r="AD69" i="2"/>
  <c r="AD70" i="2"/>
  <c r="AD71" i="2"/>
  <c r="AD72" i="2"/>
  <c r="AD73" i="2"/>
  <c r="AD74" i="2"/>
  <c r="AD75" i="2"/>
  <c r="AD76" i="2"/>
  <c r="AD77" i="2"/>
  <c r="AD78" i="2"/>
  <c r="AD79" i="2"/>
  <c r="AD80" i="2"/>
  <c r="AD81" i="2"/>
  <c r="AD82" i="2"/>
  <c r="AD83" i="2"/>
  <c r="AD84" i="2"/>
  <c r="AD85" i="2"/>
  <c r="AD86" i="2"/>
  <c r="AD87" i="2"/>
  <c r="AD88" i="2"/>
  <c r="AD89" i="2"/>
  <c r="M58" i="2"/>
  <c r="M65" i="2"/>
  <c r="M36" i="2"/>
  <c r="M59" i="2"/>
  <c r="M64" i="2"/>
  <c r="M83" i="2"/>
  <c r="M6" i="2"/>
  <c r="M34" i="2"/>
  <c r="M16" i="2"/>
  <c r="M73" i="2"/>
  <c r="M76" i="2"/>
  <c r="M54" i="2"/>
  <c r="M52" i="2"/>
  <c r="M56" i="2"/>
  <c r="M7" i="2"/>
  <c r="M85" i="2"/>
  <c r="M13" i="2"/>
  <c r="M24" i="2"/>
  <c r="M50" i="2"/>
  <c r="M74" i="2"/>
  <c r="M75" i="2"/>
  <c r="M81" i="2"/>
  <c r="M8" i="2"/>
  <c r="M66" i="2"/>
  <c r="M14" i="2"/>
  <c r="M37" i="2"/>
  <c r="M26" i="2"/>
  <c r="M79" i="2"/>
  <c r="M9" i="2"/>
  <c r="M31" i="2"/>
  <c r="M89" i="2"/>
  <c r="M2" i="2"/>
  <c r="M80" i="2"/>
  <c r="M38" i="2"/>
  <c r="M19" i="2"/>
  <c r="M35" i="2"/>
  <c r="M84" i="2"/>
  <c r="M10" i="2"/>
  <c r="M61" i="2"/>
  <c r="M57" i="2"/>
  <c r="M27" i="2"/>
  <c r="M41" i="2"/>
  <c r="M32" i="2"/>
  <c r="M44" i="2"/>
  <c r="M39" i="2"/>
  <c r="M68" i="2"/>
  <c r="M82" i="2"/>
  <c r="M46" i="2"/>
  <c r="M60" i="2"/>
  <c r="M15" i="2"/>
  <c r="M77" i="2"/>
  <c r="M62" i="2"/>
  <c r="M47" i="2"/>
  <c r="M23" i="2"/>
  <c r="M28" i="2"/>
  <c r="M40" i="2"/>
  <c r="M49" i="2"/>
  <c r="M45" i="2"/>
  <c r="M43" i="2"/>
  <c r="M29" i="2"/>
  <c r="M48" i="2"/>
  <c r="M71" i="2"/>
  <c r="M55" i="2"/>
  <c r="M20" i="2"/>
  <c r="M51" i="2"/>
  <c r="M21" i="2"/>
  <c r="M4" i="2"/>
  <c r="M25" i="2"/>
  <c r="M53" i="2"/>
  <c r="M5" i="2"/>
  <c r="M87" i="2"/>
  <c r="M33" i="2"/>
  <c r="M22" i="2"/>
  <c r="M69" i="2"/>
  <c r="M67" i="2"/>
  <c r="M88" i="2"/>
  <c r="M30" i="2"/>
  <c r="M78" i="2"/>
  <c r="M3" i="2"/>
  <c r="M70" i="2"/>
  <c r="M72" i="2"/>
  <c r="M42" i="2"/>
  <c r="M12" i="2"/>
  <c r="M86" i="2"/>
  <c r="M11" i="2"/>
  <c r="M17" i="2"/>
  <c r="M18" i="2"/>
  <c r="M63" i="2"/>
  <c r="R2" i="2" l="1"/>
  <c r="U2" i="2" s="1"/>
  <c r="R7" i="2"/>
  <c r="U7" i="2" s="1"/>
  <c r="R9" i="2"/>
  <c r="U9" i="2" s="1"/>
  <c r="R12" i="2"/>
  <c r="U12" i="2" s="1"/>
  <c r="R16" i="2"/>
  <c r="U16" i="2" s="1"/>
  <c r="R18" i="2"/>
  <c r="U18" i="2" s="1"/>
  <c r="R21" i="2"/>
  <c r="U21" i="2" s="1"/>
  <c r="R24" i="2"/>
  <c r="U24" i="2" s="1"/>
  <c r="R28" i="2"/>
  <c r="U28" i="2" s="1"/>
  <c r="R30" i="2"/>
  <c r="U30" i="2" s="1"/>
  <c r="R32" i="2"/>
  <c r="U32" i="2" s="1"/>
  <c r="R34" i="2"/>
  <c r="U34" i="2" s="1"/>
  <c r="R37" i="2"/>
  <c r="U37" i="2" s="1"/>
  <c r="R40" i="2"/>
  <c r="U40" i="2" s="1"/>
  <c r="R43" i="2"/>
  <c r="U43" i="2" s="1"/>
  <c r="R46" i="2"/>
  <c r="U46" i="2" s="1"/>
  <c r="R49" i="2"/>
  <c r="U49" i="2" s="1"/>
  <c r="R52" i="2"/>
  <c r="U52" i="2" s="1"/>
  <c r="R55" i="2"/>
  <c r="U55" i="2" s="1"/>
  <c r="R58" i="2"/>
  <c r="U58" i="2" s="1"/>
  <c r="R63" i="2"/>
  <c r="U63" i="2" s="1"/>
  <c r="R65" i="2"/>
  <c r="U65" i="2" s="1"/>
  <c r="R69" i="2"/>
  <c r="U69" i="2" s="1"/>
  <c r="R72" i="2"/>
  <c r="U72" i="2" s="1"/>
  <c r="R75" i="2"/>
  <c r="U75" i="2" s="1"/>
  <c r="R78" i="2"/>
  <c r="U78" i="2" s="1"/>
  <c r="R81" i="2"/>
  <c r="U81" i="2" s="1"/>
  <c r="R84" i="2"/>
  <c r="U84" i="2" s="1"/>
  <c r="R88" i="2"/>
  <c r="U88" i="2" s="1"/>
  <c r="R3" i="2"/>
  <c r="U3" i="2" s="1"/>
  <c r="R6" i="2"/>
  <c r="U6" i="2" s="1"/>
  <c r="R10" i="2"/>
  <c r="U10" i="2" s="1"/>
  <c r="R13" i="2"/>
  <c r="U13" i="2" s="1"/>
  <c r="R15" i="2"/>
  <c r="U15" i="2" s="1"/>
  <c r="R19" i="2"/>
  <c r="U19" i="2" s="1"/>
  <c r="R22" i="2"/>
  <c r="U22" i="2" s="1"/>
  <c r="R25" i="2"/>
  <c r="U25" i="2" s="1"/>
  <c r="R27" i="2"/>
  <c r="U27" i="2" s="1"/>
  <c r="R33" i="2"/>
  <c r="U33" i="2" s="1"/>
  <c r="R36" i="2"/>
  <c r="U36" i="2" s="1"/>
  <c r="R39" i="2"/>
  <c r="U39" i="2" s="1"/>
  <c r="R42" i="2"/>
  <c r="U42" i="2" s="1"/>
  <c r="R45" i="2"/>
  <c r="U45" i="2" s="1"/>
  <c r="R48" i="2"/>
  <c r="U48" i="2" s="1"/>
  <c r="R51" i="2"/>
  <c r="U51" i="2" s="1"/>
  <c r="R53" i="2"/>
  <c r="U53" i="2" s="1"/>
  <c r="R56" i="2"/>
  <c r="U56" i="2" s="1"/>
  <c r="R59" i="2"/>
  <c r="U59" i="2" s="1"/>
  <c r="R61" i="2"/>
  <c r="U61" i="2" s="1"/>
  <c r="R64" i="2"/>
  <c r="U64" i="2" s="1"/>
  <c r="R67" i="2"/>
  <c r="U67" i="2" s="1"/>
  <c r="R70" i="2"/>
  <c r="U70" i="2" s="1"/>
  <c r="R73" i="2"/>
  <c r="U73" i="2" s="1"/>
  <c r="R76" i="2"/>
  <c r="U76" i="2" s="1"/>
  <c r="R80" i="2"/>
  <c r="U80" i="2" s="1"/>
  <c r="R83" i="2"/>
  <c r="U83" i="2" s="1"/>
  <c r="R85" i="2"/>
  <c r="U85" i="2" s="1"/>
  <c r="R87" i="2"/>
  <c r="U87" i="2" s="1"/>
  <c r="R4" i="2"/>
  <c r="U4" i="2" s="1"/>
  <c r="R5" i="2"/>
  <c r="U5" i="2" s="1"/>
  <c r="R8" i="2"/>
  <c r="U8" i="2" s="1"/>
  <c r="R11" i="2"/>
  <c r="U11" i="2" s="1"/>
  <c r="R14" i="2"/>
  <c r="U14" i="2" s="1"/>
  <c r="R17" i="2"/>
  <c r="U17" i="2" s="1"/>
  <c r="R20" i="2"/>
  <c r="U20" i="2" s="1"/>
  <c r="R23" i="2"/>
  <c r="U23" i="2" s="1"/>
  <c r="R26" i="2"/>
  <c r="U26" i="2" s="1"/>
  <c r="R29" i="2"/>
  <c r="U29" i="2" s="1"/>
  <c r="R31" i="2"/>
  <c r="U31" i="2" s="1"/>
  <c r="R35" i="2"/>
  <c r="U35" i="2" s="1"/>
  <c r="R38" i="2"/>
  <c r="U38" i="2" s="1"/>
  <c r="R41" i="2"/>
  <c r="U41" i="2" s="1"/>
  <c r="R44" i="2"/>
  <c r="U44" i="2" s="1"/>
  <c r="R47" i="2"/>
  <c r="U47" i="2" s="1"/>
  <c r="R50" i="2"/>
  <c r="U50" i="2" s="1"/>
  <c r="R54" i="2"/>
  <c r="U54" i="2" s="1"/>
  <c r="R57" i="2"/>
  <c r="U57" i="2" s="1"/>
  <c r="R60" i="2"/>
  <c r="U60" i="2" s="1"/>
  <c r="R62" i="2"/>
  <c r="U62" i="2" s="1"/>
  <c r="R66" i="2"/>
  <c r="U66" i="2" s="1"/>
  <c r="R68" i="2"/>
  <c r="U68" i="2" s="1"/>
  <c r="R71" i="2"/>
  <c r="U71" i="2" s="1"/>
  <c r="R74" i="2"/>
  <c r="U74" i="2" s="1"/>
  <c r="R77" i="2"/>
  <c r="U77" i="2" s="1"/>
  <c r="R79" i="2"/>
  <c r="U79" i="2" s="1"/>
  <c r="R82" i="2"/>
  <c r="U82" i="2" s="1"/>
  <c r="R86" i="2"/>
  <c r="U86" i="2" s="1"/>
  <c r="R89" i="2"/>
  <c r="U89" i="2" s="1"/>
  <c r="N54" i="2"/>
  <c r="N58" i="2"/>
  <c r="N36" i="2"/>
  <c r="N64" i="2"/>
  <c r="N34" i="2"/>
  <c r="N56" i="2"/>
  <c r="N24" i="2"/>
  <c r="N75" i="2"/>
  <c r="N66" i="2"/>
  <c r="N26" i="2"/>
  <c r="N2" i="2"/>
  <c r="N19" i="2"/>
  <c r="N10" i="2"/>
  <c r="N27" i="2"/>
  <c r="N44" i="2"/>
  <c r="N82" i="2"/>
  <c r="N15" i="2"/>
  <c r="N47" i="2"/>
  <c r="N40" i="2"/>
  <c r="N43" i="2"/>
  <c r="N55" i="2"/>
  <c r="N21" i="2"/>
  <c r="N53" i="2"/>
  <c r="N87" i="2"/>
  <c r="N69" i="2"/>
  <c r="N30" i="2"/>
  <c r="N70" i="2"/>
  <c r="N86" i="2"/>
  <c r="N18" i="2"/>
  <c r="N65" i="2"/>
  <c r="N59" i="2"/>
  <c r="N6" i="2"/>
  <c r="N73" i="2"/>
  <c r="N52" i="2"/>
  <c r="N85" i="2"/>
  <c r="N50" i="2"/>
  <c r="N74" i="2"/>
  <c r="N8" i="2"/>
  <c r="N37" i="2"/>
  <c r="N9" i="2"/>
  <c r="N31" i="2"/>
  <c r="N80" i="2"/>
  <c r="N35" i="2"/>
  <c r="N61" i="2"/>
  <c r="N41" i="2"/>
  <c r="N39" i="2"/>
  <c r="N46" i="2"/>
  <c r="N77" i="2"/>
  <c r="N62" i="2"/>
  <c r="N28" i="2"/>
  <c r="N45" i="2"/>
  <c r="N48" i="2"/>
  <c r="N20" i="2"/>
  <c r="N4" i="2"/>
  <c r="N5" i="2"/>
  <c r="N22" i="2"/>
  <c r="N88" i="2"/>
  <c r="N3" i="2"/>
  <c r="N42" i="2"/>
  <c r="N11" i="2"/>
  <c r="N63" i="2"/>
  <c r="N83" i="2"/>
  <c r="N16" i="2"/>
  <c r="N76" i="2"/>
  <c r="N7" i="2"/>
  <c r="N13" i="2"/>
  <c r="N81" i="2"/>
  <c r="N14" i="2"/>
  <c r="N79" i="2"/>
  <c r="N89" i="2"/>
  <c r="N38" i="2"/>
  <c r="N84" i="2"/>
  <c r="N57" i="2"/>
  <c r="N32" i="2"/>
  <c r="N68" i="2"/>
  <c r="N60" i="2"/>
  <c r="N23" i="2"/>
  <c r="N49" i="2"/>
  <c r="N29" i="2"/>
  <c r="N71" i="2"/>
  <c r="N51" i="2"/>
  <c r="N25" i="2"/>
  <c r="N33" i="2"/>
  <c r="N67" i="2"/>
  <c r="N78" i="2"/>
  <c r="N72" i="2"/>
  <c r="N12" i="2"/>
  <c r="N17" i="2"/>
  <c r="S2" i="2" l="1"/>
  <c r="T2" i="2"/>
  <c r="S7" i="2"/>
  <c r="T7" i="2"/>
  <c r="S9" i="2"/>
  <c r="T9" i="2"/>
  <c r="S12" i="2"/>
  <c r="T12" i="2"/>
  <c r="S16" i="2"/>
  <c r="T16" i="2"/>
  <c r="S18" i="2"/>
  <c r="T18" i="2"/>
  <c r="S21" i="2"/>
  <c r="T21" i="2"/>
  <c r="S24" i="2"/>
  <c r="T24" i="2"/>
  <c r="S28" i="2"/>
  <c r="T28" i="2"/>
  <c r="S30" i="2"/>
  <c r="T30" i="2"/>
  <c r="S32" i="2"/>
  <c r="T32" i="2"/>
  <c r="S34" i="2"/>
  <c r="T34" i="2"/>
  <c r="S37" i="2"/>
  <c r="T37" i="2"/>
  <c r="S40" i="2"/>
  <c r="T40" i="2"/>
  <c r="S43" i="2"/>
  <c r="T43" i="2"/>
  <c r="S46" i="2"/>
  <c r="T46" i="2"/>
  <c r="S49" i="2"/>
  <c r="T49" i="2"/>
  <c r="S52" i="2"/>
  <c r="T52" i="2"/>
  <c r="S55" i="2"/>
  <c r="T55" i="2"/>
  <c r="S58" i="2"/>
  <c r="T58" i="2"/>
  <c r="S63" i="2"/>
  <c r="T63" i="2"/>
  <c r="S65" i="2"/>
  <c r="T65" i="2"/>
  <c r="S69" i="2"/>
  <c r="T69" i="2"/>
  <c r="S72" i="2"/>
  <c r="T72" i="2"/>
  <c r="S75" i="2"/>
  <c r="T75" i="2"/>
  <c r="S78" i="2"/>
  <c r="T78" i="2"/>
  <c r="S81" i="2"/>
  <c r="T81" i="2"/>
  <c r="S84" i="2"/>
  <c r="T84" i="2"/>
  <c r="S88" i="2"/>
  <c r="T88" i="2"/>
  <c r="S3" i="2"/>
  <c r="T3" i="2"/>
  <c r="S6" i="2"/>
  <c r="T6" i="2"/>
  <c r="S10" i="2"/>
  <c r="T10" i="2"/>
  <c r="S13" i="2"/>
  <c r="T13" i="2"/>
  <c r="S15" i="2"/>
  <c r="T15" i="2"/>
  <c r="S19" i="2"/>
  <c r="T19" i="2"/>
  <c r="S22" i="2"/>
  <c r="T22" i="2"/>
  <c r="S25" i="2"/>
  <c r="T25" i="2"/>
  <c r="S27" i="2"/>
  <c r="T27" i="2"/>
  <c r="S33" i="2"/>
  <c r="T33" i="2"/>
  <c r="S36" i="2"/>
  <c r="T36" i="2"/>
  <c r="S39" i="2"/>
  <c r="T39" i="2"/>
  <c r="S42" i="2"/>
  <c r="T42" i="2"/>
  <c r="S45" i="2"/>
  <c r="T45" i="2"/>
  <c r="S48" i="2"/>
  <c r="T48" i="2"/>
  <c r="S51" i="2"/>
  <c r="T51" i="2"/>
  <c r="S53" i="2"/>
  <c r="T53" i="2"/>
  <c r="S56" i="2"/>
  <c r="T56" i="2"/>
  <c r="S59" i="2"/>
  <c r="T59" i="2"/>
  <c r="S61" i="2"/>
  <c r="T61" i="2"/>
  <c r="S64" i="2"/>
  <c r="T64" i="2"/>
  <c r="S67" i="2"/>
  <c r="T67" i="2"/>
  <c r="S70" i="2"/>
  <c r="T70" i="2"/>
  <c r="S73" i="2"/>
  <c r="T73" i="2"/>
  <c r="S76" i="2"/>
  <c r="T76" i="2"/>
  <c r="S80" i="2"/>
  <c r="T80" i="2"/>
  <c r="S83" i="2"/>
  <c r="T83" i="2"/>
  <c r="S85" i="2"/>
  <c r="T85" i="2"/>
  <c r="S87" i="2"/>
  <c r="T87" i="2"/>
  <c r="S4" i="2"/>
  <c r="T4" i="2"/>
  <c r="S5" i="2"/>
  <c r="T5" i="2"/>
  <c r="S8" i="2"/>
  <c r="T8" i="2"/>
  <c r="S11" i="2"/>
  <c r="T11" i="2"/>
  <c r="S14" i="2"/>
  <c r="T14" i="2"/>
  <c r="S17" i="2"/>
  <c r="T17" i="2"/>
  <c r="S20" i="2"/>
  <c r="T20" i="2"/>
  <c r="S23" i="2"/>
  <c r="T23" i="2"/>
  <c r="S26" i="2"/>
  <c r="T26" i="2"/>
  <c r="S29" i="2"/>
  <c r="T29" i="2"/>
  <c r="S31" i="2"/>
  <c r="T31" i="2"/>
  <c r="S35" i="2"/>
  <c r="T35" i="2"/>
  <c r="S38" i="2"/>
  <c r="T38" i="2"/>
  <c r="S41" i="2"/>
  <c r="T41" i="2"/>
  <c r="S44" i="2"/>
  <c r="T44" i="2"/>
  <c r="S47" i="2"/>
  <c r="T47" i="2"/>
  <c r="S50" i="2"/>
  <c r="T50" i="2"/>
  <c r="S54" i="2"/>
  <c r="T54" i="2"/>
  <c r="S57" i="2"/>
  <c r="T57" i="2"/>
  <c r="S60" i="2"/>
  <c r="T60" i="2"/>
  <c r="S62" i="2"/>
  <c r="T62" i="2"/>
  <c r="S66" i="2"/>
  <c r="T66" i="2"/>
  <c r="S68" i="2"/>
  <c r="T68" i="2"/>
  <c r="S71" i="2"/>
  <c r="T71" i="2"/>
  <c r="S74" i="2"/>
  <c r="T74" i="2"/>
  <c r="S77" i="2"/>
  <c r="T77" i="2"/>
  <c r="S79" i="2"/>
  <c r="T79" i="2"/>
  <c r="S82" i="2"/>
  <c r="T82" i="2"/>
  <c r="S86" i="2"/>
  <c r="T86" i="2"/>
  <c r="S89" i="2"/>
  <c r="T89" i="2"/>
  <c r="O54" i="2"/>
  <c r="V54" i="2" s="1"/>
  <c r="P54" i="2"/>
  <c r="O58" i="2"/>
  <c r="V58" i="2" s="1"/>
  <c r="P58" i="2"/>
  <c r="O36" i="2"/>
  <c r="V36" i="2" s="1"/>
  <c r="P36" i="2"/>
  <c r="O64" i="2"/>
  <c r="V64" i="2" s="1"/>
  <c r="P64" i="2"/>
  <c r="O34" i="2"/>
  <c r="V34" i="2" s="1"/>
  <c r="P34" i="2"/>
  <c r="O56" i="2"/>
  <c r="V56" i="2" s="1"/>
  <c r="P56" i="2"/>
  <c r="O24" i="2"/>
  <c r="V24" i="2" s="1"/>
  <c r="P24" i="2"/>
  <c r="O75" i="2"/>
  <c r="V75" i="2" s="1"/>
  <c r="P75" i="2"/>
  <c r="O66" i="2"/>
  <c r="V66" i="2" s="1"/>
  <c r="P66" i="2"/>
  <c r="O26" i="2"/>
  <c r="V26" i="2" s="1"/>
  <c r="P26" i="2"/>
  <c r="O2" i="2"/>
  <c r="P2" i="2"/>
  <c r="O19" i="2"/>
  <c r="V19" i="2" s="1"/>
  <c r="P19" i="2"/>
  <c r="O10" i="2"/>
  <c r="V10" i="2" s="1"/>
  <c r="P10" i="2"/>
  <c r="O27" i="2"/>
  <c r="V27" i="2" s="1"/>
  <c r="P27" i="2"/>
  <c r="O44" i="2"/>
  <c r="V44" i="2" s="1"/>
  <c r="P44" i="2"/>
  <c r="O82" i="2"/>
  <c r="V82" i="2" s="1"/>
  <c r="P82" i="2"/>
  <c r="O15" i="2"/>
  <c r="V15" i="2" s="1"/>
  <c r="P15" i="2"/>
  <c r="O47" i="2"/>
  <c r="V47" i="2" s="1"/>
  <c r="P47" i="2"/>
  <c r="O40" i="2"/>
  <c r="V40" i="2" s="1"/>
  <c r="P40" i="2"/>
  <c r="O43" i="2"/>
  <c r="V43" i="2" s="1"/>
  <c r="P43" i="2"/>
  <c r="O55" i="2"/>
  <c r="V55" i="2" s="1"/>
  <c r="P55" i="2"/>
  <c r="O21" i="2"/>
  <c r="V21" i="2" s="1"/>
  <c r="P21" i="2"/>
  <c r="O53" i="2"/>
  <c r="V53" i="2" s="1"/>
  <c r="P53" i="2"/>
  <c r="O87" i="2"/>
  <c r="V87" i="2" s="1"/>
  <c r="P87" i="2"/>
  <c r="O69" i="2"/>
  <c r="V69" i="2" s="1"/>
  <c r="P69" i="2"/>
  <c r="O30" i="2"/>
  <c r="V30" i="2" s="1"/>
  <c r="P30" i="2"/>
  <c r="O70" i="2"/>
  <c r="V70" i="2" s="1"/>
  <c r="P70" i="2"/>
  <c r="O86" i="2"/>
  <c r="V86" i="2" s="1"/>
  <c r="P86" i="2"/>
  <c r="O18" i="2"/>
  <c r="V18" i="2" s="1"/>
  <c r="P18" i="2"/>
  <c r="O65" i="2"/>
  <c r="V65" i="2" s="1"/>
  <c r="P65" i="2"/>
  <c r="O59" i="2"/>
  <c r="V59" i="2" s="1"/>
  <c r="P59" i="2"/>
  <c r="O6" i="2"/>
  <c r="V6" i="2" s="1"/>
  <c r="P6" i="2"/>
  <c r="O73" i="2"/>
  <c r="V73" i="2" s="1"/>
  <c r="P73" i="2"/>
  <c r="O52" i="2"/>
  <c r="V52" i="2" s="1"/>
  <c r="P52" i="2"/>
  <c r="O85" i="2"/>
  <c r="V85" i="2" s="1"/>
  <c r="P85" i="2"/>
  <c r="O50" i="2"/>
  <c r="V50" i="2" s="1"/>
  <c r="P50" i="2"/>
  <c r="O74" i="2"/>
  <c r="V74" i="2" s="1"/>
  <c r="P74" i="2"/>
  <c r="O8" i="2"/>
  <c r="V8" i="2" s="1"/>
  <c r="P8" i="2"/>
  <c r="O37" i="2"/>
  <c r="V37" i="2" s="1"/>
  <c r="P37" i="2"/>
  <c r="O9" i="2"/>
  <c r="V9" i="2" s="1"/>
  <c r="P9" i="2"/>
  <c r="O31" i="2"/>
  <c r="V31" i="2" s="1"/>
  <c r="P31" i="2"/>
  <c r="O80" i="2"/>
  <c r="V80" i="2" s="1"/>
  <c r="P80" i="2"/>
  <c r="O35" i="2"/>
  <c r="V35" i="2" s="1"/>
  <c r="P35" i="2"/>
  <c r="O61" i="2"/>
  <c r="V61" i="2" s="1"/>
  <c r="P61" i="2"/>
  <c r="O41" i="2"/>
  <c r="V41" i="2" s="1"/>
  <c r="P41" i="2"/>
  <c r="O39" i="2"/>
  <c r="V39" i="2" s="1"/>
  <c r="P39" i="2"/>
  <c r="O46" i="2"/>
  <c r="V46" i="2" s="1"/>
  <c r="P46" i="2"/>
  <c r="O77" i="2"/>
  <c r="V77" i="2" s="1"/>
  <c r="P77" i="2"/>
  <c r="O62" i="2"/>
  <c r="V62" i="2" s="1"/>
  <c r="P62" i="2"/>
  <c r="O28" i="2"/>
  <c r="V28" i="2" s="1"/>
  <c r="P28" i="2"/>
  <c r="O45" i="2"/>
  <c r="V45" i="2" s="1"/>
  <c r="P45" i="2"/>
  <c r="O48" i="2"/>
  <c r="V48" i="2" s="1"/>
  <c r="P48" i="2"/>
  <c r="O20" i="2"/>
  <c r="V20" i="2" s="1"/>
  <c r="P20" i="2"/>
  <c r="O4" i="2"/>
  <c r="V4" i="2" s="1"/>
  <c r="P4" i="2"/>
  <c r="O5" i="2"/>
  <c r="V5" i="2" s="1"/>
  <c r="P5" i="2"/>
  <c r="O22" i="2"/>
  <c r="V22" i="2" s="1"/>
  <c r="P22" i="2"/>
  <c r="O88" i="2"/>
  <c r="V88" i="2" s="1"/>
  <c r="P88" i="2"/>
  <c r="O3" i="2"/>
  <c r="V3" i="2" s="1"/>
  <c r="P3" i="2"/>
  <c r="O42" i="2"/>
  <c r="V42" i="2" s="1"/>
  <c r="P42" i="2"/>
  <c r="O11" i="2"/>
  <c r="P11" i="2"/>
  <c r="O63" i="2"/>
  <c r="V63" i="2" s="1"/>
  <c r="P63" i="2"/>
  <c r="O83" i="2"/>
  <c r="V83" i="2" s="1"/>
  <c r="P83" i="2"/>
  <c r="O16" i="2"/>
  <c r="V16" i="2" s="1"/>
  <c r="P16" i="2"/>
  <c r="O76" i="2"/>
  <c r="V76" i="2" s="1"/>
  <c r="P76" i="2"/>
  <c r="O7" i="2"/>
  <c r="V7" i="2" s="1"/>
  <c r="P7" i="2"/>
  <c r="O13" i="2"/>
  <c r="V13" i="2" s="1"/>
  <c r="P13" i="2"/>
  <c r="O81" i="2"/>
  <c r="V81" i="2" s="1"/>
  <c r="P81" i="2"/>
  <c r="O14" i="2"/>
  <c r="V14" i="2" s="1"/>
  <c r="P14" i="2"/>
  <c r="O79" i="2"/>
  <c r="V79" i="2" s="1"/>
  <c r="P79" i="2"/>
  <c r="O89" i="2"/>
  <c r="V89" i="2" s="1"/>
  <c r="P89" i="2"/>
  <c r="O38" i="2"/>
  <c r="V38" i="2" s="1"/>
  <c r="P38" i="2"/>
  <c r="O84" i="2"/>
  <c r="V84" i="2" s="1"/>
  <c r="P84" i="2"/>
  <c r="O57" i="2"/>
  <c r="V57" i="2" s="1"/>
  <c r="P57" i="2"/>
  <c r="O32" i="2"/>
  <c r="V32" i="2" s="1"/>
  <c r="P32" i="2"/>
  <c r="O68" i="2"/>
  <c r="V68" i="2" s="1"/>
  <c r="P68" i="2"/>
  <c r="O60" i="2"/>
  <c r="V60" i="2" s="1"/>
  <c r="P60" i="2"/>
  <c r="O23" i="2"/>
  <c r="V23" i="2" s="1"/>
  <c r="P23" i="2"/>
  <c r="O49" i="2"/>
  <c r="V49" i="2" s="1"/>
  <c r="P49" i="2"/>
  <c r="O29" i="2"/>
  <c r="V29" i="2" s="1"/>
  <c r="P29" i="2"/>
  <c r="O71" i="2"/>
  <c r="V71" i="2" s="1"/>
  <c r="P71" i="2"/>
  <c r="O51" i="2"/>
  <c r="V51" i="2" s="1"/>
  <c r="P51" i="2"/>
  <c r="O25" i="2"/>
  <c r="V25" i="2" s="1"/>
  <c r="P25" i="2"/>
  <c r="O33" i="2"/>
  <c r="V33" i="2" s="1"/>
  <c r="P33" i="2"/>
  <c r="O67" i="2"/>
  <c r="V67" i="2" s="1"/>
  <c r="P67" i="2"/>
  <c r="O78" i="2"/>
  <c r="V78" i="2" s="1"/>
  <c r="P78" i="2"/>
  <c r="O72" i="2"/>
  <c r="V72" i="2" s="1"/>
  <c r="P72" i="2"/>
  <c r="O12" i="2"/>
  <c r="V12" i="2" s="1"/>
  <c r="P12" i="2"/>
  <c r="O17" i="2"/>
  <c r="V17" i="2" s="1"/>
  <c r="P17" i="2"/>
  <c r="AB54" i="2" l="1"/>
  <c r="AB58" i="2"/>
  <c r="AB36" i="2"/>
  <c r="AB64" i="2"/>
  <c r="AB34" i="2"/>
  <c r="AB56" i="2"/>
  <c r="AB24" i="2"/>
  <c r="AB75" i="2"/>
  <c r="AB66" i="2"/>
  <c r="AB26" i="2"/>
  <c r="AB19" i="2"/>
  <c r="AB10" i="2"/>
  <c r="AB27" i="2"/>
  <c r="AB44" i="2"/>
  <c r="AB82" i="2"/>
  <c r="AB15" i="2"/>
  <c r="AB40" i="2"/>
  <c r="AB43" i="2"/>
  <c r="AB55" i="2"/>
  <c r="AB21" i="2"/>
  <c r="AB53" i="2"/>
  <c r="AB87" i="2"/>
  <c r="AB69" i="2"/>
  <c r="AB86" i="2"/>
  <c r="AB18" i="2"/>
  <c r="AB65" i="2"/>
  <c r="AB6" i="2"/>
  <c r="AB73" i="2"/>
  <c r="AB85" i="2"/>
  <c r="AB50" i="2"/>
  <c r="AB8" i="2"/>
  <c r="AB37" i="2"/>
  <c r="AB31" i="2"/>
  <c r="AB80" i="2"/>
  <c r="AB35" i="2"/>
  <c r="AB61" i="2"/>
  <c r="AB41" i="2"/>
  <c r="AB39" i="2"/>
  <c r="AB46" i="2"/>
  <c r="AB77" i="2"/>
  <c r="AB45" i="2"/>
  <c r="AB48" i="2"/>
  <c r="AB20" i="2"/>
  <c r="AB4" i="2"/>
  <c r="AB22" i="2"/>
  <c r="AB88" i="2"/>
  <c r="AB3" i="2"/>
  <c r="AB42" i="2"/>
  <c r="AB63" i="2"/>
  <c r="AB76" i="2"/>
  <c r="AB7" i="2"/>
  <c r="AB13" i="2"/>
  <c r="AB81" i="2"/>
  <c r="AB14" i="2"/>
  <c r="AB79" i="2"/>
  <c r="AB89" i="2"/>
  <c r="AB84" i="2"/>
  <c r="AB57" i="2"/>
  <c r="AB32" i="2"/>
  <c r="AB68" i="2"/>
  <c r="AB60" i="2"/>
  <c r="AB23" i="2"/>
  <c r="AB49" i="2"/>
  <c r="AB51" i="2"/>
  <c r="AB25" i="2"/>
  <c r="AB33" i="2"/>
  <c r="AB67" i="2"/>
  <c r="AB78" i="2"/>
  <c r="AB12" i="2"/>
  <c r="AB17" i="2"/>
  <c r="V2" i="2"/>
  <c r="AB2" i="2" s="1"/>
  <c r="A2" i="4" a="1"/>
  <c r="AB47" i="2"/>
  <c r="AB52" i="2"/>
  <c r="AB74" i="2"/>
  <c r="AB59" i="2"/>
  <c r="AB28" i="2"/>
  <c r="AB29" i="2"/>
  <c r="V11" i="2"/>
  <c r="AB30" i="2"/>
  <c r="AB83" i="2"/>
  <c r="AB71" i="2"/>
  <c r="AB38" i="2"/>
  <c r="AB72" i="2"/>
  <c r="AB16" i="2"/>
  <c r="AB62" i="2"/>
  <c r="AB70" i="2"/>
  <c r="AB5" i="2"/>
  <c r="AB9" i="2"/>
  <c r="W54" i="2"/>
  <c r="W58" i="2"/>
  <c r="W36" i="2"/>
  <c r="Z36" i="2"/>
  <c r="AA36" i="2" s="1"/>
  <c r="AC36" i="2" s="1"/>
  <c r="W64" i="2"/>
  <c r="Z64" i="2"/>
  <c r="AA64" i="2" s="1"/>
  <c r="AC64" i="2" s="1"/>
  <c r="W34" i="2"/>
  <c r="Z34" i="2"/>
  <c r="AA34" i="2" s="1"/>
  <c r="AC34" i="2" s="1"/>
  <c r="W56" i="2"/>
  <c r="Z56" i="2"/>
  <c r="AA56" i="2" s="1"/>
  <c r="AC56" i="2" s="1"/>
  <c r="W24" i="2"/>
  <c r="W75" i="2"/>
  <c r="Z75" i="2"/>
  <c r="AA75" i="2" s="1"/>
  <c r="AC75" i="2" s="1"/>
  <c r="W66" i="2"/>
  <c r="Z66" i="2"/>
  <c r="AA66" i="2" s="1"/>
  <c r="AC66" i="2" s="1"/>
  <c r="W26" i="2"/>
  <c r="Z26" i="2"/>
  <c r="AA26" i="2" s="1"/>
  <c r="AC26" i="2" s="1"/>
  <c r="W19" i="2"/>
  <c r="Z19" i="2"/>
  <c r="AA19" i="2" s="1"/>
  <c r="AC19" i="2" s="1"/>
  <c r="W10" i="2"/>
  <c r="Z10" i="2"/>
  <c r="AA10" i="2" s="1"/>
  <c r="AC10" i="2" s="1"/>
  <c r="W27" i="2"/>
  <c r="W44" i="2"/>
  <c r="W82" i="2"/>
  <c r="Z82" i="2"/>
  <c r="AA82" i="2" s="1"/>
  <c r="AC82" i="2" s="1"/>
  <c r="W15" i="2"/>
  <c r="W47" i="2"/>
  <c r="W40" i="2"/>
  <c r="W43" i="2"/>
  <c r="Z43" i="2"/>
  <c r="AA43" i="2" s="1"/>
  <c r="AC43" i="2" s="1"/>
  <c r="W55" i="2"/>
  <c r="W21" i="2"/>
  <c r="W53" i="2"/>
  <c r="Z53" i="2"/>
  <c r="AA53" i="2" s="1"/>
  <c r="AC53" i="2" s="1"/>
  <c r="W87" i="2"/>
  <c r="Z87" i="2"/>
  <c r="AA87" i="2" s="1"/>
  <c r="AC87" i="2" s="1"/>
  <c r="W69" i="2"/>
  <c r="Z69" i="2"/>
  <c r="AA69" i="2" s="1"/>
  <c r="AC69" i="2" s="1"/>
  <c r="W30" i="2"/>
  <c r="Z30" i="2"/>
  <c r="AA30" i="2" s="1"/>
  <c r="AC30" i="2" s="1"/>
  <c r="W70" i="2"/>
  <c r="Z70" i="2"/>
  <c r="AA70" i="2" s="1"/>
  <c r="AC70" i="2" s="1"/>
  <c r="W86" i="2"/>
  <c r="Z86" i="2"/>
  <c r="AA86" i="2" s="1"/>
  <c r="AC86" i="2" s="1"/>
  <c r="W18" i="2"/>
  <c r="Z18" i="2"/>
  <c r="AA18" i="2" s="1"/>
  <c r="AC18" i="2" s="1"/>
  <c r="W65" i="2"/>
  <c r="Z65" i="2"/>
  <c r="AA65" i="2" s="1"/>
  <c r="AC65" i="2" s="1"/>
  <c r="W59" i="2"/>
  <c r="Z59" i="2"/>
  <c r="AA59" i="2" s="1"/>
  <c r="AC59" i="2" s="1"/>
  <c r="W6" i="2"/>
  <c r="W73" i="2"/>
  <c r="Z73" i="2"/>
  <c r="AA73" i="2" s="1"/>
  <c r="AC73" i="2" s="1"/>
  <c r="W52" i="2"/>
  <c r="Z52" i="2"/>
  <c r="AA52" i="2" s="1"/>
  <c r="AC52" i="2" s="1"/>
  <c r="W85" i="2"/>
  <c r="Z85" i="2"/>
  <c r="AA85" i="2" s="1"/>
  <c r="AC85" i="2" s="1"/>
  <c r="W50" i="2"/>
  <c r="Z50" i="2"/>
  <c r="AA50" i="2" s="1"/>
  <c r="AC50" i="2" s="1"/>
  <c r="W74" i="2"/>
  <c r="W8" i="2"/>
  <c r="Z8" i="2"/>
  <c r="AA8" i="2" s="1"/>
  <c r="AC8" i="2" s="1"/>
  <c r="W37" i="2"/>
  <c r="Z37" i="2"/>
  <c r="AA37" i="2" s="1"/>
  <c r="AC37" i="2" s="1"/>
  <c r="W9" i="2"/>
  <c r="Z9" i="2"/>
  <c r="AA9" i="2" s="1"/>
  <c r="AC9" i="2" s="1"/>
  <c r="W31" i="2"/>
  <c r="Z31" i="2"/>
  <c r="AA31" i="2" s="1"/>
  <c r="AC31" i="2" s="1"/>
  <c r="W80" i="2"/>
  <c r="Z80" i="2"/>
  <c r="AA80" i="2" s="1"/>
  <c r="AC80" i="2" s="1"/>
  <c r="W35" i="2"/>
  <c r="W61" i="2"/>
  <c r="Z61" i="2"/>
  <c r="AA61" i="2" s="1"/>
  <c r="AC61" i="2" s="1"/>
  <c r="W41" i="2"/>
  <c r="Z41" i="2"/>
  <c r="AA41" i="2" s="1"/>
  <c r="AC41" i="2" s="1"/>
  <c r="W39" i="2"/>
  <c r="Z39" i="2"/>
  <c r="AA39" i="2" s="1"/>
  <c r="AC39" i="2" s="1"/>
  <c r="W46" i="2"/>
  <c r="Z46" i="2"/>
  <c r="AA46" i="2" s="1"/>
  <c r="AC46" i="2" s="1"/>
  <c r="W77" i="2"/>
  <c r="Z77" i="2"/>
  <c r="AA77" i="2" s="1"/>
  <c r="AC77" i="2" s="1"/>
  <c r="W62" i="2"/>
  <c r="Z62" i="2"/>
  <c r="AA62" i="2" s="1"/>
  <c r="AC62" i="2" s="1"/>
  <c r="W28" i="2"/>
  <c r="Z28" i="2"/>
  <c r="AA28" i="2" s="1"/>
  <c r="AC28" i="2" s="1"/>
  <c r="W45" i="2"/>
  <c r="Z45" i="2"/>
  <c r="AA45" i="2" s="1"/>
  <c r="AC45" i="2" s="1"/>
  <c r="W48" i="2"/>
  <c r="Z48" i="2"/>
  <c r="AA48" i="2" s="1"/>
  <c r="AC48" i="2" s="1"/>
  <c r="W20" i="2"/>
  <c r="Z20" i="2"/>
  <c r="AA20" i="2" s="1"/>
  <c r="AC20" i="2" s="1"/>
  <c r="W4" i="2"/>
  <c r="W5" i="2"/>
  <c r="W22" i="2"/>
  <c r="Z22" i="2"/>
  <c r="AA22" i="2" s="1"/>
  <c r="AC22" i="2" s="1"/>
  <c r="W88" i="2"/>
  <c r="Z88" i="2"/>
  <c r="AA88" i="2" s="1"/>
  <c r="AC88" i="2" s="1"/>
  <c r="W3" i="2"/>
  <c r="W42" i="2"/>
  <c r="W63" i="2"/>
  <c r="Z63" i="2"/>
  <c r="AA63" i="2" s="1"/>
  <c r="AC63" i="2" s="1"/>
  <c r="W83" i="2"/>
  <c r="Z83" i="2"/>
  <c r="AA83" i="2" s="1"/>
  <c r="AC83" i="2" s="1"/>
  <c r="W16" i="2"/>
  <c r="Z16" i="2"/>
  <c r="AA16" i="2" s="1"/>
  <c r="AC16" i="2" s="1"/>
  <c r="W76" i="2"/>
  <c r="W7" i="2"/>
  <c r="W13" i="2"/>
  <c r="W81" i="2"/>
  <c r="W14" i="2"/>
  <c r="Z14" i="2"/>
  <c r="AA14" i="2" s="1"/>
  <c r="AC14" i="2" s="1"/>
  <c r="W79" i="2"/>
  <c r="Z79" i="2"/>
  <c r="AA79" i="2" s="1"/>
  <c r="AC79" i="2" s="1"/>
  <c r="W89" i="2"/>
  <c r="Z89" i="2"/>
  <c r="AA89" i="2" s="1"/>
  <c r="AC89" i="2" s="1"/>
  <c r="W38" i="2"/>
  <c r="W84" i="2"/>
  <c r="W57" i="2"/>
  <c r="W32" i="2"/>
  <c r="Z32" i="2"/>
  <c r="AA32" i="2" s="1"/>
  <c r="AC32" i="2" s="1"/>
  <c r="W68" i="2"/>
  <c r="Z68" i="2"/>
  <c r="AA68" i="2" s="1"/>
  <c r="AC68" i="2" s="1"/>
  <c r="W60" i="2"/>
  <c r="Z60" i="2"/>
  <c r="AA60" i="2" s="1"/>
  <c r="AC60" i="2" s="1"/>
  <c r="W23" i="2"/>
  <c r="Z23" i="2"/>
  <c r="AA23" i="2" s="1"/>
  <c r="AC23" i="2" s="1"/>
  <c r="W49" i="2"/>
  <c r="Z49" i="2"/>
  <c r="AA49" i="2" s="1"/>
  <c r="AC49" i="2" s="1"/>
  <c r="W29" i="2"/>
  <c r="Z29" i="2"/>
  <c r="AA29" i="2" s="1"/>
  <c r="AC29" i="2" s="1"/>
  <c r="W71" i="2"/>
  <c r="Z71" i="2"/>
  <c r="AA71" i="2" s="1"/>
  <c r="AC71" i="2" s="1"/>
  <c r="W51" i="2"/>
  <c r="Z51" i="2"/>
  <c r="AA51" i="2" s="1"/>
  <c r="AC51" i="2" s="1"/>
  <c r="W25" i="2"/>
  <c r="Z25" i="2"/>
  <c r="AA25" i="2" s="1"/>
  <c r="AC25" i="2" s="1"/>
  <c r="W33" i="2"/>
  <c r="Z33" i="2"/>
  <c r="AA33" i="2" s="1"/>
  <c r="AC33" i="2" s="1"/>
  <c r="W67" i="2"/>
  <c r="Z67" i="2"/>
  <c r="AA67" i="2" s="1"/>
  <c r="AC67" i="2" s="1"/>
  <c r="W78" i="2"/>
  <c r="Z78" i="2"/>
  <c r="AA78" i="2" s="1"/>
  <c r="AC78" i="2" s="1"/>
  <c r="W72" i="2"/>
  <c r="Z72" i="2"/>
  <c r="AA72" i="2" s="1"/>
  <c r="AC72" i="2" s="1"/>
  <c r="W12" i="2"/>
  <c r="Z12" i="2"/>
  <c r="AA12" i="2" s="1"/>
  <c r="AC12" i="2" s="1"/>
  <c r="W17" i="2"/>
  <c r="Z6" i="2" l="1"/>
  <c r="AA6" i="2" s="1"/>
  <c r="AC6" i="2" s="1"/>
  <c r="Z3" i="2"/>
  <c r="AA3" i="2" s="1"/>
  <c r="AC3" i="2" s="1"/>
  <c r="Z58" i="2"/>
  <c r="AA58" i="2" s="1"/>
  <c r="AC58" i="2" s="1"/>
  <c r="Z84" i="2"/>
  <c r="AA84" i="2" s="1"/>
  <c r="AC84" i="2" s="1"/>
  <c r="Z42" i="2"/>
  <c r="AA42" i="2" s="1"/>
  <c r="AC42" i="2" s="1"/>
  <c r="Z27" i="2"/>
  <c r="AA27" i="2" s="1"/>
  <c r="AC27" i="2" s="1"/>
  <c r="W2" i="2"/>
  <c r="Z54" i="2"/>
  <c r="AA54" i="2" s="1"/>
  <c r="AC54" i="2" s="1"/>
  <c r="Z2" i="2"/>
  <c r="AA2" i="2" s="1"/>
  <c r="AC2" i="2" s="1"/>
  <c r="Z7" i="2"/>
  <c r="AA7" i="2" s="1"/>
  <c r="AC7" i="2" s="1"/>
  <c r="M28" i="4"/>
  <c r="M25" i="4"/>
  <c r="M20" i="4"/>
  <c r="M17" i="4"/>
  <c r="M14" i="4"/>
  <c r="M11" i="4"/>
  <c r="M8" i="4"/>
  <c r="M3" i="4"/>
  <c r="M27" i="4"/>
  <c r="M23" i="4"/>
  <c r="M21" i="4"/>
  <c r="M19" i="4"/>
  <c r="M16" i="4"/>
  <c r="M13" i="4"/>
  <c r="M10" i="4"/>
  <c r="M7" i="4"/>
  <c r="M5" i="4"/>
  <c r="M26" i="4"/>
  <c r="M24" i="4"/>
  <c r="M22" i="4"/>
  <c r="M18" i="4"/>
  <c r="M15" i="4"/>
  <c r="M12" i="4"/>
  <c r="M9" i="4"/>
  <c r="M6" i="4"/>
  <c r="M4" i="4"/>
  <c r="M2" i="4"/>
  <c r="K3" i="4"/>
  <c r="K5" i="4"/>
  <c r="K6" i="4"/>
  <c r="K8" i="4"/>
  <c r="K10" i="4"/>
  <c r="K12" i="4"/>
  <c r="K14" i="4"/>
  <c r="K16" i="4"/>
  <c r="K18" i="4"/>
  <c r="K20" i="4"/>
  <c r="K22" i="4"/>
  <c r="K24" i="4"/>
  <c r="K26" i="4"/>
  <c r="K28" i="4"/>
  <c r="L3" i="4"/>
  <c r="L6" i="4"/>
  <c r="L7" i="4"/>
  <c r="L9" i="4"/>
  <c r="L11" i="4"/>
  <c r="L13" i="4"/>
  <c r="L14" i="4"/>
  <c r="L16" i="4"/>
  <c r="L18" i="4"/>
  <c r="L20" i="4"/>
  <c r="L22" i="4"/>
  <c r="L24" i="4"/>
  <c r="L27" i="4"/>
  <c r="K2" i="4"/>
  <c r="K4" i="4"/>
  <c r="K7" i="4"/>
  <c r="K9" i="4"/>
  <c r="K11" i="4"/>
  <c r="K13" i="4"/>
  <c r="K15" i="4"/>
  <c r="K17" i="4"/>
  <c r="K19" i="4"/>
  <c r="K21" i="4"/>
  <c r="K23" i="4"/>
  <c r="K25" i="4"/>
  <c r="K27" i="4"/>
  <c r="L2" i="4"/>
  <c r="L4" i="4"/>
  <c r="L5" i="4"/>
  <c r="L8" i="4"/>
  <c r="L10" i="4"/>
  <c r="L12" i="4"/>
  <c r="L15" i="4"/>
  <c r="L17" i="4"/>
  <c r="L19" i="4"/>
  <c r="L21" i="4"/>
  <c r="L23" i="4"/>
  <c r="L25" i="4"/>
  <c r="L26" i="4"/>
  <c r="L28" i="4"/>
  <c r="Z74" i="2"/>
  <c r="AA74" i="2" s="1"/>
  <c r="AC74" i="2" s="1"/>
  <c r="Z24" i="2"/>
  <c r="AA24" i="2" s="1"/>
  <c r="AC24" i="2" s="1"/>
  <c r="Z47" i="2"/>
  <c r="AA47" i="2" s="1"/>
  <c r="AC47" i="2" s="1"/>
  <c r="Z15" i="2"/>
  <c r="AA15" i="2" s="1"/>
  <c r="AC15" i="2" s="1"/>
  <c r="Z44" i="2"/>
  <c r="AA44" i="2" s="1"/>
  <c r="AC44" i="2" s="1"/>
  <c r="Z5" i="2"/>
  <c r="AA5" i="2" s="1"/>
  <c r="AC5" i="2" s="1"/>
  <c r="W11" i="2"/>
  <c r="AB11" i="2"/>
  <c r="Z40" i="2"/>
  <c r="AA40" i="2" s="1"/>
  <c r="AC40" i="2" s="1"/>
  <c r="Z76" i="2"/>
  <c r="AA76" i="2" s="1"/>
  <c r="AC76" i="2" s="1"/>
  <c r="Z38" i="2"/>
  <c r="AA38" i="2" s="1"/>
  <c r="AC38" i="2" s="1"/>
  <c r="Z57" i="2"/>
  <c r="AA57" i="2" s="1"/>
  <c r="AC57" i="2" s="1"/>
  <c r="Z35" i="2"/>
  <c r="AA35" i="2" s="1"/>
  <c r="AC35" i="2" s="1"/>
  <c r="Z81" i="2"/>
  <c r="AA81" i="2" s="1"/>
  <c r="AC81" i="2" s="1"/>
  <c r="Z55" i="2"/>
  <c r="AA55" i="2" s="1"/>
  <c r="AC55" i="2" s="1"/>
  <c r="Z21" i="2"/>
  <c r="AA21" i="2" s="1"/>
  <c r="AC21" i="2" s="1"/>
  <c r="Z4" i="2"/>
  <c r="AA4" i="2" s="1"/>
  <c r="AC4" i="2" s="1"/>
  <c r="Z13" i="2"/>
  <c r="Z17" i="2"/>
  <c r="AA17" i="2" s="1"/>
  <c r="AC17" i="2" s="1"/>
  <c r="AE5" i="2" l="1" a="1"/>
  <c r="AF5" i="2" s="1"/>
  <c r="AG5" i="2" s="1"/>
  <c r="AE2" i="2" a="1"/>
  <c r="AF2" i="2" s="1"/>
  <c r="AG2" i="2" s="1"/>
  <c r="AE7" i="2" a="1"/>
  <c r="AF7" i="2" s="1"/>
  <c r="AG7" i="2" s="1"/>
  <c r="AE9" i="2" a="1"/>
  <c r="AF9" i="2" s="1"/>
  <c r="AG9" i="2" s="1"/>
  <c r="AE11" i="2" a="1"/>
  <c r="AE13" i="2" a="1"/>
  <c r="AF13" i="2" s="1"/>
  <c r="AG13" i="2" s="1"/>
  <c r="AE15" i="2" a="1"/>
  <c r="AF15" i="2" s="1"/>
  <c r="AG15" i="2" s="1"/>
  <c r="AE16" i="2" a="1"/>
  <c r="AF16" i="2" s="1"/>
  <c r="AG16" i="2" s="1"/>
  <c r="AE18" i="2" a="1"/>
  <c r="AF18" i="2" s="1"/>
  <c r="AG18" i="2" s="1"/>
  <c r="AE20" i="2" a="1"/>
  <c r="AF20" i="2" s="1"/>
  <c r="AG20" i="2" s="1"/>
  <c r="AE22" i="2" a="1"/>
  <c r="AF22" i="2" s="1"/>
  <c r="AG22" i="2" s="1"/>
  <c r="AE24" i="2" a="1"/>
  <c r="AF24" i="2" s="1"/>
  <c r="AG24" i="2" s="1"/>
  <c r="AE26" i="2" a="1"/>
  <c r="AF26" i="2" s="1"/>
  <c r="AG26" i="2" s="1"/>
  <c r="AE29" i="2" a="1"/>
  <c r="AF29" i="2" s="1"/>
  <c r="AG29" i="2" s="1"/>
  <c r="AE31" i="2" a="1"/>
  <c r="AF31" i="2" s="1"/>
  <c r="AG31" i="2" s="1"/>
  <c r="AE33" i="2" a="1"/>
  <c r="AF33" i="2" s="1"/>
  <c r="AG33" i="2" s="1"/>
  <c r="AE35" i="2" a="1"/>
  <c r="AF35" i="2" s="1"/>
  <c r="AG35" i="2" s="1"/>
  <c r="AE37" i="2" a="1"/>
  <c r="AF37" i="2" s="1"/>
  <c r="AG37" i="2" s="1"/>
  <c r="AE39" i="2" a="1"/>
  <c r="AF39" i="2" s="1"/>
  <c r="AG39" i="2" s="1"/>
  <c r="D39" i="3" s="1"/>
  <c r="AE41" i="2" a="1"/>
  <c r="AF41" i="2" s="1"/>
  <c r="AG41" i="2" s="1"/>
  <c r="D41" i="3" s="1"/>
  <c r="AE43" i="2" a="1"/>
  <c r="AF43" i="2" s="1"/>
  <c r="AG43" i="2" s="1"/>
  <c r="D43" i="3" s="1"/>
  <c r="AE45" i="2" a="1"/>
  <c r="AF45" i="2" s="1"/>
  <c r="AG45" i="2" s="1"/>
  <c r="D45" i="3" s="1"/>
  <c r="AE47" i="2" a="1"/>
  <c r="AF47" i="2" s="1"/>
  <c r="AG47" i="2" s="1"/>
  <c r="D47" i="3" s="1"/>
  <c r="AE49" i="2" a="1"/>
  <c r="AF49" i="2" s="1"/>
  <c r="AG49" i="2" s="1"/>
  <c r="D49" i="3" s="1"/>
  <c r="AE51" i="2" a="1"/>
  <c r="AF51" i="2" s="1"/>
  <c r="AG51" i="2" s="1"/>
  <c r="D51" i="3" s="1"/>
  <c r="AE53" i="2" a="1"/>
  <c r="AF53" i="2" s="1"/>
  <c r="AG53" i="2" s="1"/>
  <c r="D53" i="3" s="1"/>
  <c r="AE55" i="2" a="1"/>
  <c r="AF55" i="2" s="1"/>
  <c r="AG55" i="2" s="1"/>
  <c r="D55" i="3" s="1"/>
  <c r="AE57" i="2" a="1"/>
  <c r="AF57" i="2" s="1"/>
  <c r="AG57" i="2" s="1"/>
  <c r="D57" i="3" s="1"/>
  <c r="AE59" i="2" a="1"/>
  <c r="AF59" i="2" s="1"/>
  <c r="AG59" i="2" s="1"/>
  <c r="D59" i="3" s="1"/>
  <c r="AE61" i="2" a="1"/>
  <c r="AF61" i="2" s="1"/>
  <c r="AG61" i="2" s="1"/>
  <c r="D61" i="3" s="1"/>
  <c r="AE64" i="2" a="1"/>
  <c r="AF64" i="2" s="1"/>
  <c r="AG64" i="2" s="1"/>
  <c r="D64" i="3" s="1"/>
  <c r="AE65" i="2" a="1"/>
  <c r="AF65" i="2" s="1"/>
  <c r="AG65" i="2" s="1"/>
  <c r="D65" i="3" s="1"/>
  <c r="AE67" i="2" a="1"/>
  <c r="AF67" i="2" s="1"/>
  <c r="AG67" i="2" s="1"/>
  <c r="D67" i="3" s="1"/>
  <c r="AE69" i="2" a="1"/>
  <c r="AF69" i="2" s="1"/>
  <c r="AG69" i="2" s="1"/>
  <c r="D69" i="3" s="1"/>
  <c r="AE71" i="2" a="1"/>
  <c r="AF71" i="2" s="1"/>
  <c r="AG71" i="2" s="1"/>
  <c r="D71" i="3" s="1"/>
  <c r="AE73" i="2" a="1"/>
  <c r="AF73" i="2" s="1"/>
  <c r="AG73" i="2" s="1"/>
  <c r="D73" i="3" s="1"/>
  <c r="AE75" i="2" a="1"/>
  <c r="AF75" i="2" s="1"/>
  <c r="AG75" i="2" s="1"/>
  <c r="D75" i="3" s="1"/>
  <c r="AE77" i="2" a="1"/>
  <c r="AF77" i="2" s="1"/>
  <c r="AG77" i="2" s="1"/>
  <c r="D77" i="3" s="1"/>
  <c r="AE79" i="2" a="1"/>
  <c r="AF79" i="2" s="1"/>
  <c r="AG79" i="2" s="1"/>
  <c r="D79" i="3" s="1"/>
  <c r="AE81" i="2" a="1"/>
  <c r="AF81" i="2" s="1"/>
  <c r="AG81" i="2" s="1"/>
  <c r="D81" i="3" s="1"/>
  <c r="AE84" i="2" a="1"/>
  <c r="AF84" i="2" s="1"/>
  <c r="AG84" i="2" s="1"/>
  <c r="D84" i="3" s="1"/>
  <c r="AE86" i="2" a="1"/>
  <c r="AF86" i="2" s="1"/>
  <c r="AG86" i="2" s="1"/>
  <c r="D86" i="3" s="1"/>
  <c r="AE87" i="2" a="1"/>
  <c r="AF87" i="2" s="1"/>
  <c r="AG87" i="2" s="1"/>
  <c r="D87" i="3" s="1"/>
  <c r="AE89" i="2" a="1"/>
  <c r="AF89" i="2" s="1"/>
  <c r="AG89" i="2" s="1"/>
  <c r="AE3" i="2" a="1"/>
  <c r="AF3" i="2" s="1"/>
  <c r="AG3" i="2" s="1"/>
  <c r="AE4" i="2" a="1"/>
  <c r="AF4" i="2" s="1"/>
  <c r="AG4" i="2" s="1"/>
  <c r="AE6" i="2" a="1"/>
  <c r="AF6" i="2" s="1"/>
  <c r="AG6" i="2" s="1"/>
  <c r="AE8" i="2" a="1"/>
  <c r="AF8" i="2" s="1"/>
  <c r="AG8" i="2" s="1"/>
  <c r="AE10" i="2" a="1"/>
  <c r="AF10" i="2" s="1"/>
  <c r="AG10" i="2" s="1"/>
  <c r="AE12" i="2" a="1"/>
  <c r="AF12" i="2" s="1"/>
  <c r="AG12" i="2" s="1"/>
  <c r="AE14" i="2" a="1"/>
  <c r="AF14" i="2" s="1"/>
  <c r="AG14" i="2" s="1"/>
  <c r="AE17" i="2" a="1"/>
  <c r="AF17" i="2" s="1"/>
  <c r="AG17" i="2" s="1"/>
  <c r="AE19" i="2" a="1"/>
  <c r="AF19" i="2" s="1"/>
  <c r="AG19" i="2" s="1"/>
  <c r="AE21" i="2" a="1"/>
  <c r="AF21" i="2" s="1"/>
  <c r="AG21" i="2" s="1"/>
  <c r="AE23" i="2" a="1"/>
  <c r="AF23" i="2" s="1"/>
  <c r="AG23" i="2" s="1"/>
  <c r="AE25" i="2" a="1"/>
  <c r="AF25" i="2" s="1"/>
  <c r="AG25" i="2" s="1"/>
  <c r="AE27" i="2" a="1"/>
  <c r="AF27" i="2" s="1"/>
  <c r="AG27" i="2" s="1"/>
  <c r="AE28" i="2" a="1"/>
  <c r="AF28" i="2" s="1"/>
  <c r="AG28" i="2" s="1"/>
  <c r="AE30" i="2" a="1"/>
  <c r="AF30" i="2" s="1"/>
  <c r="AG30" i="2" s="1"/>
  <c r="AE32" i="2" a="1"/>
  <c r="AF32" i="2" s="1"/>
  <c r="AG32" i="2" s="1"/>
  <c r="AE34" i="2" a="1"/>
  <c r="AF34" i="2" s="1"/>
  <c r="AG34" i="2" s="1"/>
  <c r="AE36" i="2" a="1"/>
  <c r="AF36" i="2" s="1"/>
  <c r="AG36" i="2" s="1"/>
  <c r="AE38" i="2" a="1"/>
  <c r="AF38" i="2" s="1"/>
  <c r="AG38" i="2" s="1"/>
  <c r="D38" i="3" s="1"/>
  <c r="AE40" i="2" a="1"/>
  <c r="AF40" i="2" s="1"/>
  <c r="AG40" i="2" s="1"/>
  <c r="D40" i="3" s="1"/>
  <c r="AE42" i="2" a="1"/>
  <c r="AF42" i="2" s="1"/>
  <c r="AG42" i="2" s="1"/>
  <c r="D42" i="3" s="1"/>
  <c r="AE44" i="2" a="1"/>
  <c r="AF44" i="2" s="1"/>
  <c r="AG44" i="2" s="1"/>
  <c r="D44" i="3" s="1"/>
  <c r="AE46" i="2" a="1"/>
  <c r="AF46" i="2" s="1"/>
  <c r="AG46" i="2" s="1"/>
  <c r="D46" i="3" s="1"/>
  <c r="AE48" i="2" a="1"/>
  <c r="AF48" i="2" s="1"/>
  <c r="AG48" i="2" s="1"/>
  <c r="D48" i="3" s="1"/>
  <c r="AE50" i="2" a="1"/>
  <c r="AF50" i="2" s="1"/>
  <c r="AG50" i="2" s="1"/>
  <c r="D50" i="3" s="1"/>
  <c r="AE52" i="2" a="1"/>
  <c r="AF52" i="2" s="1"/>
  <c r="AG52" i="2" s="1"/>
  <c r="D52" i="3" s="1"/>
  <c r="AE54" i="2" a="1"/>
  <c r="AF54" i="2" s="1"/>
  <c r="AG54" i="2" s="1"/>
  <c r="D54" i="3" s="1"/>
  <c r="AE56" i="2" a="1"/>
  <c r="AF56" i="2" s="1"/>
  <c r="AG56" i="2" s="1"/>
  <c r="D56" i="3" s="1"/>
  <c r="AE58" i="2" a="1"/>
  <c r="AF58" i="2" s="1"/>
  <c r="AG58" i="2" s="1"/>
  <c r="D58" i="3" s="1"/>
  <c r="AE60" i="2" a="1"/>
  <c r="AF60" i="2" s="1"/>
  <c r="AG60" i="2" s="1"/>
  <c r="D60" i="3" s="1"/>
  <c r="AE62" i="2" a="1"/>
  <c r="AF62" i="2" s="1"/>
  <c r="AG62" i="2" s="1"/>
  <c r="D62" i="3" s="1"/>
  <c r="AE63" i="2" a="1"/>
  <c r="AF63" i="2" s="1"/>
  <c r="AG63" i="2" s="1"/>
  <c r="D63" i="3" s="1"/>
  <c r="AE66" i="2" a="1"/>
  <c r="AF66" i="2" s="1"/>
  <c r="AG66" i="2" s="1"/>
  <c r="D66" i="3" s="1"/>
  <c r="AE68" i="2" a="1"/>
  <c r="AF68" i="2" s="1"/>
  <c r="AG68" i="2" s="1"/>
  <c r="D68" i="3" s="1"/>
  <c r="AE70" i="2" a="1"/>
  <c r="AF70" i="2" s="1"/>
  <c r="AG70" i="2" s="1"/>
  <c r="D70" i="3" s="1"/>
  <c r="AE72" i="2" a="1"/>
  <c r="AF72" i="2" s="1"/>
  <c r="AG72" i="2" s="1"/>
  <c r="D72" i="3" s="1"/>
  <c r="AE74" i="2" a="1"/>
  <c r="AF74" i="2" s="1"/>
  <c r="AG74" i="2" s="1"/>
  <c r="D74" i="3" s="1"/>
  <c r="AE76" i="2" a="1"/>
  <c r="AF76" i="2" s="1"/>
  <c r="AG76" i="2" s="1"/>
  <c r="D76" i="3" s="1"/>
  <c r="AE78" i="2" a="1"/>
  <c r="AF78" i="2" s="1"/>
  <c r="AG78" i="2" s="1"/>
  <c r="D78" i="3" s="1"/>
  <c r="AE80" i="2" a="1"/>
  <c r="AF80" i="2" s="1"/>
  <c r="AG80" i="2" s="1"/>
  <c r="D80" i="3" s="1"/>
  <c r="AE82" i="2" a="1"/>
  <c r="AF82" i="2" s="1"/>
  <c r="AG82" i="2" s="1"/>
  <c r="D82" i="3" s="1"/>
  <c r="AE83" i="2" a="1"/>
  <c r="AF83" i="2" s="1"/>
  <c r="AG83" i="2" s="1"/>
  <c r="D83" i="3" s="1"/>
  <c r="AE85" i="2" a="1"/>
  <c r="AF85" i="2" s="1"/>
  <c r="AG85" i="2" s="1"/>
  <c r="D85" i="3" s="1"/>
  <c r="AE88" i="2" a="1"/>
  <c r="AF88" i="2" s="1"/>
  <c r="AG88" i="2" s="1"/>
  <c r="D88" i="3" s="1"/>
  <c r="Z11" i="2"/>
  <c r="AA11" i="2" s="1"/>
  <c r="AC11" i="2" s="1"/>
  <c r="AA13" i="2"/>
  <c r="E4" i="3" l="1"/>
  <c r="C11" i="3" s="1"/>
  <c r="D94" i="3"/>
  <c r="D4" i="3"/>
  <c r="C10" i="3" s="1"/>
  <c r="AF11" i="2"/>
  <c r="AG11" i="2" s="1"/>
  <c r="C4" i="3" s="1"/>
  <c r="C9" i="3" s="1"/>
  <c r="AC13" i="2"/>
  <c r="D93" i="3" l="1"/>
  <c r="A122" i="3" s="1"/>
  <c r="D95"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tc={35627E7B-6B3C-4DA5-A7F8-FFF2B9AB8E00}</author>
  </authors>
  <commentList>
    <comment ref="A1" authorId="0" shapeId="0" xr:uid="{35627E7B-6B3C-4DA5-A7F8-FFF2B9AB8E00}">
      <text>
        <t>[Threaded comment]
Your version of Excel allows you to read this threaded comment; however, any edits to it will get removed if the file is opened in a newer version of Excel. Learn more: https://go.microsoft.com/fwlink/?linkid=870924
Comment:
    The EAN (barcode) field was received in scientific notation from the source export, resulting in loss of numeric precision. As it is not required for demand planning logic, the field was retained without adjustment to preserve source data integrity.
Reply:
    Sales values and GP% were received using a different decimal separator format than the local system settings. A transformation step was applied in Power Query to align decimal representation prior to numeric conversion, ensuring consistent calculation behaviour in Excel.
Reply:
    Structured reference behaviour required use of fully qualified table references due to naming conflicts and table state inconsistencies.</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EBAFA3E-AB84-4338-9839-50236133B35F}" keepAlive="1" name="Query - FMCG_Raw_Sales" description="Connection to the 'FMCG_Raw_Sales' query in the workbook." type="5" refreshedVersion="0" background="1">
    <dbPr connection="Provider=Microsoft.Mashup.OleDb.1;Data Source=$Workbook$;Location=FMCG_Raw_Sales;Extended Properties=&quot;&quot;" command="SELECT * FROM [FMCG_Raw_Sales]"/>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<sst xmlns="http://schemas.openxmlformats.org/spreadsheetml/2006/main" count="442" uniqueCount="147">
  <si>
    <t>Product_Code</t>
  </si>
  <si>
    <t>EAN</t>
  </si>
  <si>
    <t>Product_Description</t>
  </si>
  <si>
    <t>Size</t>
  </si>
  <si>
    <t>SOH</t>
  </si>
  <si>
    <t>Sales_at_CP</t>
  </si>
  <si>
    <t>Sales_Quantity</t>
  </si>
  <si>
    <t>GP %</t>
  </si>
  <si>
    <t>Units_Sold</t>
  </si>
  <si>
    <t>Cases_Sold</t>
  </si>
  <si>
    <t>Size_Clean</t>
  </si>
  <si>
    <t>GP_Percentage</t>
  </si>
  <si>
    <t>SPARLETTA BLACKCURRANT</t>
  </si>
  <si>
    <t>2LT</t>
  </si>
  <si>
    <t>2L</t>
  </si>
  <si>
    <t>SPARLETTA SPARBERRY</t>
  </si>
  <si>
    <t>SPARLETTA CREAM SODA</t>
  </si>
  <si>
    <t>TWIST GRANADILLA</t>
  </si>
  <si>
    <t>BON AQUA WATER APPLE MINT</t>
  </si>
  <si>
    <t>500ML</t>
  </si>
  <si>
    <t>SPRITE ZERO</t>
  </si>
  <si>
    <t>STONEY GINGER BEER</t>
  </si>
  <si>
    <t>1LT</t>
  </si>
  <si>
    <t>1L</t>
  </si>
  <si>
    <t>200ML</t>
  </si>
  <si>
    <t>BON AQUA WATER LEMON&amp;LIME</t>
  </si>
  <si>
    <t>TWIST LEMON</t>
  </si>
  <si>
    <t>330ML</t>
  </si>
  <si>
    <t>BON AQUA WATER LITCHI</t>
  </si>
  <si>
    <t>JUST JUICE LITCHI PEAR</t>
  </si>
  <si>
    <t>BON AQUA WATER NAARTJIE</t>
  </si>
  <si>
    <t>APPLETISER PET</t>
  </si>
  <si>
    <t>1.25L</t>
  </si>
  <si>
    <t>JUST JUICE MANGO ORANGE</t>
  </si>
  <si>
    <t>COCA COLA ZERO SUG/FREE</t>
  </si>
  <si>
    <t>GRAPETISER RED</t>
  </si>
  <si>
    <t>275ML</t>
  </si>
  <si>
    <t>BON AQUA WATER STRAWBERRY</t>
  </si>
  <si>
    <t>FANTA ORANGE</t>
  </si>
  <si>
    <t>M/MAID ORANGE CALCIUM</t>
  </si>
  <si>
    <t>FANTA PINEAPPLE CAN</t>
  </si>
  <si>
    <t>POWERADE ISLAND BURST</t>
  </si>
  <si>
    <t>M/MAID BREAKFAST BLEND</t>
  </si>
  <si>
    <t>SPRITE</t>
  </si>
  <si>
    <t>POWERADE M/BLAST</t>
  </si>
  <si>
    <t>POWERADE NAARTJIE</t>
  </si>
  <si>
    <t>M/MAID F/JCE TROPICAL</t>
  </si>
  <si>
    <t>SCHWEPPES DRY LEMON</t>
  </si>
  <si>
    <t>POWERADE JAGGED ICE</t>
  </si>
  <si>
    <t>440ML</t>
  </si>
  <si>
    <t>POWERADE ORANGE</t>
  </si>
  <si>
    <t>SCHWEPPES TONIC WATER</t>
  </si>
  <si>
    <t>BON AQUA SP/WATER STILL</t>
  </si>
  <si>
    <t>SCHWEPPES SODA WATER</t>
  </si>
  <si>
    <t>BON AQUA STILL</t>
  </si>
  <si>
    <t>1.5LT</t>
  </si>
  <si>
    <t>1.5L</t>
  </si>
  <si>
    <t>VALPRE MINERAL WATER STILL</t>
  </si>
  <si>
    <t>BON AQUA PUMP WATER STILL</t>
  </si>
  <si>
    <t>750ML</t>
  </si>
  <si>
    <t>PLAY ENERGY DRINK</t>
  </si>
  <si>
    <t>250ML</t>
  </si>
  <si>
    <t>COCA COLA</t>
  </si>
  <si>
    <t>SPARLETTA PINE NUT</t>
  </si>
  <si>
    <t>2.25L</t>
  </si>
  <si>
    <t>300ML</t>
  </si>
  <si>
    <t>Units_Per_Case</t>
  </si>
  <si>
    <t>Pack_Size</t>
  </si>
  <si>
    <t>Cases_Sold2</t>
  </si>
  <si>
    <t>Units_Per_Pack</t>
  </si>
  <si>
    <t>Cases_SOH</t>
  </si>
  <si>
    <t>Parent_Product</t>
  </si>
  <si>
    <t>COCA COLA LIGHT</t>
  </si>
  <si>
    <t>FANTA GRAPE</t>
  </si>
  <si>
    <t>SCHWEPPES GINGER ALE</t>
  </si>
  <si>
    <t>SCHWEPPES LEMONADE</t>
  </si>
  <si>
    <t>SODA WATER</t>
  </si>
  <si>
    <t>SPARLETTA CREME SODA</t>
  </si>
  <si>
    <t>SPARLETTA IRON BREW</t>
  </si>
  <si>
    <t>SPARLETTA APPLE</t>
  </si>
  <si>
    <t>TAB</t>
  </si>
  <si>
    <t>Parent_Total_Units</t>
  </si>
  <si>
    <t>Balance_Status</t>
  </si>
  <si>
    <t>Variance</t>
  </si>
  <si>
    <t>Divergence</t>
  </si>
  <si>
    <t>Daily_Demand</t>
  </si>
  <si>
    <t>Safety_Stock</t>
  </si>
  <si>
    <t>Required_Stock</t>
  </si>
  <si>
    <t>Suggested_Order</t>
  </si>
  <si>
    <t>Days_of_Cover</t>
  </si>
  <si>
    <t>Planning_Priority</t>
  </si>
  <si>
    <t>Helper1</t>
  </si>
  <si>
    <t>BON AQUA</t>
  </si>
  <si>
    <t>FANTA PINEAPPLE</t>
  </si>
  <si>
    <t>SPARLETTA IRON</t>
  </si>
  <si>
    <t>JUST JUICE</t>
  </si>
  <si>
    <t>M/MAID BREAKFAST</t>
  </si>
  <si>
    <t>M/MAID F/JCE</t>
  </si>
  <si>
    <t>M/MAID ORANGE</t>
  </si>
  <si>
    <t>PLAY ENERGY</t>
  </si>
  <si>
    <t>POWERADE ISLAND</t>
  </si>
  <si>
    <t>POWERADE JAGGED</t>
  </si>
  <si>
    <t>SCHWEPPES DRY</t>
  </si>
  <si>
    <t>SCHWEPPES GINGER</t>
  </si>
  <si>
    <t>SCHWEPPES SODA</t>
  </si>
  <si>
    <t>SCHWEPPES TONIC</t>
  </si>
  <si>
    <t>SPARLETTA CREAM</t>
  </si>
  <si>
    <t>SPARLETTA CREME</t>
  </si>
  <si>
    <t>SPARLETTA PINE</t>
  </si>
  <si>
    <t>STONEY GINGER</t>
  </si>
  <si>
    <t>VALPRE MINERAL</t>
  </si>
  <si>
    <t>Notes1</t>
  </si>
  <si>
    <t>Notes2</t>
  </si>
  <si>
    <t>Parameter</t>
  </si>
  <si>
    <t>Value</t>
  </si>
  <si>
    <t>Lead_Time_Days</t>
  </si>
  <si>
    <t>Review_Period_Days</t>
  </si>
  <si>
    <t>Safety_Days</t>
  </si>
  <si>
    <t>Target_Cover_Days</t>
  </si>
  <si>
    <t>Total SKUs</t>
  </si>
  <si>
    <t>Acceptable %</t>
  </si>
  <si>
    <t>Check %</t>
  </si>
  <si>
    <t>Problem %</t>
  </si>
  <si>
    <t>Recount_SOH</t>
  </si>
  <si>
    <t>Notes</t>
  </si>
  <si>
    <t>Unit_of-Measure</t>
  </si>
  <si>
    <t>Adjusted_SOH</t>
  </si>
  <si>
    <t>Recount_Divergence</t>
  </si>
  <si>
    <t>Recount_Variance</t>
  </si>
  <si>
    <t>Status</t>
  </si>
  <si>
    <t>Before</t>
  </si>
  <si>
    <t>After</t>
  </si>
  <si>
    <t>Acceptable</t>
  </si>
  <si>
    <t>Percentage</t>
  </si>
  <si>
    <t>Check</t>
  </si>
  <si>
    <t>Problem</t>
  </si>
  <si>
    <t>Product</t>
  </si>
  <si>
    <t>Suggested Order</t>
  </si>
  <si>
    <t>Days Cover</t>
  </si>
  <si>
    <t xml:space="preserve">Data Health Overview </t>
  </si>
  <si>
    <t>Current Data Reliability</t>
  </si>
  <si>
    <t>Priority Actions - Recounts Required Y/N</t>
  </si>
  <si>
    <t>Impact of Recount Process</t>
  </si>
  <si>
    <t xml:space="preserve">Shows impact Before and After </t>
  </si>
  <si>
    <t>Improvement = Before vs After</t>
  </si>
  <si>
    <t>Acceptable data increased significantly, while problem stock reduced.</t>
  </si>
  <si>
    <t>Highest risk of Out-of_Stock issues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</si>
</sst>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R&quot;#,##0.00"/>
  </numFmts>
  <fonts count="19" x14ac:knownFonts="1">
    <font>
      <sz val="11"/>
      <color theme="1"/>
      <name val="Aptos Narrow"/>
      <family val="2"/>
      <scheme val="minor"/>
    </font>
    <font>
      <b/>
      <sz val="11"/>
      <color theme="0"/>
      <name val="Aptos Narrow"/>
      <family val="2"/>
      <scheme val="minor"/>
    </font>
    <font>
      <sz val="8"/>
      <name val="Aptos Narrow"/>
      <family val="2"/>
      <scheme val="minor"/>
    </font>
    <font>
      <sz val="11"/>
      <color theme="1"/>
      <name val="Aptos Narrow"/>
      <family val="2"/>
      <scheme val="minor"/>
    </font>
    <font>
      <sz val="11"/>
      <name val="HP Simplified"/>
      <family val="2"/>
    </font>
    <font>
      <sz val="11"/>
      <color theme="1"/>
      <name val="HP Simplified"/>
      <family val="2"/>
    </font>
    <font>
      <sz val="11"/>
      <color theme="0"/>
      <name val="HP Simplified"/>
      <family val="2"/>
    </font>
    <font>
      <b/>
      <sz val="11"/>
      <color theme="0"/>
      <name val="HP Simplified"/>
      <family val="2"/>
    </font>
    <font>
      <b/>
      <sz val="11"/>
      <color theme="1"/>
      <name val="HP Simplified"/>
      <family val="2"/>
    </font>
    <font>
      <sz val="10"/>
      <color theme="1"/>
      <name val="HP Simplified"/>
      <family val="2"/>
    </font>
    <font>
      <b/>
      <sz val="14"/>
      <color theme="4" tint="-0.499984740745262"/>
      <name val="HP Simplified Hans"/>
      <family val="2"/>
    </font>
    <font>
      <b/>
      <u/>
      <sz val="14"/>
      <color theme="4" tint="-0.499984740745262"/>
      <name val="HP Simplified Hans"/>
      <family val="2"/>
    </font>
    <font>
      <b/>
      <u/>
      <sz val="20"/>
      <color theme="4" tint="-0.499984740745262"/>
      <name val="HP Simplified Hans"/>
      <family val="2"/>
    </font>
    <font>
      <b/>
      <sz val="16"/>
      <color theme="4" tint="-0.499984740745262"/>
      <name val="HP Simplified Hans"/>
      <family val="2"/>
    </font>
    <font>
      <i/>
      <sz val="14"/>
      <color theme="1"/>
      <name val="HP Simplified"/>
      <family val="2"/>
    </font>
    <font>
      <sz val="18"/>
      <color theme="0"/>
      <name val="HP Simplified"/>
      <family val="2"/>
    </font>
    <font>
      <b/>
      <sz val="14"/>
      <color rgb="FFFF9900"/>
      <name val="Aptos Narrow"/>
      <family val="2"/>
      <scheme val="minor"/>
    </font>
    <font>
      <sz val="11"/>
      <color rgb="FFFF9900"/>
      <name val="Aptos Narrow"/>
      <family val="2"/>
      <scheme val="minor"/>
    </font>
    <font>
      <b/>
      <sz val="11"/>
      <color rgb="FFFF9900"/>
      <name val="HP Simplified"/>
      <family val="2"/>
    </font>
  </fonts>
  <fills count="7">
    <fill>
      <patternFill patternType="none"/>
    </fill>
    <fill>
      <patternFill patternType="gray125"/>
    </fill>
    <fill>
      <patternFill patternType="solid">
        <fgColor theme="4" tint="0.79998168889431442"/>
        <bgColor theme="4" tint="0.79998168889431442"/>
      </patternFill>
    </fill>
    <fill>
      <patternFill patternType="solid">
        <fgColor theme="4"/>
        <bgColor theme="4"/>
      </patternFill>
    </fill>
    <fill>
      <patternFill patternType="solid">
        <fgColor theme="4" tint="-0.249977111117893"/>
        <bgColor indexed="64"/>
      </patternFill>
    </fill>
    <fill>
      <patternFill patternType="solid">
        <fgColor theme="7" tint="0.79998168889431442"/>
        <bgColor indexed="64"/>
      </patternFill>
    </fill>
    <fill>
      <patternFill patternType="solid">
        <fgColor theme="4" tint="-0.499984740745262"/>
        <bgColor indexed="64"/>
      </patternFill>
    </fill>
  </fills>
  <borders count="18">
    <border>
      <left/>
      <right/>
      <top/>
      <bottom/>
      <diagonal/>
    </border>
    <border>
      <left/>
      <right/>
      <top style="thin">
        <color theme="4" tint="0.39997558519241921"/>
      </top>
      <bottom/>
      <diagonal/>
    </border>
    <border>
      <left style="thick">
        <color theme="4" tint="-0.499984740745262"/>
      </left>
      <right style="medium">
        <color theme="4" tint="-0.499984740745262"/>
      </right>
      <top style="thick">
        <color theme="4" tint="-0.499984740745262"/>
      </top>
      <bottom style="medium">
        <color theme="4" tint="-0.499984740745262"/>
      </bottom>
      <diagonal/>
    </border>
    <border>
      <left style="medium">
        <color theme="4" tint="-0.499984740745262"/>
      </left>
      <right style="thick">
        <color theme="4" tint="-0.499984740745262"/>
      </right>
      <top style="thick">
        <color theme="4" tint="-0.499984740745262"/>
      </top>
      <bottom style="medium">
        <color theme="4" tint="-0.499984740745262"/>
      </bottom>
      <diagonal/>
    </border>
    <border>
      <left style="thick">
        <color theme="4" tint="-0.499984740745262"/>
      </left>
      <right style="medium">
        <color theme="4" tint="-0.499984740745262"/>
      </right>
      <top style="medium">
        <color theme="4" tint="-0.499984740745262"/>
      </top>
      <bottom style="medium">
        <color theme="4" tint="-0.499984740745262"/>
      </bottom>
      <diagonal/>
    </border>
    <border>
      <left style="medium">
        <color theme="4" tint="-0.499984740745262"/>
      </left>
      <right style="thick">
        <color theme="4" tint="-0.499984740745262"/>
      </right>
      <top style="medium">
        <color theme="4" tint="-0.499984740745262"/>
      </top>
      <bottom style="medium">
        <color theme="4" tint="-0.499984740745262"/>
      </bottom>
      <diagonal/>
    </border>
    <border>
      <left style="thick">
        <color theme="4" tint="-0.499984740745262"/>
      </left>
      <right style="medium">
        <color theme="4" tint="-0.499984740745262"/>
      </right>
      <top style="medium">
        <color theme="4" tint="-0.499984740745262"/>
      </top>
      <bottom style="thick">
        <color theme="4" tint="-0.499984740745262"/>
      </bottom>
      <diagonal/>
    </border>
    <border>
      <left style="medium">
        <color theme="4" tint="-0.499984740745262"/>
      </left>
      <right style="thick">
        <color theme="4" tint="-0.499984740745262"/>
      </right>
      <top style="medium">
        <color theme="4" tint="-0.499984740745262"/>
      </top>
      <bottom style="thick">
        <color theme="4" tint="-0.499984740745262"/>
      </bottom>
      <diagonal/>
    </border>
    <border>
      <left style="hair">
        <color theme="4" tint="-0.499984740745262"/>
      </left>
      <right style="hair">
        <color theme="4" tint="-0.499984740745262"/>
      </right>
      <top style="hair">
        <color theme="4" tint="-0.499984740745262"/>
      </top>
      <bottom style="hair">
        <color theme="4" tint="-0.499984740745262"/>
      </bottom>
      <diagonal/>
    </border>
    <border>
      <left/>
      <right style="hair">
        <color theme="4" tint="-0.499984740745262"/>
      </right>
      <top/>
      <bottom style="hair">
        <color theme="4" tint="-0.499984740745262"/>
      </bottom>
      <diagonal/>
    </border>
    <border>
      <left style="hair">
        <color theme="4" tint="-0.499984740745262"/>
      </left>
      <right style="hair">
        <color theme="4" tint="-0.499984740745262"/>
      </right>
      <top/>
      <bottom style="hair">
        <color theme="4" tint="-0.499984740745262"/>
      </bottom>
      <diagonal/>
    </border>
    <border>
      <left style="hair">
        <color theme="4" tint="-0.499984740745262"/>
      </left>
      <right/>
      <top/>
      <bottom style="hair">
        <color theme="4" tint="-0.499984740745262"/>
      </bottom>
      <diagonal/>
    </border>
    <border>
      <left/>
      <right style="hair">
        <color theme="4" tint="-0.499984740745262"/>
      </right>
      <top style="hair">
        <color theme="4" tint="-0.499984740745262"/>
      </top>
      <bottom style="hair">
        <color theme="4" tint="-0.499984740745262"/>
      </bottom>
      <diagonal/>
    </border>
    <border>
      <left style="hair">
        <color theme="4" tint="-0.499984740745262"/>
      </left>
      <right/>
      <top style="hair">
        <color theme="4" tint="-0.499984740745262"/>
      </top>
      <bottom style="hair">
        <color theme="4" tint="-0.499984740745262"/>
      </bottom>
      <diagonal/>
    </border>
    <border>
      <left/>
      <right style="hair">
        <color theme="4" tint="-0.499984740745262"/>
      </right>
      <top style="hair">
        <color theme="4" tint="-0.499984740745262"/>
      </top>
      <bottom/>
      <diagonal/>
    </border>
    <border>
      <left style="hair">
        <color theme="4" tint="-0.499984740745262"/>
      </left>
      <right style="hair">
        <color theme="4" tint="-0.499984740745262"/>
      </right>
      <top style="hair">
        <color theme="4" tint="-0.499984740745262"/>
      </top>
      <bottom/>
      <diagonal/>
    </border>
    <border>
      <left style="hair">
        <color theme="4" tint="-0.499984740745262"/>
      </left>
      <right/>
      <top style="hair">
        <color theme="4" tint="-0.499984740745262"/>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3" fillId="0" borderId="0" applyFont="0" applyFill="0" applyBorder="0" applyAlignment="0" applyProtection="0"/>
  </cellStyleXfs>
  <cellXfs count="62">
    <xf numFmtId="0" fontId="0" fillId="0" borderId="0" xfId="0"/>
    <xf numFmtId="0" fontId="0" fillId="2" borderId="1" xfId="0" applyFill="1" applyBorder="1"/>
    <xf numFmtId="0" fontId="0" fillId="0" borderId="1" xfId="0" applyBorder="1"/>
    <xf numFmtId="0" fontId="1" fillId="3" borderId="0" xfId="0" applyFont="1" applyFill="1"/>
    <xf numFmtId="0" fontId="4" fillId="0" borderId="0" xfId="0" applyFont="1"/>
    <xf numFmtId="164" fontId="4" fillId="0" borderId="0" xfId="0" applyNumberFormat="1" applyFont="1"/>
    <xf numFmtId="10" fontId="4" fillId="0" borderId="0" xfId="1" applyNumberFormat="1" applyFont="1" applyAlignment="1"/>
    <xf numFmtId="1" fontId="4" fillId="0" borderId="0" xfId="0" applyNumberFormat="1" applyFont="1"/>
    <xf numFmtId="0" fontId="4" fillId="0" borderId="0" xfId="0" quotePrefix="1" applyFont="1"/>
    <xf numFmtId="0" fontId="5" fillId="0" borderId="0" xfId="0" applyFont="1"/>
    <xf numFmtId="2" fontId="4" fillId="0" borderId="0" xfId="1" applyNumberFormat="1" applyFont="1" applyAlignment="1"/>
    <xf numFmtId="0" fontId="7" fillId="3" borderId="0" xfId="0" applyFont="1" applyFill="1"/>
    <xf numFmtId="164" fontId="7" fillId="3" borderId="0" xfId="0" applyNumberFormat="1" applyFont="1" applyFill="1"/>
    <xf numFmtId="2" fontId="7" fillId="3" borderId="0" xfId="1" applyNumberFormat="1" applyFont="1" applyFill="1" applyAlignment="1"/>
    <xf numFmtId="10" fontId="7" fillId="3" borderId="0" xfId="1" applyNumberFormat="1" applyFont="1" applyFill="1" applyAlignment="1"/>
    <xf numFmtId="1" fontId="7" fillId="3" borderId="0" xfId="0" applyNumberFormat="1" applyFont="1" applyFill="1"/>
    <xf numFmtId="0" fontId="7" fillId="0" borderId="0" xfId="0" applyFont="1"/>
    <xf numFmtId="1" fontId="7" fillId="0" borderId="0" xfId="0" applyNumberFormat="1" applyFont="1"/>
    <xf numFmtId="0" fontId="7" fillId="3" borderId="0" xfId="0" applyFont="1" applyFill="1" applyAlignment="1">
      <alignment vertical="center"/>
    </xf>
    <xf numFmtId="0" fontId="6" fillId="0" borderId="0" xfId="0" applyFont="1"/>
    <xf numFmtId="0" fontId="6" fillId="4" borderId="2" xfId="0" applyFont="1" applyFill="1" applyBorder="1"/>
    <xf numFmtId="1" fontId="6" fillId="4" borderId="3" xfId="0" applyNumberFormat="1" applyFont="1" applyFill="1" applyBorder="1"/>
    <xf numFmtId="0" fontId="4" fillId="0" borderId="4" xfId="0" applyFont="1" applyBorder="1"/>
    <xf numFmtId="1" fontId="4" fillId="0" borderId="5" xfId="0" applyNumberFormat="1" applyFont="1" applyBorder="1"/>
    <xf numFmtId="0" fontId="4" fillId="0" borderId="6" xfId="0" applyFont="1" applyBorder="1"/>
    <xf numFmtId="1" fontId="4" fillId="0" borderId="7" xfId="0" applyNumberFormat="1" applyFont="1" applyBorder="1"/>
    <xf numFmtId="0" fontId="8" fillId="0" borderId="0" xfId="0" applyFont="1"/>
    <xf numFmtId="0" fontId="5" fillId="0" borderId="0" xfId="0" applyFont="1" applyAlignment="1">
      <alignment vertical="center" wrapText="1"/>
    </xf>
    <xf numFmtId="0" fontId="10" fillId="0" borderId="0" xfId="0" applyFont="1"/>
    <xf numFmtId="0" fontId="11" fillId="0" borderId="0" xfId="0" applyFont="1"/>
    <xf numFmtId="0" fontId="12" fillId="0" borderId="0" xfId="0" applyFont="1"/>
    <xf numFmtId="0" fontId="7" fillId="4" borderId="8" xfId="0" applyFont="1" applyFill="1" applyBorder="1" applyAlignment="1">
      <alignment horizontal="center" vertical="center" wrapText="1"/>
    </xf>
    <xf numFmtId="0" fontId="7" fillId="4" borderId="8" xfId="0" applyFont="1" applyFill="1" applyBorder="1" applyAlignment="1">
      <alignment horizontal="center" vertical="center"/>
    </xf>
    <xf numFmtId="0" fontId="5" fillId="5" borderId="8" xfId="0" applyFont="1" applyFill="1" applyBorder="1" applyAlignment="1">
      <alignment vertical="center" wrapText="1"/>
    </xf>
    <xf numFmtId="10" fontId="9" fillId="5" borderId="8" xfId="1" applyNumberFormat="1" applyFont="1" applyFill="1" applyBorder="1" applyAlignment="1">
      <alignment vertical="center" wrapText="1"/>
    </xf>
    <xf numFmtId="10" fontId="5" fillId="5" borderId="8" xfId="1" applyNumberFormat="1" applyFont="1" applyFill="1" applyBorder="1"/>
    <xf numFmtId="0" fontId="5" fillId="5" borderId="8" xfId="0" applyFont="1" applyFill="1" applyBorder="1"/>
    <xf numFmtId="10" fontId="5" fillId="5" borderId="8" xfId="0" applyNumberFormat="1" applyFont="1" applyFill="1" applyBorder="1"/>
    <xf numFmtId="0" fontId="5" fillId="0" borderId="8" xfId="0" applyFont="1" applyBorder="1"/>
    <xf numFmtId="10" fontId="5" fillId="0" borderId="8" xfId="0" applyNumberFormat="1" applyFont="1" applyBorder="1"/>
    <xf numFmtId="1" fontId="5" fillId="0" borderId="8" xfId="0" applyNumberFormat="1" applyFont="1" applyBorder="1"/>
    <xf numFmtId="0" fontId="8" fillId="4" borderId="9" xfId="0" applyFont="1" applyFill="1" applyBorder="1" applyAlignment="1">
      <alignment horizontal="center" vertical="center"/>
    </xf>
    <xf numFmtId="0" fontId="8" fillId="4" borderId="10" xfId="0" applyFont="1" applyFill="1" applyBorder="1" applyAlignment="1">
      <alignment horizontal="center" vertical="center"/>
    </xf>
    <xf numFmtId="0" fontId="8" fillId="4" borderId="11" xfId="0" applyFont="1" applyFill="1" applyBorder="1" applyAlignment="1">
      <alignment horizontal="center" vertical="center"/>
    </xf>
    <xf numFmtId="0" fontId="0" fillId="0" borderId="12" xfId="0" applyBorder="1"/>
    <xf numFmtId="0" fontId="5" fillId="0" borderId="13" xfId="0" applyFont="1" applyBorder="1"/>
    <xf numFmtId="0" fontId="5" fillId="0" borderId="12" xfId="0" applyFont="1" applyBorder="1"/>
    <xf numFmtId="0" fontId="5" fillId="0" borderId="14" xfId="0" applyFont="1" applyBorder="1"/>
    <xf numFmtId="1" fontId="5" fillId="0" borderId="15" xfId="0" applyNumberFormat="1" applyFont="1" applyBorder="1"/>
    <xf numFmtId="0" fontId="5" fillId="0" borderId="16" xfId="0" applyFont="1" applyBorder="1"/>
    <xf numFmtId="10" fontId="5" fillId="0" borderId="8" xfId="1" applyNumberFormat="1" applyFont="1" applyBorder="1"/>
    <xf numFmtId="0" fontId="0" fillId="6" borderId="0" xfId="0" applyFill="1"/>
    <xf numFmtId="0" fontId="0" fillId="6" borderId="0" xfId="0" applyFill="1" applyAlignment="1">
      <alignment wrapText="1"/>
    </xf>
    <xf numFmtId="0" fontId="0" fillId="6" borderId="17" xfId="0" applyFill="1" applyBorder="1"/>
    <xf numFmtId="0" fontId="17" fillId="6" borderId="0" xfId="0" applyFont="1" applyFill="1"/>
    <xf numFmtId="0" fontId="18" fillId="4" borderId="15" xfId="0" applyFont="1" applyFill="1" applyBorder="1" applyAlignment="1">
      <alignment horizontal="center" vertical="center" wrapText="1"/>
    </xf>
    <xf numFmtId="0" fontId="0" fillId="0" borderId="0" xfId="0" applyAlignment="1">
      <alignment wrapText="1"/>
    </xf>
    <xf numFmtId="0" fontId="0" fillId="6" borderId="17" xfId="0" applyFill="1" applyBorder="1" applyAlignment="1">
      <alignment wrapText="1"/>
    </xf>
    <xf numFmtId="0" fontId="16" fillId="6" borderId="0" xfId="0" applyFont="1" applyFill="1" applyAlignment="1">
      <alignment horizontal="center"/>
    </xf>
    <xf numFmtId="0" fontId="14" fillId="0" borderId="0" xfId="0" applyFont="1" applyAlignment="1">
      <alignment horizontal="center"/>
    </xf>
    <xf numFmtId="10" fontId="15" fillId="6" borderId="0" xfId="0" applyNumberFormat="1" applyFont="1" applyFill="1" applyAlignment="1">
      <alignment horizontal="center"/>
    </xf>
    <xf numFmtId="0" fontId="13" fillId="0" borderId="0" xfId="0" applyFont="1" applyAlignment="1">
      <alignment horizontal="center"/>
    </xf>
  </cellXfs>
  <cellStyles count="2">
    <cellStyle name="Normal" xfId="0" builtinId="0"/>
    <cellStyle name="Per cent" xfId="1" builtinId="5"/>
  </cellStyles>
  <dxfs count="61">
    <dxf>
      <font>
        <color rgb="FF006100"/>
      </font>
      <fill>
        <patternFill>
          <bgColor rgb="FFC6EFCE"/>
        </patternFill>
      </fill>
    </dxf>
    <dxf>
      <font>
        <color rgb="FF9C5700"/>
      </font>
      <fill>
        <patternFill>
          <bgColor rgb="FFFFEB9C"/>
        </patternFill>
      </fill>
    </dxf>
    <dxf>
      <font>
        <color rgb="FF9C0006"/>
      </font>
      <fill>
        <patternFill>
          <bgColor rgb="FFFFC7CE"/>
        </patternFill>
      </fill>
    </dxf>
    <dxf>
      <border>
        <left style="thin">
          <color theme="4" tint="-0.499984740745262"/>
        </left>
        <right style="thin">
          <color theme="4" tint="-0.499984740745262"/>
        </right>
        <top style="thin">
          <color theme="4" tint="-0.499984740745262"/>
        </top>
        <bottom style="thin">
          <color theme="4" tint="-0.499984740745262"/>
        </bottom>
        <vertical/>
        <horizontal/>
      </border>
    </dxf>
    <dxf>
      <font>
        <b/>
        <i val="0"/>
        <color theme="0"/>
      </font>
      <fill>
        <patternFill>
          <bgColor theme="4" tint="-0.499984740745262"/>
        </patternFill>
      </fill>
      <border>
        <left style="thin">
          <color theme="4" tint="-0.499984740745262"/>
        </left>
        <right style="thin">
          <color theme="4" tint="-0.499984740745262"/>
        </right>
        <top style="thin">
          <color theme="4" tint="-0.499984740745262"/>
        </top>
        <bottom style="thin">
          <color theme="4" tint="-0.499984740745262"/>
        </bottom>
        <vertical/>
        <horizontal/>
      </border>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dxf>
    <dxf>
      <font>
        <b/>
        <i val="0"/>
        <strike val="0"/>
        <condense val="0"/>
        <extend val="0"/>
        <outline val="0"/>
        <shadow val="0"/>
        <u val="none"/>
        <vertAlign val="baseline"/>
        <sz val="11"/>
        <color theme="0"/>
        <name val="Aptos Narrow"/>
        <family val="2"/>
        <scheme val="minor"/>
      </font>
      <fill>
        <patternFill patternType="solid">
          <fgColor theme="4"/>
          <bgColor theme="4"/>
        </patternFill>
      </fill>
    </dxf>
    <dxf>
      <font>
        <b val="0"/>
        <i val="0"/>
        <strike val="0"/>
        <condense val="0"/>
        <extend val="0"/>
        <outline val="0"/>
        <shadow val="0"/>
        <u val="none"/>
        <vertAlign val="baseline"/>
        <sz val="11"/>
        <color theme="1"/>
        <name val="HP Simplified"/>
        <family val="2"/>
        <scheme val="none"/>
      </font>
      <numFmt numFmtId="0" formatCode="General"/>
      <border diagonalUp="0" diagonalDown="0">
        <left style="hair">
          <color theme="4" tint="-0.499984740745262"/>
        </left>
        <right/>
        <top style="hair">
          <color theme="4" tint="-0.499984740745262"/>
        </top>
        <bottom style="hair">
          <color theme="4" tint="-0.499984740745262"/>
        </bottom>
        <vertical style="hair">
          <color theme="4" tint="-0.499984740745262"/>
        </vertical>
        <horizontal style="hair">
          <color theme="4" tint="-0.499984740745262"/>
        </horizontal>
      </border>
    </dxf>
    <dxf>
      <font>
        <b val="0"/>
        <i val="0"/>
        <strike val="0"/>
        <condense val="0"/>
        <extend val="0"/>
        <outline val="0"/>
        <shadow val="0"/>
        <u val="none"/>
        <vertAlign val="baseline"/>
        <sz val="11"/>
        <color theme="1"/>
        <name val="HP Simplified"/>
        <family val="2"/>
        <scheme val="none"/>
      </font>
      <numFmt numFmtId="1" formatCode="0"/>
      <border diagonalUp="0" diagonalDown="0">
        <left style="hair">
          <color theme="4" tint="-0.499984740745262"/>
        </left>
        <right style="hair">
          <color theme="4" tint="-0.499984740745262"/>
        </right>
        <top style="hair">
          <color theme="4" tint="-0.499984740745262"/>
        </top>
        <bottom style="hair">
          <color theme="4" tint="-0.499984740745262"/>
        </bottom>
        <vertical style="hair">
          <color theme="4" tint="-0.499984740745262"/>
        </vertical>
        <horizontal style="hair">
          <color theme="4" tint="-0.499984740745262"/>
        </horizontal>
      </border>
    </dxf>
    <dxf>
      <font>
        <b val="0"/>
        <i val="0"/>
        <strike val="0"/>
        <condense val="0"/>
        <extend val="0"/>
        <outline val="0"/>
        <shadow val="0"/>
        <u val="none"/>
        <vertAlign val="baseline"/>
        <sz val="11"/>
        <color theme="1"/>
        <name val="HP Simplified"/>
        <family val="2"/>
        <scheme val="none"/>
      </font>
      <numFmt numFmtId="1" formatCode="0"/>
      <border diagonalUp="0" diagonalDown="0">
        <left style="hair">
          <color theme="4" tint="-0.499984740745262"/>
        </left>
        <right style="hair">
          <color theme="4" tint="-0.499984740745262"/>
        </right>
        <top style="hair">
          <color theme="4" tint="-0.499984740745262"/>
        </top>
        <bottom style="hair">
          <color theme="4" tint="-0.499984740745262"/>
        </bottom>
        <vertical style="hair">
          <color theme="4" tint="-0.499984740745262"/>
        </vertical>
        <horizontal style="hair">
          <color theme="4" tint="-0.499984740745262"/>
        </horizontal>
      </border>
    </dxf>
    <dxf>
      <font>
        <b val="0"/>
        <i val="0"/>
        <strike val="0"/>
        <condense val="0"/>
        <extend val="0"/>
        <outline val="0"/>
        <shadow val="0"/>
        <u val="none"/>
        <vertAlign val="baseline"/>
        <sz val="11"/>
        <color theme="1"/>
        <name val="HP Simplified"/>
        <family val="2"/>
        <scheme val="none"/>
      </font>
      <numFmt numFmtId="0" formatCode="General"/>
      <border diagonalUp="0" diagonalDown="0">
        <left/>
        <right style="hair">
          <color theme="4" tint="-0.499984740745262"/>
        </right>
        <top style="hair">
          <color theme="4" tint="-0.499984740745262"/>
        </top>
        <bottom style="hair">
          <color theme="4" tint="-0.499984740745262"/>
        </bottom>
        <vertical style="hair">
          <color theme="4" tint="-0.499984740745262"/>
        </vertical>
        <horizontal style="hair">
          <color theme="4" tint="-0.499984740745262"/>
        </horizontal>
      </border>
    </dxf>
    <dxf>
      <border>
        <top style="hair">
          <color theme="4" tint="-0.499984740745262"/>
        </top>
      </border>
    </dxf>
    <dxf>
      <border diagonalUp="0" diagonalDown="0">
        <left style="hair">
          <color theme="4" tint="-0.499984740745262"/>
        </left>
        <right style="hair">
          <color theme="4" tint="-0.499984740745262"/>
        </right>
        <top style="hair">
          <color theme="4" tint="-0.499984740745262"/>
        </top>
        <bottom style="hair">
          <color theme="4" tint="-0.499984740745262"/>
        </bottom>
      </border>
    </dxf>
    <dxf>
      <font>
        <b val="0"/>
        <i val="0"/>
        <strike val="0"/>
        <condense val="0"/>
        <extend val="0"/>
        <outline val="0"/>
        <shadow val="0"/>
        <u val="none"/>
        <vertAlign val="baseline"/>
        <sz val="11"/>
        <color theme="1"/>
        <name val="HP Simplified"/>
        <family val="2"/>
        <scheme val="none"/>
      </font>
    </dxf>
    <dxf>
      <border>
        <bottom style="hair">
          <color theme="4" tint="-0.499984740745262"/>
        </bottom>
      </border>
    </dxf>
    <dxf>
      <font>
        <b/>
        <i val="0"/>
        <strike val="0"/>
        <condense val="0"/>
        <extend val="0"/>
        <outline val="0"/>
        <shadow val="0"/>
        <u val="none"/>
        <vertAlign val="baseline"/>
        <sz val="11"/>
        <color theme="1"/>
        <name val="HP Simplified"/>
        <family val="2"/>
        <scheme val="none"/>
      </font>
      <fill>
        <patternFill patternType="solid">
          <fgColor indexed="64"/>
          <bgColor theme="4" tint="-0.249977111117893"/>
        </patternFill>
      </fill>
      <alignment horizontal="center" vertical="center" textRotation="0" indent="0" justifyLastLine="0" shrinkToFit="0" readingOrder="0"/>
      <border diagonalUp="0" diagonalDown="0">
        <left style="hair">
          <color theme="4" tint="-0.499984740745262"/>
        </left>
        <right style="hair">
          <color theme="4" tint="-0.499984740745262"/>
        </right>
        <top/>
        <bottom/>
        <vertical style="hair">
          <color theme="4" tint="-0.499984740745262"/>
        </vertical>
        <horizontal style="hair">
          <color theme="4" tint="-0.499984740745262"/>
        </horizontal>
      </border>
    </dxf>
    <dxf>
      <font>
        <b val="0"/>
        <i val="0"/>
        <strike val="0"/>
        <condense val="0"/>
        <extend val="0"/>
        <outline val="0"/>
        <shadow val="0"/>
        <u val="none"/>
        <vertAlign val="baseline"/>
        <sz val="11"/>
        <color auto="1"/>
        <name val="HP Simplified"/>
        <family val="2"/>
        <scheme val="none"/>
      </font>
      <numFmt numFmtId="1" formatCode="0"/>
      <alignment horizontal="general" textRotation="0" wrapText="0" indent="0" justifyLastLine="0" shrinkToFit="0" readingOrder="0"/>
    </dxf>
    <dxf>
      <font>
        <b val="0"/>
        <i val="0"/>
        <strike val="0"/>
        <condense val="0"/>
        <extend val="0"/>
        <outline val="0"/>
        <shadow val="0"/>
        <u val="none"/>
        <vertAlign val="baseline"/>
        <sz val="11"/>
        <color auto="1"/>
        <name val="HP Simplified"/>
        <family val="2"/>
        <scheme val="none"/>
      </font>
      <numFmt numFmtId="1" formatCode="0"/>
      <alignment horizontal="general" textRotation="0" wrapText="0" indent="0" justifyLastLine="0" shrinkToFit="0" readingOrder="0"/>
    </dxf>
    <dxf>
      <font>
        <b val="0"/>
        <i val="0"/>
        <strike val="0"/>
        <condense val="0"/>
        <extend val="0"/>
        <outline val="0"/>
        <shadow val="0"/>
        <u val="none"/>
        <vertAlign val="baseline"/>
        <sz val="11"/>
        <color auto="1"/>
        <name val="HP Simplified"/>
        <family val="2"/>
        <scheme val="none"/>
      </font>
      <numFmt numFmtId="1" formatCode="0"/>
      <alignment horizontal="general" textRotation="0" wrapText="0" indent="0" justifyLastLine="0" shrinkToFit="0" readingOrder="0"/>
    </dxf>
    <dxf>
      <font>
        <b val="0"/>
        <i val="0"/>
        <strike val="0"/>
        <condense val="0"/>
        <extend val="0"/>
        <outline val="0"/>
        <shadow val="0"/>
        <u val="none"/>
        <vertAlign val="baseline"/>
        <sz val="11"/>
        <color auto="1"/>
        <name val="HP Simplified"/>
        <family val="2"/>
        <scheme val="none"/>
      </font>
      <numFmt numFmtId="0" formatCode="General"/>
      <alignment horizontal="general" textRotation="0" wrapText="0" indent="0" justifyLastLine="0" shrinkToFit="0" readingOrder="0"/>
    </dxf>
    <dxf>
      <font>
        <b val="0"/>
        <i val="0"/>
        <strike val="0"/>
        <condense val="0"/>
        <extend val="0"/>
        <outline val="0"/>
        <shadow val="0"/>
        <u val="none"/>
        <vertAlign val="baseline"/>
        <sz val="11"/>
        <color auto="1"/>
        <name val="HP Simplified"/>
        <family val="2"/>
        <scheme val="none"/>
      </font>
      <numFmt numFmtId="0" formatCode="General"/>
      <alignment horizontal="general" textRotation="0" wrapText="0" indent="0" justifyLastLine="0" shrinkToFit="0" readingOrder="0"/>
    </dxf>
    <dxf>
      <font>
        <b val="0"/>
        <i val="0"/>
        <strike val="0"/>
        <condense val="0"/>
        <extend val="0"/>
        <outline val="0"/>
        <shadow val="0"/>
        <u val="none"/>
        <vertAlign val="baseline"/>
        <sz val="11"/>
        <color auto="1"/>
        <name val="HP Simplified"/>
        <family val="2"/>
        <scheme val="none"/>
      </font>
      <numFmt numFmtId="1" formatCode="0"/>
      <alignment horizontal="general" textRotation="0" wrapText="0" indent="0" justifyLastLine="0" shrinkToFit="0" readingOrder="0"/>
    </dxf>
    <dxf>
      <font>
        <b val="0"/>
        <i val="0"/>
        <strike val="0"/>
        <condense val="0"/>
        <extend val="0"/>
        <outline val="0"/>
        <shadow val="0"/>
        <u val="none"/>
        <vertAlign val="baseline"/>
        <sz val="11"/>
        <color auto="1"/>
        <name val="HP Simplified"/>
        <family val="2"/>
        <scheme val="none"/>
      </font>
      <numFmt numFmtId="1" formatCode="0"/>
      <alignment horizontal="general" textRotation="0" wrapText="0" indent="0" justifyLastLine="0" shrinkToFit="0" readingOrder="0"/>
    </dxf>
    <dxf>
      <font>
        <b val="0"/>
        <i val="0"/>
        <strike val="0"/>
        <condense val="0"/>
        <extend val="0"/>
        <outline val="0"/>
        <shadow val="0"/>
        <u val="none"/>
        <vertAlign val="baseline"/>
        <sz val="11"/>
        <color auto="1"/>
        <name val="HP Simplified"/>
        <family val="2"/>
        <scheme val="none"/>
      </font>
      <numFmt numFmtId="1" formatCode="0"/>
      <alignment horizontal="general" textRotation="0" wrapText="0" indent="0" justifyLastLine="0" shrinkToFit="0" readingOrder="0"/>
    </dxf>
    <dxf>
      <font>
        <b val="0"/>
        <i val="0"/>
        <strike val="0"/>
        <condense val="0"/>
        <extend val="0"/>
        <outline val="0"/>
        <shadow val="0"/>
        <u val="none"/>
        <vertAlign val="baseline"/>
        <sz val="11"/>
        <color auto="1"/>
        <name val="HP Simplified"/>
        <family val="2"/>
        <scheme val="none"/>
      </font>
      <numFmt numFmtId="1" formatCode="0"/>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HP Simplified"/>
        <family val="2"/>
        <scheme val="none"/>
      </font>
      <numFmt numFmtId="0" formatCode="General"/>
      <fill>
        <patternFill patternType="none">
          <fgColor indexed="64"/>
          <bgColor auto="1"/>
        </patternFill>
      </fill>
      <alignment horizontal="general" textRotation="0" wrapText="0" indent="0" justifyLastLine="0" shrinkToFit="0" readingOrder="0"/>
    </dxf>
    <dxf>
      <font>
        <b val="0"/>
        <i val="0"/>
        <strike val="0"/>
        <condense val="0"/>
        <extend val="0"/>
        <outline val="0"/>
        <shadow val="0"/>
        <u val="none"/>
        <vertAlign val="baseline"/>
        <sz val="11"/>
        <color auto="1"/>
        <name val="HP Simplified"/>
        <family val="2"/>
        <scheme val="none"/>
      </font>
      <numFmt numFmtId="1" formatCode="0"/>
      <alignment horizontal="general" textRotation="0" wrapText="0" indent="0" justifyLastLine="0" shrinkToFit="0" readingOrder="0"/>
    </dxf>
    <dxf>
      <font>
        <b val="0"/>
        <i val="0"/>
        <strike val="0"/>
        <condense val="0"/>
        <extend val="0"/>
        <outline val="0"/>
        <shadow val="0"/>
        <u val="none"/>
        <vertAlign val="baseline"/>
        <sz val="11"/>
        <color auto="1"/>
        <name val="HP Simplified"/>
        <family val="2"/>
        <scheme val="none"/>
      </font>
      <numFmt numFmtId="1" formatCode="0"/>
      <alignment horizontal="general" textRotation="0" wrapText="0" indent="0" justifyLastLine="0" shrinkToFit="0" readingOrder="0"/>
    </dxf>
    <dxf>
      <font>
        <b val="0"/>
        <i val="0"/>
        <strike val="0"/>
        <condense val="0"/>
        <extend val="0"/>
        <outline val="0"/>
        <shadow val="0"/>
        <u val="none"/>
        <vertAlign val="baseline"/>
        <sz val="11"/>
        <color auto="1"/>
        <name val="HP Simplified"/>
        <family val="2"/>
        <scheme val="none"/>
      </font>
      <numFmt numFmtId="0" formatCode="General"/>
      <alignment horizontal="general" textRotation="0" wrapText="0" indent="0" justifyLastLine="0" shrinkToFit="0" readingOrder="0"/>
    </dxf>
    <dxf>
      <font>
        <b val="0"/>
        <i val="0"/>
        <strike val="0"/>
        <condense val="0"/>
        <extend val="0"/>
        <outline val="0"/>
        <shadow val="0"/>
        <u val="none"/>
        <vertAlign val="baseline"/>
        <sz val="11"/>
        <color auto="1"/>
        <name val="HP Simplified"/>
        <family val="2"/>
        <scheme val="none"/>
      </font>
      <numFmt numFmtId="0" formatCode="General"/>
      <alignment horizontal="general" textRotation="0" wrapText="0" indent="0" justifyLastLine="0" shrinkToFit="0" readingOrder="0"/>
    </dxf>
    <dxf>
      <font>
        <b val="0"/>
        <i val="0"/>
        <strike val="0"/>
        <condense val="0"/>
        <extend val="0"/>
        <outline val="0"/>
        <shadow val="0"/>
        <u val="none"/>
        <vertAlign val="baseline"/>
        <sz val="11"/>
        <color auto="1"/>
        <name val="HP Simplified"/>
        <family val="2"/>
        <scheme val="none"/>
      </font>
      <numFmt numFmtId="0" formatCode="General"/>
      <alignment horizontal="general" textRotation="0" wrapText="0" indent="0" justifyLastLine="0" shrinkToFit="0" readingOrder="0"/>
    </dxf>
    <dxf>
      <font>
        <b val="0"/>
        <i val="0"/>
        <strike val="0"/>
        <condense val="0"/>
        <extend val="0"/>
        <outline val="0"/>
        <shadow val="0"/>
        <u val="none"/>
        <vertAlign val="baseline"/>
        <sz val="11"/>
        <color auto="1"/>
        <name val="HP Simplified"/>
        <family val="2"/>
        <scheme val="none"/>
      </font>
      <numFmt numFmtId="0" formatCode="General"/>
      <alignment horizontal="general" textRotation="0" wrapText="0" indent="0" justifyLastLine="0" shrinkToFit="0" readingOrder="0"/>
    </dxf>
    <dxf>
      <font>
        <b val="0"/>
        <i val="0"/>
        <strike val="0"/>
        <condense val="0"/>
        <extend val="0"/>
        <outline val="0"/>
        <shadow val="0"/>
        <u val="none"/>
        <vertAlign val="baseline"/>
        <sz val="11"/>
        <color auto="1"/>
        <name val="HP Simplified"/>
        <family val="2"/>
        <scheme val="none"/>
      </font>
      <numFmt numFmtId="0" formatCode="General"/>
      <alignment horizontal="general" textRotation="0" wrapText="0" indent="0" justifyLastLine="0" shrinkToFit="0" readingOrder="0"/>
    </dxf>
    <dxf>
      <font>
        <b val="0"/>
        <i val="0"/>
        <strike val="0"/>
        <condense val="0"/>
        <extend val="0"/>
        <outline val="0"/>
        <shadow val="0"/>
        <u val="none"/>
        <vertAlign val="baseline"/>
        <sz val="11"/>
        <color auto="1"/>
        <name val="HP Simplified"/>
        <family val="2"/>
        <scheme val="none"/>
      </font>
      <numFmt numFmtId="1" formatCode="0"/>
      <alignment horizontal="general"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auto="1"/>
        <name val="HP Simplified"/>
        <family val="2"/>
        <scheme val="none"/>
      </font>
      <numFmt numFmtId="1" formatCode="0"/>
      <alignment horizontal="general"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auto="1"/>
        <name val="HP Simplified"/>
        <family val="2"/>
        <scheme val="none"/>
      </font>
      <numFmt numFmtId="0" formatCode="General"/>
      <alignment horizontal="general"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auto="1"/>
        <name val="HP Simplified"/>
        <family val="2"/>
        <scheme val="none"/>
      </font>
      <numFmt numFmtId="0" formatCode="General"/>
      <alignment horizontal="general"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auto="1"/>
        <name val="HP Simplified"/>
        <family val="2"/>
        <scheme val="none"/>
      </font>
      <numFmt numFmtId="14" formatCode="0.00%"/>
      <alignment horizontal="general"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auto="1"/>
        <name val="HP Simplified"/>
        <family val="2"/>
        <scheme val="none"/>
      </font>
      <numFmt numFmtId="0" formatCode="General"/>
      <alignment horizontal="general"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auto="1"/>
        <name val="HP Simplified"/>
        <family val="2"/>
        <scheme val="none"/>
      </font>
      <numFmt numFmtId="0" formatCode="General"/>
      <alignment horizontal="general"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auto="1"/>
        <name val="HP Simplified"/>
        <family val="2"/>
        <scheme val="none"/>
      </font>
      <numFmt numFmtId="0" formatCode="General"/>
      <alignment horizontal="general"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auto="1"/>
        <name val="HP Simplified"/>
        <family val="2"/>
        <scheme val="none"/>
      </font>
      <numFmt numFmtId="2" formatCode="0.00"/>
      <alignment horizontal="general"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auto="1"/>
        <name val="HP Simplified"/>
        <family val="2"/>
        <scheme val="none"/>
      </font>
      <numFmt numFmtId="0" formatCode="General"/>
      <alignment horizontal="general"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auto="1"/>
        <name val="HP Simplified"/>
        <family val="2"/>
        <scheme val="none"/>
      </font>
      <numFmt numFmtId="164" formatCode="&quot;R&quot;#,##0.00"/>
      <alignment horizontal="general"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auto="1"/>
        <name val="HP Simplified"/>
        <family val="2"/>
        <scheme val="none"/>
      </font>
      <numFmt numFmtId="0" formatCode="General"/>
      <alignment horizontal="general"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auto="1"/>
        <name val="HP Simplified"/>
        <family val="2"/>
        <scheme val="none"/>
      </font>
      <numFmt numFmtId="0" formatCode="General"/>
      <alignment horizontal="general"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auto="1"/>
        <name val="HP Simplified"/>
        <family val="2"/>
        <scheme val="none"/>
      </font>
      <numFmt numFmtId="0" formatCode="General"/>
      <alignment horizontal="general"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auto="1"/>
        <name val="HP Simplified"/>
        <family val="2"/>
        <scheme val="none"/>
      </font>
      <numFmt numFmtId="15" formatCode="0.00E+00"/>
      <alignment horizontal="general"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auto="1"/>
        <name val="HP Simplified"/>
        <family val="2"/>
        <scheme val="none"/>
      </font>
      <numFmt numFmtId="0" formatCode="General"/>
      <alignment horizontal="general" textRotation="0" wrapText="0" indent="0" justifyLastLine="0" shrinkToFit="0" readingOrder="0"/>
      <border diagonalUp="0" diagonalDown="0" outline="0">
        <left/>
        <right/>
        <top style="thin">
          <color theme="4" tint="0.39997558519241921"/>
        </top>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1"/>
        <color auto="1"/>
        <name val="HP Simplified"/>
        <family val="2"/>
        <scheme val="none"/>
      </font>
      <alignment horizontal="general" textRotation="0" wrapText="0" indent="0" justifyLastLine="0" shrinkToFit="0" readingOrder="0"/>
    </dxf>
    <dxf>
      <font>
        <b/>
        <i val="0"/>
        <strike val="0"/>
        <condense val="0"/>
        <extend val="0"/>
        <outline val="0"/>
        <shadow val="0"/>
        <u val="none"/>
        <vertAlign val="baseline"/>
        <sz val="11"/>
        <color theme="0"/>
        <name val="HP Simplified"/>
        <family val="2"/>
        <scheme val="none"/>
      </font>
      <fill>
        <patternFill patternType="solid">
          <fgColor theme="4"/>
          <bgColor theme="4"/>
        </patternFill>
      </fill>
      <alignment horizontal="general" textRotation="0" wrapText="0" indent="0" justifyLastLine="0" shrinkToFit="0" readingOrder="0"/>
    </dxf>
  </dxfs>
  <tableStyles count="0" defaultTableStyle="TableStyleMedium2" defaultPivotStyle="PivotStyleLight16"/>
  <colors>
    <mruColors>
      <color rgb="FFFF9900"/>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onnections" Target="connections.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800" b="0" i="0" u="none" strike="noStrike" kern="1200" spc="0" baseline="0">
                <a:solidFill>
                  <a:srgbClr val="FF9900"/>
                </a:solidFill>
                <a:latin typeface="HP Simplified Hans" panose="020B0500000000000000" pitchFamily="34" charset="-122"/>
                <a:ea typeface="HP Simplified Hans" panose="020B0500000000000000" pitchFamily="34" charset="-122"/>
                <a:cs typeface="+mn-cs"/>
              </a:defRPr>
            </a:pPr>
            <a:r>
              <a:rPr lang="en-ZA" sz="2400" b="0" i="0">
                <a:solidFill>
                  <a:srgbClr val="FF9900"/>
                </a:solidFill>
                <a:effectLst/>
              </a:rPr>
              <a:t>Data Reliability Improved After Recount Process</a:t>
            </a:r>
          </a:p>
        </c:rich>
      </c:tx>
      <c:layout>
        <c:manualLayout>
          <c:xMode val="edge"/>
          <c:yMode val="edge"/>
          <c:x val="4.5107474310809186E-2"/>
          <c:y val="6.3016132129824979E-4"/>
        </c:manualLayout>
      </c:layout>
      <c:overlay val="0"/>
      <c:spPr>
        <a:noFill/>
        <a:ln>
          <a:noFill/>
        </a:ln>
        <a:effectLst/>
      </c:spPr>
      <c:txPr>
        <a:bodyPr rot="0" spcFirstLastPara="1" vertOverflow="ellipsis" vert="horz" wrap="square" anchor="ctr" anchorCtr="1"/>
        <a:lstStyle/>
        <a:p>
          <a:pPr>
            <a:defRPr sz="2800" b="0" i="0" u="none" strike="noStrike" kern="1200" spc="0" baseline="0">
              <a:solidFill>
                <a:srgbClr val="FF9900"/>
              </a:solidFill>
              <a:latin typeface="HP Simplified Hans" panose="020B0500000000000000" pitchFamily="34" charset="-122"/>
              <a:ea typeface="HP Simplified Hans" panose="020B0500000000000000" pitchFamily="34" charset="-122"/>
              <a:cs typeface="+mn-cs"/>
            </a:defRPr>
          </a:pPr>
          <a:endParaRPr lang="en-US"/>
        </a:p>
      </c:txPr>
    </c:title>
    <c:autoTitleDeleted val="0"/>
    <c:plotArea>
      <c:layout/>
      <c:barChart>
        <c:barDir val="bar"/>
        <c:grouping val="clustered"/>
        <c:varyColors val="0"/>
        <c:ser>
          <c:idx val="0"/>
          <c:order val="0"/>
          <c:tx>
            <c:strRef>
              <c:f>DashBoard_Data!$C$92</c:f>
              <c:strCache>
                <c:ptCount val="1"/>
                <c:pt idx="0">
                  <c:v>Before</c:v>
                </c:pt>
              </c:strCache>
            </c:strRef>
          </c:tx>
          <c:spPr>
            <a:pattFill prst="wdUpDiag">
              <a:fgClr>
                <a:schemeClr val="tx2">
                  <a:lumMod val="50000"/>
                  <a:lumOff val="50000"/>
                </a:schemeClr>
              </a:fgClr>
              <a:bgClr>
                <a:schemeClr val="accent1">
                  <a:lumMod val="75000"/>
                </a:schemeClr>
              </a:bgClr>
            </a:pattFill>
            <a:ln cap="sq">
              <a:solidFill>
                <a:schemeClr val="accent1">
                  <a:lumMod val="75000"/>
                </a:schemeClr>
              </a:solidFill>
            </a:ln>
            <a:effectLst/>
          </c:spPr>
          <c:invertIfNegative val="0"/>
          <c:dPt>
            <c:idx val="0"/>
            <c:invertIfNegative val="0"/>
            <c:bubble3D val="0"/>
            <c:spPr>
              <a:pattFill prst="wdUpDiag">
                <a:fgClr>
                  <a:schemeClr val="tx2">
                    <a:lumMod val="50000"/>
                    <a:lumOff val="50000"/>
                  </a:schemeClr>
                </a:fgClr>
                <a:bgClr>
                  <a:schemeClr val="accent1">
                    <a:lumMod val="75000"/>
                  </a:schemeClr>
                </a:bgClr>
              </a:pattFill>
              <a:ln cap="sq">
                <a:solidFill>
                  <a:schemeClr val="accent1">
                    <a:lumMod val="75000"/>
                  </a:schemeClr>
                </a:solidFill>
              </a:ln>
              <a:effectLst/>
            </c:spPr>
            <c:extLst>
              <c:ext xmlns:c16="http://schemas.microsoft.com/office/drawing/2014/chart" uri="{C3380CC4-5D6E-409C-BE32-E72D297353CC}">
                <c16:uniqueId val="{00000001-2813-4D15-A450-1A5641FE672C}"/>
              </c:ext>
            </c:extLst>
          </c:dPt>
          <c:dPt>
            <c:idx val="1"/>
            <c:invertIfNegative val="0"/>
            <c:bubble3D val="0"/>
            <c:spPr>
              <a:pattFill prst="wdUpDiag">
                <a:fgClr>
                  <a:schemeClr val="tx2">
                    <a:lumMod val="50000"/>
                    <a:lumOff val="50000"/>
                  </a:schemeClr>
                </a:fgClr>
                <a:bgClr>
                  <a:schemeClr val="accent1">
                    <a:lumMod val="75000"/>
                  </a:schemeClr>
                </a:bgClr>
              </a:pattFill>
              <a:ln cap="sq">
                <a:solidFill>
                  <a:schemeClr val="accent1">
                    <a:lumMod val="75000"/>
                  </a:schemeClr>
                </a:solidFill>
              </a:ln>
              <a:effectLst/>
            </c:spPr>
            <c:extLst>
              <c:ext xmlns:c16="http://schemas.microsoft.com/office/drawing/2014/chart" uri="{C3380CC4-5D6E-409C-BE32-E72D297353CC}">
                <c16:uniqueId val="{00000003-2813-4D15-A450-1A5641FE672C}"/>
              </c:ext>
            </c:extLst>
          </c:dPt>
          <c:dPt>
            <c:idx val="2"/>
            <c:invertIfNegative val="0"/>
            <c:bubble3D val="0"/>
            <c:spPr>
              <a:pattFill prst="wdUpDiag">
                <a:fgClr>
                  <a:schemeClr val="tx2">
                    <a:lumMod val="50000"/>
                    <a:lumOff val="50000"/>
                  </a:schemeClr>
                </a:fgClr>
                <a:bgClr>
                  <a:schemeClr val="accent1">
                    <a:lumMod val="75000"/>
                  </a:schemeClr>
                </a:bgClr>
              </a:pattFill>
              <a:ln cap="sq">
                <a:solidFill>
                  <a:schemeClr val="accent1">
                    <a:lumMod val="75000"/>
                  </a:schemeClr>
                </a:solidFill>
              </a:ln>
              <a:effectLst/>
            </c:spPr>
            <c:extLst>
              <c:ext xmlns:c16="http://schemas.microsoft.com/office/drawing/2014/chart" uri="{C3380CC4-5D6E-409C-BE32-E72D297353CC}">
                <c16:uniqueId val="{00000005-2813-4D15-A450-1A5641FE672C}"/>
              </c:ext>
            </c:extLst>
          </c:dPt>
          <c:cat>
            <c:strRef>
              <c:f>DashBoard_Data!$B$93:$B$95</c:f>
              <c:strCache>
                <c:ptCount val="3"/>
                <c:pt idx="0">
                  <c:v>Acceptable</c:v>
                </c:pt>
                <c:pt idx="1">
                  <c:v>Check</c:v>
                </c:pt>
                <c:pt idx="2">
                  <c:v>Problem</c:v>
                </c:pt>
              </c:strCache>
            </c:strRef>
          </c:cat>
          <c:val>
            <c:numRef>
              <c:f>DashBoard_Data!$C$93:$C$95</c:f>
              <c:numCache>
                <c:formatCode>0.00%</c:formatCode>
                <c:ptCount val="3"/>
                <c:pt idx="0">
                  <c:v>0.27272727272727271</c:v>
                </c:pt>
                <c:pt idx="1">
                  <c:v>0.42045454545454547</c:v>
                </c:pt>
                <c:pt idx="2">
                  <c:v>0.30681818181818182</c:v>
                </c:pt>
              </c:numCache>
            </c:numRef>
          </c:val>
          <c:extLst>
            <c:ext xmlns:c16="http://schemas.microsoft.com/office/drawing/2014/chart" uri="{C3380CC4-5D6E-409C-BE32-E72D297353CC}">
              <c16:uniqueId val="{00000006-2813-4D15-A450-1A5641FE672C}"/>
            </c:ext>
          </c:extLst>
        </c:ser>
        <c:ser>
          <c:idx val="1"/>
          <c:order val="1"/>
          <c:tx>
            <c:strRef>
              <c:f>DashBoard_Data!$D$92</c:f>
              <c:strCache>
                <c:ptCount val="1"/>
                <c:pt idx="0">
                  <c:v>After</c:v>
                </c:pt>
              </c:strCache>
            </c:strRef>
          </c:tx>
          <c:spPr>
            <a:solidFill>
              <a:srgbClr val="FF9900"/>
            </a:solidFill>
            <a:ln>
              <a:solidFill>
                <a:srgbClr val="FF9900"/>
              </a:solidFill>
            </a:ln>
            <a:effectLst/>
          </c:spPr>
          <c:invertIfNegative val="0"/>
          <c:dPt>
            <c:idx val="0"/>
            <c:invertIfNegative val="0"/>
            <c:bubble3D val="0"/>
            <c:spPr>
              <a:solidFill>
                <a:srgbClr val="FF9900"/>
              </a:solidFill>
              <a:ln>
                <a:solidFill>
                  <a:srgbClr val="FF9900"/>
                </a:solidFill>
              </a:ln>
              <a:effectLst/>
            </c:spPr>
            <c:extLst>
              <c:ext xmlns:c16="http://schemas.microsoft.com/office/drawing/2014/chart" uri="{C3380CC4-5D6E-409C-BE32-E72D297353CC}">
                <c16:uniqueId val="{00000008-2813-4D15-A450-1A5641FE672C}"/>
              </c:ext>
            </c:extLst>
          </c:dPt>
          <c:dPt>
            <c:idx val="1"/>
            <c:invertIfNegative val="0"/>
            <c:bubble3D val="0"/>
            <c:spPr>
              <a:solidFill>
                <a:srgbClr val="FF9900"/>
              </a:solidFill>
              <a:ln>
                <a:solidFill>
                  <a:srgbClr val="FF9900"/>
                </a:solidFill>
              </a:ln>
              <a:effectLst/>
            </c:spPr>
            <c:extLst>
              <c:ext xmlns:c16="http://schemas.microsoft.com/office/drawing/2014/chart" uri="{C3380CC4-5D6E-409C-BE32-E72D297353CC}">
                <c16:uniqueId val="{0000000A-2813-4D15-A450-1A5641FE672C}"/>
              </c:ext>
            </c:extLst>
          </c:dPt>
          <c:cat>
            <c:strRef>
              <c:f>DashBoard_Data!$B$93:$B$95</c:f>
              <c:strCache>
                <c:ptCount val="3"/>
                <c:pt idx="0">
                  <c:v>Acceptable</c:v>
                </c:pt>
                <c:pt idx="1">
                  <c:v>Check</c:v>
                </c:pt>
                <c:pt idx="2">
                  <c:v>Problem</c:v>
                </c:pt>
              </c:strCache>
            </c:strRef>
          </c:cat>
          <c:val>
            <c:numRef>
              <c:f>DashBoard_Data!$D$93:$D$95</c:f>
              <c:numCache>
                <c:formatCode>0.00%</c:formatCode>
                <c:ptCount val="3"/>
                <c:pt idx="0">
                  <c:v>0.63636363636363635</c:v>
                </c:pt>
                <c:pt idx="1">
                  <c:v>0.25</c:v>
                </c:pt>
                <c:pt idx="2">
                  <c:v>0.11363636363636363</c:v>
                </c:pt>
              </c:numCache>
            </c:numRef>
          </c:val>
          <c:extLst>
            <c:ext xmlns:c16="http://schemas.microsoft.com/office/drawing/2014/chart" uri="{C3380CC4-5D6E-409C-BE32-E72D297353CC}">
              <c16:uniqueId val="{0000000B-2813-4D15-A450-1A5641FE672C}"/>
            </c:ext>
          </c:extLst>
        </c:ser>
        <c:dLbls>
          <c:showLegendKey val="0"/>
          <c:showVal val="0"/>
          <c:showCatName val="0"/>
          <c:showSerName val="0"/>
          <c:showPercent val="0"/>
          <c:showBubbleSize val="0"/>
        </c:dLbls>
        <c:gapWidth val="23"/>
        <c:axId val="1958678751"/>
        <c:axId val="1958670111"/>
      </c:barChart>
      <c:catAx>
        <c:axId val="19586787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rgbClr val="FF9900"/>
                </a:solidFill>
                <a:latin typeface="+mn-lt"/>
                <a:ea typeface="+mn-ea"/>
                <a:cs typeface="+mn-cs"/>
              </a:defRPr>
            </a:pPr>
            <a:endParaRPr lang="en-US"/>
          </a:p>
        </c:txPr>
        <c:crossAx val="1958670111"/>
        <c:crosses val="autoZero"/>
        <c:auto val="1"/>
        <c:lblAlgn val="ctr"/>
        <c:lblOffset val="100"/>
        <c:noMultiLvlLbl val="0"/>
      </c:catAx>
      <c:valAx>
        <c:axId val="1958670111"/>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9900"/>
                </a:solidFill>
                <a:latin typeface="+mn-lt"/>
                <a:ea typeface="+mn-ea"/>
                <a:cs typeface="+mn-cs"/>
              </a:defRPr>
            </a:pPr>
            <a:endParaRPr lang="en-US"/>
          </a:p>
        </c:txPr>
        <c:crossAx val="1958678751"/>
        <c:crosses val="autoZero"/>
        <c:crossBetween val="between"/>
        <c:majorUnit val="0.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noFill/>
      <a:round/>
    </a:ln>
    <a:effectLst/>
  </c:spPr>
  <c:txPr>
    <a:bodyPr/>
    <a:lstStyle/>
    <a:p>
      <a:pPr>
        <a:defRPr/>
      </a:pPr>
      <a:endParaRPr lang="en-US"/>
    </a:p>
  </c:txPr>
  <c:printSettings>
    <c:headerFooter/>
    <c:pageMargins b="0.75" l="0.7" r="0.7" t="0.75" header="0.3" footer="0.3"/>
    <c:pageSetup orientation="portrait"/>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66675</xdr:colOff>
      <xdr:row>20</xdr:row>
      <xdr:rowOff>114300</xdr:rowOff>
    </xdr:from>
    <xdr:to>
      <xdr:col>9</xdr:col>
      <xdr:colOff>466725</xdr:colOff>
      <xdr:row>43</xdr:row>
      <xdr:rowOff>47625</xdr:rowOff>
    </xdr:to>
    <xdr:grpSp>
      <xdr:nvGrpSpPr>
        <xdr:cNvPr id="3" name="Group 2">
          <a:extLst>
            <a:ext uri="{FF2B5EF4-FFF2-40B4-BE49-F238E27FC236}">
              <a16:creationId xmlns:a16="http://schemas.microsoft.com/office/drawing/2014/main" id="{E1D21BC6-AADC-41B5-DC96-5791A47431EB}"/>
            </a:ext>
          </a:extLst>
        </xdr:cNvPr>
        <xdr:cNvGrpSpPr/>
      </xdr:nvGrpSpPr>
      <xdr:grpSpPr>
        <a:xfrm>
          <a:off x="66675" y="3968750"/>
          <a:ext cx="5848350" cy="4168775"/>
          <a:chOff x="66675" y="4114800"/>
          <a:chExt cx="5695950" cy="4314825"/>
        </a:xfrm>
      </xdr:grpSpPr>
      <xdr:graphicFrame macro="">
        <xdr:nvGraphicFramePr>
          <xdr:cNvPr id="2" name="Chart 1">
            <a:extLst>
              <a:ext uri="{FF2B5EF4-FFF2-40B4-BE49-F238E27FC236}">
                <a16:creationId xmlns:a16="http://schemas.microsoft.com/office/drawing/2014/main" id="{44B7F6B3-1A1C-4EA0-BC5E-B4DF1372BC59}"/>
              </a:ext>
            </a:extLst>
          </xdr:cNvPr>
          <xdr:cNvGraphicFramePr>
            <a:graphicFrameLocks/>
          </xdr:cNvGraphicFramePr>
        </xdr:nvGraphicFramePr>
        <xdr:xfrm>
          <a:off x="66675" y="4114800"/>
          <a:ext cx="5638800" cy="4314825"/>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4" name="TextBox 3">
            <a:extLst>
              <a:ext uri="{FF2B5EF4-FFF2-40B4-BE49-F238E27FC236}">
                <a16:creationId xmlns:a16="http://schemas.microsoft.com/office/drawing/2014/main" id="{1889BFB1-11E9-15BC-D5EC-2A6DCF9C51CC}"/>
              </a:ext>
            </a:extLst>
          </xdr:cNvPr>
          <xdr:cNvSpPr txBox="1"/>
        </xdr:nvSpPr>
        <xdr:spPr>
          <a:xfrm>
            <a:off x="3822700" y="4886325"/>
            <a:ext cx="1939925" cy="209550"/>
          </a:xfrm>
          <a:prstGeom prst="rect">
            <a:avLst/>
          </a:prstGeom>
          <a:solidFill>
            <a:schemeClr val="accent1">
              <a:lumMod val="50000"/>
            </a:schemeClr>
          </a:solidFill>
          <a:ln w="9525" cmpd="sng">
            <a:solidFill>
              <a:schemeClr val="accent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100" b="1">
                <a:solidFill>
                  <a:srgbClr val="FF9900"/>
                </a:solidFill>
              </a:rPr>
              <a:t>BEFORE </a:t>
            </a:r>
            <a:r>
              <a:rPr lang="en-ZA" sz="1100" b="1" baseline="0">
                <a:solidFill>
                  <a:srgbClr val="FF9900"/>
                </a:solidFill>
              </a:rPr>
              <a:t>                </a:t>
            </a:r>
            <a:r>
              <a:rPr lang="en-ZA" sz="1100" b="1">
                <a:solidFill>
                  <a:srgbClr val="FF9900"/>
                </a:solidFill>
              </a:rPr>
              <a:t>AFTER</a:t>
            </a:r>
          </a:p>
        </xdr:txBody>
      </xdr:sp>
      <xdr:sp macro="" textlink="">
        <xdr:nvSpPr>
          <xdr:cNvPr id="5" name="Rectangle 4">
            <a:extLst>
              <a:ext uri="{FF2B5EF4-FFF2-40B4-BE49-F238E27FC236}">
                <a16:creationId xmlns:a16="http://schemas.microsoft.com/office/drawing/2014/main" id="{19E0F0F5-300C-7F9C-C50B-8A76367B2123}"/>
              </a:ext>
            </a:extLst>
          </xdr:cNvPr>
          <xdr:cNvSpPr/>
        </xdr:nvSpPr>
        <xdr:spPr>
          <a:xfrm>
            <a:off x="4454526" y="4946649"/>
            <a:ext cx="269875" cy="149225"/>
          </a:xfrm>
          <a:prstGeom prst="rect">
            <a:avLst/>
          </a:prstGeom>
          <a:pattFill prst="wdUpDiag">
            <a:fgClr>
              <a:schemeClr val="tx2">
                <a:lumMod val="50000"/>
                <a:lumOff val="50000"/>
              </a:schemeClr>
            </a:fgClr>
            <a:bgClr>
              <a:schemeClr val="accent1">
                <a:lumMod val="75000"/>
              </a:schemeClr>
            </a:bgClr>
          </a:pattFill>
          <a:ln>
            <a:solidFill>
              <a:schemeClr val="tx2">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sp macro="" textlink="">
        <xdr:nvSpPr>
          <xdr:cNvPr id="6" name="Rectangle 5">
            <a:extLst>
              <a:ext uri="{FF2B5EF4-FFF2-40B4-BE49-F238E27FC236}">
                <a16:creationId xmlns:a16="http://schemas.microsoft.com/office/drawing/2014/main" id="{071485F4-0C2F-467A-8A03-55DAE0A03DD3}"/>
              </a:ext>
            </a:extLst>
          </xdr:cNvPr>
          <xdr:cNvSpPr/>
        </xdr:nvSpPr>
        <xdr:spPr>
          <a:xfrm>
            <a:off x="5267326" y="4946649"/>
            <a:ext cx="295275" cy="155575"/>
          </a:xfrm>
          <a:prstGeom prst="rect">
            <a:avLst/>
          </a:prstGeom>
          <a:solidFill>
            <a:srgbClr val="FF9900"/>
          </a:solidFill>
          <a:ln>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grpSp>
    <xdr:clientData/>
  </xdr:twoCellAnchor>
</xdr:wsDr>
</file>

<file path=xl/persons/person.xml><?xml version="1.0" encoding="utf-8"?>
<personList xmlns="http://schemas.microsoft.com/office/spreadsheetml/2018/threadedcomments" xmlns:x="http://schemas.openxmlformats.org/spreadsheetml/2006/main">
  <person displayName="Keith Coetzee" id="{18DD8A3D-9FFE-46EA-A773-940548BDD3CA}" userId="c04201e4fb2a04af" providerId="Windows Live"/>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BFD5D0D-CFBC-42AA-81C3-119686D814B4}" name="tbl_Fact_Sales" displayName="tbl_Fact_Sales" ref="A1:AG89" totalsRowShown="0" headerRowDxfId="60" dataDxfId="59" tableBorderDxfId="58">
  <autoFilter ref="A1:AG89" xr:uid="{3BFD5D0D-CFBC-42AA-81C3-119686D814B4}"/>
  <sortState xmlns:xlrd2="http://schemas.microsoft.com/office/spreadsheetml/2017/richdata2" ref="A2:Q89">
    <sortCondition ref="C2:C89"/>
  </sortState>
  <tableColumns count="33">
    <tableColumn id="1" xr3:uid="{FBF50E5E-E998-40B0-A6E8-DE9E12BACD03}" name="Product_Code" dataDxfId="57"/>
    <tableColumn id="2" xr3:uid="{5C4D9D9B-C66E-4C8F-9DD1-C7338E9EED63}" name="EAN" dataDxfId="56"/>
    <tableColumn id="3" xr3:uid="{B25FE605-5776-4E03-81F9-61BE16BBF767}" name="Product_Description" dataDxfId="55"/>
    <tableColumn id="4" xr3:uid="{2BDDD029-92D5-4152-84CA-8098DFD34F34}" name="Size" dataDxfId="54"/>
    <tableColumn id="5" xr3:uid="{82EE0334-6851-45E1-B4CF-FD2ACCCB473C}" name="SOH" dataDxfId="53"/>
    <tableColumn id="6" xr3:uid="{3A5FD4E6-01B9-444C-8032-EBD506A37AD3}" name="Sales_at_CP" dataDxfId="52"/>
    <tableColumn id="7" xr3:uid="{A4D33ADF-CBC1-4AFB-B764-3F5D4F82A2A8}" name="Sales_Quantity" dataDxfId="51"/>
    <tableColumn id="8" xr3:uid="{A8A0E6E9-111D-4850-9AA2-21894B00A5DF}" name="GP %" dataDxfId="50" dataCellStyle="Per cent"/>
    <tableColumn id="9" xr3:uid="{74807D57-84D7-4240-997F-93CDCCC580AD}" name="Units_Sold" dataDxfId="49"/>
    <tableColumn id="10" xr3:uid="{8C8E5D76-D029-4C7A-AA3B-134343D3D0DE}" name="Cases_Sold" dataDxfId="48"/>
    <tableColumn id="11" xr3:uid="{5434C376-D091-4965-A2C9-CFD1ED770400}" name="Size_Clean" dataDxfId="47"/>
    <tableColumn id="12" xr3:uid="{061356C9-2321-4583-AEC7-568F23CD193A}" name="GP_Percentage" dataDxfId="46" dataCellStyle="Per cent"/>
    <tableColumn id="13" xr3:uid="{54C92765-7D8E-4759-960A-C16E4C0C8C42}" name="Pack_Size" dataDxfId="45">
      <calculatedColumnFormula>tbl_Fact_Sales[[#This Row],[Size_Clean]]</calculatedColumnFormula>
    </tableColumn>
    <tableColumn id="14" xr3:uid="{F5C7BF95-673A-49F7-BB00-DB779D4D95D4}" name="Units_Per_Pack" dataDxfId="44">
      <calculatedColumnFormula>_xlfn.XLOOKUP(tbl_Fact_Sales[[#This Row],[Pack_Size]], tbl_Size_Map[Size_Clean], tbl_Size_Map[Units_Per_Case])</calculatedColumnFormula>
    </tableColumn>
    <tableColumn id="16" xr3:uid="{5DCE994E-1ACA-4E6C-AC4D-00D76CFA9D0B}" name="Cases_Sold2" dataDxfId="43">
      <calculatedColumnFormula>tbl_Fact_Sales[[#This Row],[Units_Sold]] / tbl_Fact_Sales[[#This Row],[Units_Per_Pack]]</calculatedColumnFormula>
    </tableColumn>
    <tableColumn id="17" xr3:uid="{8F0D69E7-4991-4AB3-9343-C0833060C836}" name="Cases_SOH" dataDxfId="42">
      <calculatedColumnFormula>tbl_Fact_Sales[[#This Row],[SOH]] / tbl_Fact_Sales[[#This Row],[Units_Per_Pack]]</calculatedColumnFormula>
    </tableColumn>
    <tableColumn id="18" xr3:uid="{329987C9-9D6E-4934-A822-DBB3C1D51059}" name="Parent_Product" dataDxfId="41"/>
    <tableColumn id="19" xr3:uid="{FE4D6C28-1702-41DB-B4AB-7526EFF01DC0}" name="Parent_Total_Units" dataDxfId="40">
      <calculatedColumnFormula>SUMIFS(tbl_Fact_Sales[Units_Sold], tbl_Fact_Sales[Parent_Product], tbl_Fact_Sales[[#This Row],[Parent_Product]])</calculatedColumnFormula>
    </tableColumn>
    <tableColumn id="20" xr3:uid="{AEAB2CE3-1DB0-495D-A40C-81B4F37155A9}" name="Balance_Status" dataDxfId="39">
      <calculatedColumnFormula>IF(ABS(tbl_Fact_Sales[[#This Row],[Parent_Total_Units]])&lt;0.0001, "Balanced", "Investigate")</calculatedColumnFormula>
    </tableColumn>
    <tableColumn id="21" xr3:uid="{558FDB8A-7EB6-4EFE-BB1C-FD7A3A2D8A59}" name="Variance" dataDxfId="38">
      <calculatedColumnFormula>tbl_Fact_Sales[[#This Row],[Parent_Total_Units]]</calculatedColumnFormula>
    </tableColumn>
    <tableColumn id="22" xr3:uid="{539DD50A-D519-47C5-A795-21B7E0F0327F}" name="Divergence" dataDxfId="37">
      <calculatedColumnFormula>IF(ABS(tbl_Fact_Sales[[#This Row],[Parent_Total_Units]])&lt;=50, "Acceptable", IF(ABS(tbl_Fact_Sales[[#This Row],[Parent_Total_Units]])&lt;=250, "Check", "Problem"))</calculatedColumnFormula>
    </tableColumn>
    <tableColumn id="15" xr3:uid="{6F5038A5-20FE-48DA-9417-E8D906652F9F}" name="Daily_Demand" dataDxfId="36">
      <calculatedColumnFormula>tbl_Fact_Sales[[#This Row],[Cases_Sold2]]/7</calculatedColumnFormula>
    </tableColumn>
    <tableColumn id="23" xr3:uid="{51BA2013-E687-4625-84B7-08DDB146428D}" name="Safety_Stock" dataDxfId="35">
      <calculatedColumnFormula>tbl_Fact_Sales[[#This Row],[Daily_Demand]]*2</calculatedColumnFormula>
    </tableColumn>
    <tableColumn id="24" xr3:uid="{5EC22CE9-3B60-4526-BA7F-87F35A0E1DF2}" name="Notes1" dataDxfId="34"/>
    <tableColumn id="31" xr3:uid="{A4021B2A-E6F2-471D-BDE1-63B561955C16}" name="Notes2" dataDxfId="33"/>
    <tableColumn id="25" xr3:uid="{65468168-BACF-4F66-993E-1CE6B53CEBEE}" name="Required_Stock" dataDxfId="32">
      <calculatedColumnFormula>tbl_Fact_Sales[[#This Row],[Daily_Demand]]*10 + tbl_Fact_Sales[[#This Row],[Safety_Stock]]</calculatedColumnFormula>
    </tableColumn>
    <tableColumn id="26" xr3:uid="{4761DDAC-202C-4CC2-A6F1-C29DCA74C92C}" name="Suggested_Order" dataDxfId="31">
      <calculatedColumnFormula>MAX(0, tbl_Fact_Sales[[#This Row],[Required_Stock]] - tbl_Fact_Sales[[#This Row],[Cases_SOH]])</calculatedColumnFormula>
    </tableColumn>
    <tableColumn id="27" xr3:uid="{FB6DEE57-F382-46E2-97CF-B3990F002A45}" name="Days_of_Cover" dataDxfId="30">
      <calculatedColumnFormula>tbl_Fact_Sales[[#This Row],[Cases_SOH]] / tbl_Fact_Sales[[#This Row],[Daily_Demand]]</calculatedColumnFormula>
    </tableColumn>
    <tableColumn id="28" xr3:uid="{507A10DD-947A-4994-849D-55E1299D91CC}" name="Planning_Priority" dataDxfId="29">
      <calculatedColumnFormula>tbl_Fact_Sales[[#This Row],[Suggested_Order]] * tbl_Fact_Sales[[#This Row],[Daily_Demand]]</calculatedColumnFormula>
    </tableColumn>
    <tableColumn id="30" xr3:uid="{A8EBBDFB-89FD-402B-B4E5-5ACF0ADED2BF}" name="Helper1" dataDxfId="28">
      <calculatedColumnFormula>TRIM(tbl_Fact_Sales[[#This Row],[Parent_Product]])</calculatedColumnFormula>
    </tableColumn>
    <tableColumn id="33" xr3:uid="{2C763877-A33E-435F-BC30-F5D4E662CE93}" name="Adjusted_SOH" dataDxfId="27">
      <calculatedColumnFormula array="1">IF(_xlfn.XLOOKUP(tbl_Fact_Sales[[#This Row],[Product_Code]], INDEX(rng_Recount, 0, 3), INDEX(rng_Recount, 0, 4), "") ="", tbl_Fact_Sales[[#This Row],[Cases_SOH]], _xlfn.XLOOKUP(tbl_Fact_Sales[[#This Row],[Product_Code]], INDEX(rng_Recount, 0, 3), INDEX(rng_Recount, 0, 4)))</calculatedColumnFormula>
    </tableColumn>
    <tableColumn id="36" xr3:uid="{A6BEEC7E-110E-41FB-AFAA-AEEA58464324}" name="Recount_Variance" dataDxfId="26">
      <calculatedColumnFormula>ABS(tbl_Fact_Sales[[#This Row],[Required_Stock]] - tbl_Fact_Sales[[#This Row],[Adjusted_SOH]])</calculatedColumnFormula>
    </tableColumn>
    <tableColumn id="39" xr3:uid="{CBECE598-7FE0-44FC-9D0F-E94F4039F958}" name="Recount_Divergence" dataDxfId="25">
      <calculatedColumnFormula>IF(tbl_Fact_Sales[[#This Row],[Recount_Variance]]&lt;=10, "Acceptable", IF(tbl_Fact_Sales[[#This Row],[Recount_Variance]]&lt;=50, "Check", "Problem"))</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67F5D14-9A89-4257-A6BB-3166AA44CE8A}" name="Table1" displayName="Table1" ref="A37:D88" totalsRowShown="0" headerRowDxfId="24" dataDxfId="22" headerRowBorderDxfId="23" tableBorderDxfId="21" totalsRowBorderDxfId="20">
  <autoFilter ref="A37:D88" xr:uid="{967F5D14-9A89-4257-A6BB-3166AA44CE8A}"/>
  <tableColumns count="4">
    <tableColumn id="1" xr3:uid="{2C725611-C0DC-49C2-B916-2BC1BBE7378B}" name="Product" dataDxfId="19">
      <calculatedColumnFormula>TRIM(_xlfn.XLOOKUP(tbl_Fact_Sales[[#This Row],[Product_Code]], tbl_Fact_Sales[Product_Code], tbl_Fact_Sales[Helper1]) &amp; " " &amp; _xlfn.XLOOKUP(tbl_Fact_Sales[[#This Row],[Product_Code]], tbl_Fact_Sales[Product_Code], tbl_Fact_Sales[Size_Clean]))</calculatedColumnFormula>
    </tableColumn>
    <tableColumn id="2" xr3:uid="{90FB852E-B155-4949-A75B-5908307967E6}" name="Suggested Order" dataDxfId="18">
      <calculatedColumnFormula>_xlfn.XLOOKUP(tbl_Fact_Sales[[#This Row],[Product_Code]], tbl_Fact_Sales[Product_Code], tbl_Fact_Sales[Suggested_Order])</calculatedColumnFormula>
    </tableColumn>
    <tableColumn id="3" xr3:uid="{F75C4C05-7B03-4052-94C0-2A98B2D3BD1F}" name="Days Cover" dataDxfId="17">
      <calculatedColumnFormula>_xlfn.XLOOKUP(tbl_Fact_Sales[[#This Row],[Product_Code]], tbl_Fact_Sales[Product_Code], tbl_Fact_Sales[Days_of_Cover])</calculatedColumnFormula>
    </tableColumn>
    <tableColumn id="4" xr3:uid="{D0A028C0-8F78-4E8E-8BB7-392C3D2B0736}" name="Status" dataDxfId="16">
      <calculatedColumnFormula>_xlfn.XLOOKUP(tbl_Fact_Sales[[#This Row],[Product_Code]], tbl_Fact_Sales[Product_Code], tbl_Fact_Sales[Recount_Divergence])</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F6E9BB2-5211-46AD-A770-025DD7F30B38}" name="tbl_Size_Map" displayName="tbl_Size_Map" ref="A1:B14" totalsRowShown="0" headerRowDxfId="15" dataDxfId="14" tableBorderDxfId="13">
  <autoFilter ref="A1:B14" xr:uid="{AF6E9BB2-5211-46AD-A770-025DD7F30B38}"/>
  <tableColumns count="2">
    <tableColumn id="1" xr3:uid="{5A804AA7-1658-4B63-9ED5-BD733A3D6130}" name="Size_Clean" dataDxfId="12"/>
    <tableColumn id="2" xr3:uid="{C3B9A2D0-59ED-452B-905B-A983E0407EE7}" name="Units_Per_Case" dataDxfId="1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1" dT="2026-06-19T17:48:31.29" personId="{18DD8A3D-9FFE-46EA-A773-940548BDD3CA}" id="{35627E7B-6B3C-4DA5-A7F8-FFF2B9AB8E00}">
    <text xml:space="preserve">The EAN (barcode) field was received in scientific notation from the source export, resulting in loss of numeric precision. As it is not required for demand planning logic, the field was retained without adjustment to preserve source data integrity.
</text>
  </threadedComment>
  <threadedComment ref="A1" dT="2026-06-19T17:49:29.47" personId="{18DD8A3D-9FFE-46EA-A773-940548BDD3CA}" id="{8455F9CC-84DD-4A92-A0F4-605F664C8628}" parentId="{35627E7B-6B3C-4DA5-A7F8-FFF2B9AB8E00}">
    <text xml:space="preserve">Sales values and GP% were received using a different decimal separator format than the local system settings. A transformation step was applied in Power Query to align decimal representation prior to numeric conversion, ensuring consistent calculation behaviour in Excel.
</text>
  </threadedComment>
  <threadedComment ref="A1" dT="2026-06-19T19:22:35.59" personId="{18DD8A3D-9FFE-46EA-A773-940548BDD3CA}" id="{A88BB758-A975-4865-A19D-7471B4658E96}" parentId="{35627E7B-6B3C-4DA5-A7F8-FFF2B9AB8E00}">
    <text>Structured reference behaviour required use of fully qualified table references due to naming conflicts and table state inconsistencies.</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B8FA5-B778-4713-BA80-665BB59A8A99}">
  <dimension ref="A1:J46"/>
  <sheetViews>
    <sheetView topLeftCell="A3" workbookViewId="0">
      <selection activeCell="A45" sqref="A45:J45"/>
    </sheetView>
  </sheetViews>
  <sheetFormatPr defaultRowHeight="14.5" x14ac:dyDescent="0.35"/>
  <cols>
    <col min="4" max="4" width="6.54296875" customWidth="1"/>
    <col min="5" max="5" width="3.7265625" customWidth="1"/>
    <col min="6" max="6" width="12.7265625" customWidth="1"/>
    <col min="7" max="7" width="11.26953125" customWidth="1"/>
    <col min="8" max="8" width="7.54296875" customWidth="1"/>
    <col min="9" max="9" width="10" customWidth="1"/>
  </cols>
  <sheetData>
    <row r="1" spans="1:10" x14ac:dyDescent="0.35">
      <c r="A1" s="51"/>
      <c r="B1" s="51"/>
      <c r="C1" s="51"/>
      <c r="D1" s="51"/>
      <c r="E1" s="51"/>
      <c r="F1" s="51"/>
      <c r="G1" s="51"/>
      <c r="H1" s="51"/>
      <c r="I1" s="51"/>
      <c r="J1" s="51"/>
    </row>
    <row r="2" spans="1:10" x14ac:dyDescent="0.35">
      <c r="A2" s="51"/>
      <c r="B2" s="51"/>
      <c r="C2" s="51"/>
      <c r="D2" s="51"/>
      <c r="E2" s="51"/>
      <c r="F2" s="54" t="s">
        <v>146</v>
      </c>
      <c r="G2" s="54"/>
      <c r="H2" s="54"/>
      <c r="I2" s="54"/>
      <c r="J2" s="51"/>
    </row>
    <row r="3" spans="1:10" x14ac:dyDescent="0.35">
      <c r="A3" s="51"/>
      <c r="B3" s="51"/>
      <c r="C3" s="51"/>
      <c r="D3" s="51"/>
      <c r="E3" s="51"/>
      <c r="F3" s="54"/>
      <c r="G3" s="54"/>
      <c r="H3" s="54"/>
      <c r="I3" s="54"/>
      <c r="J3" s="51"/>
    </row>
    <row r="4" spans="1:10" s="56" customFormat="1" ht="28" x14ac:dyDescent="0.35">
      <c r="A4" s="52"/>
      <c r="B4" s="52"/>
      <c r="C4" s="52"/>
      <c r="D4" s="52"/>
      <c r="E4" s="52"/>
      <c r="F4" s="55" t="s">
        <v>136</v>
      </c>
      <c r="G4" s="55" t="s">
        <v>137</v>
      </c>
      <c r="H4" s="55" t="s">
        <v>138</v>
      </c>
      <c r="I4" s="55" t="s">
        <v>129</v>
      </c>
      <c r="J4" s="52"/>
    </row>
    <row r="5" spans="1:10" x14ac:dyDescent="0.35">
      <c r="A5" s="51"/>
      <c r="B5" s="51"/>
      <c r="C5" s="51"/>
      <c r="D5" s="51"/>
      <c r="E5" s="51"/>
      <c r="F5" s="57"/>
      <c r="G5" s="53"/>
      <c r="H5" s="53"/>
      <c r="I5" s="53"/>
      <c r="J5" s="51"/>
    </row>
    <row r="6" spans="1:10" x14ac:dyDescent="0.35">
      <c r="A6" s="51"/>
      <c r="B6" s="51"/>
      <c r="C6" s="51"/>
      <c r="D6" s="51"/>
      <c r="E6" s="51"/>
      <c r="F6" s="53"/>
      <c r="G6" s="53"/>
      <c r="H6" s="53"/>
      <c r="I6" s="53"/>
      <c r="J6" s="51"/>
    </row>
    <row r="7" spans="1:10" x14ac:dyDescent="0.35">
      <c r="A7" s="51"/>
      <c r="B7" s="51"/>
      <c r="C7" s="51"/>
      <c r="D7" s="51"/>
      <c r="E7" s="51"/>
      <c r="F7" s="53"/>
      <c r="G7" s="53"/>
      <c r="H7" s="53"/>
      <c r="I7" s="53"/>
      <c r="J7" s="51"/>
    </row>
    <row r="8" spans="1:10" x14ac:dyDescent="0.35">
      <c r="A8" s="51"/>
      <c r="B8" s="51"/>
      <c r="C8" s="51"/>
      <c r="D8" s="51"/>
      <c r="E8" s="51"/>
      <c r="F8" s="53"/>
      <c r="G8" s="53"/>
      <c r="H8" s="53"/>
      <c r="I8" s="53"/>
      <c r="J8" s="51"/>
    </row>
    <row r="9" spans="1:10" x14ac:dyDescent="0.35">
      <c r="A9" s="51"/>
      <c r="B9" s="51"/>
      <c r="C9" s="51"/>
      <c r="D9" s="51"/>
      <c r="E9" s="51"/>
      <c r="F9" s="53"/>
      <c r="G9" s="53"/>
      <c r="H9" s="53"/>
      <c r="I9" s="53"/>
      <c r="J9" s="51"/>
    </row>
    <row r="10" spans="1:10" x14ac:dyDescent="0.35">
      <c r="A10" s="51"/>
      <c r="B10" s="51"/>
      <c r="C10" s="51"/>
      <c r="D10" s="51"/>
      <c r="E10" s="51"/>
      <c r="F10" s="53"/>
      <c r="G10" s="53"/>
      <c r="H10" s="53"/>
      <c r="I10" s="53"/>
      <c r="J10" s="51"/>
    </row>
    <row r="11" spans="1:10" x14ac:dyDescent="0.35">
      <c r="A11" s="51"/>
      <c r="B11" s="51"/>
      <c r="C11" s="51"/>
      <c r="D11" s="51"/>
      <c r="E11" s="51"/>
      <c r="F11" s="53"/>
      <c r="G11" s="53"/>
      <c r="H11" s="53"/>
      <c r="I11" s="53"/>
      <c r="J11" s="51"/>
    </row>
    <row r="12" spans="1:10" x14ac:dyDescent="0.35">
      <c r="A12" s="51"/>
      <c r="B12" s="51"/>
      <c r="C12" s="51"/>
      <c r="D12" s="51"/>
      <c r="E12" s="51"/>
      <c r="F12" s="53"/>
      <c r="G12" s="53"/>
      <c r="H12" s="53"/>
      <c r="I12" s="53"/>
      <c r="J12" s="51"/>
    </row>
    <row r="13" spans="1:10" x14ac:dyDescent="0.35">
      <c r="A13" s="51"/>
      <c r="B13" s="51"/>
      <c r="C13" s="51"/>
      <c r="D13" s="51"/>
      <c r="E13" s="51"/>
      <c r="F13" s="53"/>
      <c r="G13" s="53"/>
      <c r="H13" s="53"/>
      <c r="I13" s="53"/>
      <c r="J13" s="51"/>
    </row>
    <row r="14" spans="1:10" x14ac:dyDescent="0.35">
      <c r="A14" s="51"/>
      <c r="B14" s="51"/>
      <c r="C14" s="51"/>
      <c r="D14" s="51"/>
      <c r="E14" s="51"/>
      <c r="F14" s="53"/>
      <c r="G14" s="53"/>
      <c r="H14" s="53"/>
      <c r="I14" s="53"/>
      <c r="J14" s="51"/>
    </row>
    <row r="15" spans="1:10" x14ac:dyDescent="0.35">
      <c r="A15" s="51"/>
      <c r="B15" s="51"/>
      <c r="C15" s="51"/>
      <c r="D15" s="51"/>
      <c r="E15" s="51"/>
      <c r="F15" s="53"/>
      <c r="G15" s="53"/>
      <c r="H15" s="53"/>
      <c r="I15" s="53"/>
      <c r="J15" s="51"/>
    </row>
    <row r="16" spans="1:10" x14ac:dyDescent="0.35">
      <c r="A16" s="51"/>
      <c r="B16" s="51"/>
      <c r="C16" s="51"/>
      <c r="D16" s="51"/>
      <c r="E16" s="51"/>
      <c r="F16" s="51"/>
      <c r="G16" s="51"/>
      <c r="H16" s="51"/>
      <c r="I16" s="51"/>
      <c r="J16" s="51"/>
    </row>
    <row r="17" spans="1:10" x14ac:dyDescent="0.35">
      <c r="A17" s="51"/>
      <c r="B17" s="51"/>
      <c r="C17" s="51"/>
      <c r="D17" s="51"/>
      <c r="E17" s="51"/>
      <c r="F17" s="51"/>
      <c r="G17" s="51"/>
      <c r="H17" s="51"/>
      <c r="I17" s="51"/>
      <c r="J17" s="51"/>
    </row>
    <row r="18" spans="1:10" x14ac:dyDescent="0.35">
      <c r="A18" s="51"/>
      <c r="B18" s="51"/>
      <c r="C18" s="51"/>
      <c r="D18" s="51"/>
      <c r="E18" s="51"/>
      <c r="F18" s="51"/>
      <c r="G18" s="51"/>
      <c r="H18" s="51"/>
      <c r="I18" s="51"/>
      <c r="J18" s="51"/>
    </row>
    <row r="19" spans="1:10" x14ac:dyDescent="0.35">
      <c r="A19" s="51"/>
      <c r="B19" s="51"/>
      <c r="C19" s="51"/>
      <c r="D19" s="51"/>
      <c r="E19" s="51"/>
      <c r="F19" s="51"/>
      <c r="G19" s="51"/>
      <c r="H19" s="51"/>
      <c r="I19" s="51"/>
      <c r="J19" s="51"/>
    </row>
    <row r="20" spans="1:10" x14ac:dyDescent="0.35">
      <c r="A20" s="51"/>
      <c r="B20" s="51"/>
      <c r="C20" s="51"/>
      <c r="D20" s="51"/>
      <c r="E20" s="51"/>
      <c r="F20" s="51"/>
      <c r="G20" s="51"/>
      <c r="H20" s="51"/>
      <c r="I20" s="51"/>
      <c r="J20" s="51"/>
    </row>
    <row r="21" spans="1:10" x14ac:dyDescent="0.35">
      <c r="A21" s="51"/>
      <c r="B21" s="51"/>
      <c r="C21" s="51"/>
      <c r="D21" s="51"/>
      <c r="E21" s="51"/>
      <c r="F21" s="51"/>
      <c r="G21" s="51"/>
      <c r="H21" s="51"/>
      <c r="I21" s="51"/>
      <c r="J21" s="51"/>
    </row>
    <row r="22" spans="1:10" x14ac:dyDescent="0.35">
      <c r="A22" s="51"/>
      <c r="B22" s="51"/>
      <c r="C22" s="51"/>
      <c r="D22" s="51"/>
      <c r="E22" s="51"/>
      <c r="F22" s="51"/>
      <c r="G22" s="51"/>
      <c r="H22" s="51"/>
      <c r="I22" s="51"/>
      <c r="J22" s="51"/>
    </row>
    <row r="23" spans="1:10" x14ac:dyDescent="0.35">
      <c r="A23" s="51"/>
      <c r="B23" s="51"/>
      <c r="C23" s="51"/>
      <c r="D23" s="51"/>
      <c r="E23" s="51"/>
      <c r="F23" s="51"/>
      <c r="G23" s="51"/>
      <c r="H23" s="51"/>
      <c r="I23" s="51"/>
      <c r="J23" s="51"/>
    </row>
    <row r="24" spans="1:10" x14ac:dyDescent="0.35">
      <c r="A24" s="51"/>
      <c r="B24" s="51"/>
      <c r="C24" s="51"/>
      <c r="D24" s="51"/>
      <c r="E24" s="51"/>
      <c r="F24" s="51"/>
      <c r="G24" s="51"/>
      <c r="H24" s="51"/>
      <c r="I24" s="51"/>
      <c r="J24" s="51"/>
    </row>
    <row r="25" spans="1:10" x14ac:dyDescent="0.35">
      <c r="A25" s="51"/>
      <c r="B25" s="51"/>
      <c r="C25" s="51"/>
      <c r="D25" s="51"/>
      <c r="E25" s="51"/>
      <c r="F25" s="51"/>
      <c r="G25" s="51"/>
      <c r="H25" s="51"/>
      <c r="I25" s="51"/>
      <c r="J25" s="51"/>
    </row>
    <row r="26" spans="1:10" x14ac:dyDescent="0.35">
      <c r="A26" s="51"/>
      <c r="B26" s="51"/>
      <c r="C26" s="51"/>
      <c r="D26" s="51"/>
      <c r="E26" s="51"/>
      <c r="F26" s="51"/>
      <c r="G26" s="51"/>
      <c r="H26" s="51"/>
      <c r="I26" s="51"/>
      <c r="J26" s="51"/>
    </row>
    <row r="27" spans="1:10" x14ac:dyDescent="0.35">
      <c r="A27" s="51"/>
      <c r="B27" s="51"/>
      <c r="C27" s="51"/>
      <c r="D27" s="51"/>
      <c r="E27" s="51"/>
      <c r="F27" s="51"/>
      <c r="G27" s="51"/>
      <c r="H27" s="51"/>
      <c r="I27" s="51"/>
      <c r="J27" s="51"/>
    </row>
    <row r="28" spans="1:10" x14ac:dyDescent="0.35">
      <c r="A28" s="51"/>
      <c r="B28" s="51"/>
      <c r="C28" s="51"/>
      <c r="D28" s="51"/>
      <c r="E28" s="51"/>
      <c r="F28" s="51"/>
      <c r="G28" s="51"/>
      <c r="H28" s="51"/>
      <c r="I28" s="51"/>
      <c r="J28" s="51"/>
    </row>
    <row r="29" spans="1:10" x14ac:dyDescent="0.35">
      <c r="A29" s="51"/>
      <c r="B29" s="51"/>
      <c r="C29" s="51"/>
      <c r="D29" s="51"/>
      <c r="E29" s="51"/>
      <c r="F29" s="51"/>
      <c r="G29" s="51"/>
      <c r="H29" s="51"/>
      <c r="I29" s="51"/>
      <c r="J29" s="51"/>
    </row>
    <row r="30" spans="1:10" x14ac:dyDescent="0.35">
      <c r="A30" s="51"/>
      <c r="B30" s="51"/>
      <c r="C30" s="51"/>
      <c r="D30" s="51"/>
      <c r="E30" s="51"/>
      <c r="F30" s="51"/>
      <c r="G30" s="51"/>
      <c r="H30" s="51"/>
      <c r="I30" s="51"/>
      <c r="J30" s="51"/>
    </row>
    <row r="31" spans="1:10" x14ac:dyDescent="0.35">
      <c r="A31" s="51"/>
      <c r="B31" s="51"/>
      <c r="C31" s="51"/>
      <c r="D31" s="51"/>
      <c r="E31" s="51"/>
      <c r="F31" s="51"/>
      <c r="G31" s="51"/>
      <c r="H31" s="51"/>
      <c r="I31" s="51"/>
      <c r="J31" s="51"/>
    </row>
    <row r="32" spans="1:10" x14ac:dyDescent="0.35">
      <c r="A32" s="51"/>
      <c r="B32" s="51"/>
      <c r="C32" s="51"/>
      <c r="D32" s="51"/>
      <c r="E32" s="51"/>
      <c r="F32" s="51"/>
      <c r="G32" s="51"/>
      <c r="H32" s="51"/>
      <c r="I32" s="51"/>
      <c r="J32" s="51"/>
    </row>
    <row r="33" spans="1:10" x14ac:dyDescent="0.35">
      <c r="A33" s="51"/>
      <c r="B33" s="51"/>
      <c r="C33" s="51"/>
      <c r="D33" s="51"/>
      <c r="E33" s="51"/>
      <c r="F33" s="51"/>
      <c r="G33" s="51"/>
      <c r="H33" s="51"/>
      <c r="I33" s="51"/>
      <c r="J33" s="51"/>
    </row>
    <row r="34" spans="1:10" x14ac:dyDescent="0.35">
      <c r="A34" s="51"/>
      <c r="B34" s="51"/>
      <c r="C34" s="51"/>
      <c r="D34" s="51"/>
      <c r="E34" s="51"/>
      <c r="F34" s="51"/>
      <c r="G34" s="51"/>
      <c r="H34" s="51"/>
      <c r="I34" s="51"/>
      <c r="J34" s="51"/>
    </row>
    <row r="35" spans="1:10" x14ac:dyDescent="0.35">
      <c r="A35" s="51"/>
      <c r="B35" s="51"/>
      <c r="C35" s="51"/>
      <c r="D35" s="51"/>
      <c r="E35" s="51"/>
      <c r="F35" s="51"/>
      <c r="G35" s="51"/>
      <c r="H35" s="51"/>
      <c r="I35" s="51"/>
      <c r="J35" s="51"/>
    </row>
    <row r="36" spans="1:10" x14ac:dyDescent="0.35">
      <c r="A36" s="51"/>
      <c r="B36" s="51"/>
      <c r="C36" s="51"/>
      <c r="D36" s="51"/>
      <c r="E36" s="51"/>
      <c r="F36" s="51"/>
      <c r="G36" s="51"/>
      <c r="H36" s="51"/>
      <c r="I36" s="51"/>
      <c r="J36" s="51"/>
    </row>
    <row r="37" spans="1:10" x14ac:dyDescent="0.35">
      <c r="A37" s="51"/>
      <c r="B37" s="51"/>
      <c r="C37" s="51"/>
      <c r="D37" s="51"/>
      <c r="E37" s="51"/>
      <c r="F37" s="51"/>
      <c r="G37" s="51"/>
      <c r="H37" s="51"/>
      <c r="I37" s="51"/>
      <c r="J37" s="51"/>
    </row>
    <row r="38" spans="1:10" x14ac:dyDescent="0.35">
      <c r="A38" s="51"/>
      <c r="B38" s="51"/>
      <c r="C38" s="51"/>
      <c r="D38" s="51"/>
      <c r="E38" s="51"/>
      <c r="F38" s="51"/>
      <c r="G38" s="51"/>
      <c r="H38" s="51"/>
      <c r="I38" s="51"/>
      <c r="J38" s="51"/>
    </row>
    <row r="39" spans="1:10" x14ac:dyDescent="0.35">
      <c r="A39" s="51"/>
      <c r="B39" s="51"/>
      <c r="C39" s="51"/>
      <c r="D39" s="51"/>
      <c r="E39" s="51"/>
      <c r="F39" s="51"/>
      <c r="G39" s="51"/>
      <c r="H39" s="51"/>
      <c r="I39" s="51"/>
      <c r="J39" s="51"/>
    </row>
    <row r="40" spans="1:10" x14ac:dyDescent="0.35">
      <c r="A40" s="51"/>
      <c r="B40" s="51"/>
      <c r="C40" s="51"/>
      <c r="D40" s="51"/>
      <c r="E40" s="51"/>
      <c r="F40" s="51"/>
      <c r="G40" s="51"/>
      <c r="H40" s="51"/>
      <c r="I40" s="51"/>
      <c r="J40" s="51"/>
    </row>
    <row r="41" spans="1:10" x14ac:dyDescent="0.35">
      <c r="A41" s="51"/>
      <c r="B41" s="51"/>
      <c r="C41" s="51"/>
      <c r="D41" s="51"/>
      <c r="E41" s="51"/>
      <c r="F41" s="51"/>
      <c r="G41" s="51"/>
      <c r="H41" s="51"/>
      <c r="I41" s="51"/>
      <c r="J41" s="51"/>
    </row>
    <row r="42" spans="1:10" x14ac:dyDescent="0.35">
      <c r="A42" s="51"/>
      <c r="B42" s="51"/>
      <c r="C42" s="51"/>
      <c r="D42" s="51"/>
      <c r="E42" s="51"/>
      <c r="F42" s="51"/>
      <c r="G42" s="51"/>
      <c r="H42" s="51"/>
      <c r="I42" s="51"/>
      <c r="J42" s="51"/>
    </row>
    <row r="43" spans="1:10" x14ac:dyDescent="0.35">
      <c r="A43" s="51"/>
      <c r="B43" s="51"/>
      <c r="C43" s="51"/>
      <c r="D43" s="51"/>
      <c r="E43" s="51"/>
      <c r="F43" s="51"/>
      <c r="G43" s="51"/>
      <c r="H43" s="51"/>
      <c r="I43" s="51"/>
      <c r="J43" s="51"/>
    </row>
    <row r="44" spans="1:10" x14ac:dyDescent="0.35">
      <c r="A44" s="51"/>
      <c r="B44" s="51"/>
      <c r="C44" s="51"/>
      <c r="D44" s="51"/>
      <c r="E44" s="51"/>
      <c r="F44" s="51"/>
      <c r="G44" s="51"/>
      <c r="H44" s="51"/>
      <c r="I44" s="51"/>
      <c r="J44" s="51"/>
    </row>
    <row r="45" spans="1:10" ht="18.5" x14ac:dyDescent="0.45">
      <c r="A45" s="58" t="s">
        <v>145</v>
      </c>
      <c r="B45" s="58"/>
      <c r="C45" s="58"/>
      <c r="D45" s="58"/>
      <c r="E45" s="58"/>
      <c r="F45" s="58"/>
      <c r="G45" s="58"/>
      <c r="H45" s="58"/>
      <c r="I45" s="58"/>
      <c r="J45" s="58"/>
    </row>
    <row r="46" spans="1:10" x14ac:dyDescent="0.35">
      <c r="A46" s="51"/>
      <c r="B46" s="51"/>
      <c r="C46" s="51"/>
      <c r="D46" s="51"/>
      <c r="E46" s="51"/>
      <c r="F46" s="51"/>
      <c r="G46" s="51"/>
      <c r="H46" s="51"/>
      <c r="I46" s="51"/>
      <c r="J46" s="51"/>
    </row>
  </sheetData>
  <mergeCells count="1">
    <mergeCell ref="A45:J45"/>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19915-3B0E-4CD6-8B6B-1A945F0665A3}">
  <dimension ref="A1:AG91"/>
  <sheetViews>
    <sheetView tabSelected="1" topLeftCell="N1" workbookViewId="0">
      <selection activeCell="T6" sqref="T6"/>
    </sheetView>
  </sheetViews>
  <sheetFormatPr defaultColWidth="8.7265625" defaultRowHeight="13.5" x14ac:dyDescent="0.25"/>
  <cols>
    <col min="1" max="1" width="15.1796875" style="4" bestFit="1" customWidth="1"/>
    <col min="2" max="2" width="12.7265625" style="4" bestFit="1" customWidth="1"/>
    <col min="3" max="3" width="27.54296875" style="4" bestFit="1" customWidth="1"/>
    <col min="4" max="4" width="6.54296875" style="4" customWidth="1"/>
    <col min="5" max="5" width="6.7265625" style="4" bestFit="1" customWidth="1"/>
    <col min="6" max="6" width="13.54296875" style="5" bestFit="1" customWidth="1"/>
    <col min="7" max="7" width="16.26953125" style="4" bestFit="1" customWidth="1"/>
    <col min="8" max="8" width="7.453125" style="10" bestFit="1" customWidth="1"/>
    <col min="9" max="9" width="12.453125" style="4" bestFit="1" customWidth="1"/>
    <col min="10" max="10" width="12.7265625" style="4" bestFit="1" customWidth="1"/>
    <col min="11" max="11" width="12.1796875" style="4" bestFit="1" customWidth="1"/>
    <col min="12" max="12" width="16.1796875" style="6" bestFit="1" customWidth="1"/>
    <col min="13" max="13" width="11.54296875" style="4" bestFit="1" customWidth="1"/>
    <col min="14" max="14" width="16.54296875" style="4" bestFit="1" customWidth="1"/>
    <col min="15" max="15" width="13.81640625" style="7" bestFit="1" customWidth="1"/>
    <col min="16" max="16" width="12.54296875" style="7" bestFit="1" customWidth="1"/>
    <col min="17" max="17" width="24.1796875" style="4" bestFit="1" customWidth="1"/>
    <col min="18" max="18" width="20" style="4" bestFit="1" customWidth="1"/>
    <col min="19" max="19" width="16.54296875" style="4" bestFit="1" customWidth="1"/>
    <col min="20" max="20" width="10.453125" style="4" bestFit="1" customWidth="1"/>
    <col min="21" max="21" width="12.54296875" style="4" bestFit="1" customWidth="1"/>
    <col min="22" max="22" width="15.26953125" style="7" bestFit="1" customWidth="1"/>
    <col min="23" max="23" width="14.7265625" style="7" bestFit="1" customWidth="1"/>
    <col min="24" max="24" width="18.453125" style="9" bestFit="1" customWidth="1"/>
    <col min="25" max="25" width="9.26953125" style="4" bestFit="1" customWidth="1"/>
    <col min="26" max="26" width="16.81640625" style="7" bestFit="1" customWidth="1"/>
    <col min="27" max="27" width="18.1796875" style="7" bestFit="1" customWidth="1"/>
    <col min="28" max="28" width="15.81640625" style="4" bestFit="1" customWidth="1"/>
    <col min="29" max="29" width="18" style="4" bestFit="1" customWidth="1"/>
    <col min="30" max="30" width="24.1796875" style="4" bestFit="1" customWidth="1"/>
    <col min="31" max="31" width="23.81640625" style="4" bestFit="1" customWidth="1"/>
    <col min="32" max="32" width="13.1796875" style="4" customWidth="1"/>
    <col min="33" max="33" width="20.81640625" style="4" bestFit="1" customWidth="1"/>
    <col min="34" max="16384" width="8.7265625" style="4"/>
  </cols>
  <sheetData>
    <row r="1" spans="1:33" s="19" customFormat="1" ht="14" x14ac:dyDescent="0.3">
      <c r="A1" s="11" t="s">
        <v>0</v>
      </c>
      <c r="B1" s="11" t="s">
        <v>1</v>
      </c>
      <c r="C1" s="11" t="s">
        <v>2</v>
      </c>
      <c r="D1" s="11" t="s">
        <v>3</v>
      </c>
      <c r="E1" s="11" t="s">
        <v>4</v>
      </c>
      <c r="F1" s="12" t="s">
        <v>5</v>
      </c>
      <c r="G1" s="11" t="s">
        <v>6</v>
      </c>
      <c r="H1" s="13" t="s">
        <v>7</v>
      </c>
      <c r="I1" s="11" t="s">
        <v>8</v>
      </c>
      <c r="J1" s="11" t="s">
        <v>9</v>
      </c>
      <c r="K1" s="11" t="s">
        <v>10</v>
      </c>
      <c r="L1" s="14" t="s">
        <v>11</v>
      </c>
      <c r="M1" s="11" t="s">
        <v>67</v>
      </c>
      <c r="N1" s="11" t="s">
        <v>69</v>
      </c>
      <c r="O1" s="15" t="s">
        <v>68</v>
      </c>
      <c r="P1" s="15" t="s">
        <v>70</v>
      </c>
      <c r="Q1" s="11" t="s">
        <v>71</v>
      </c>
      <c r="R1" s="11" t="s">
        <v>81</v>
      </c>
      <c r="S1" s="11" t="s">
        <v>82</v>
      </c>
      <c r="T1" s="11" t="s">
        <v>83</v>
      </c>
      <c r="U1" s="11" t="s">
        <v>84</v>
      </c>
      <c r="V1" s="15" t="s">
        <v>85</v>
      </c>
      <c r="W1" s="15" t="s">
        <v>86</v>
      </c>
      <c r="X1" s="16" t="s">
        <v>111</v>
      </c>
      <c r="Y1" s="17" t="s">
        <v>112</v>
      </c>
      <c r="Z1" s="15" t="s">
        <v>87</v>
      </c>
      <c r="AA1" s="18" t="s">
        <v>88</v>
      </c>
      <c r="AB1" s="11" t="s">
        <v>89</v>
      </c>
      <c r="AC1" s="11" t="s">
        <v>90</v>
      </c>
      <c r="AD1" s="11" t="s">
        <v>91</v>
      </c>
      <c r="AE1" s="11" t="s">
        <v>126</v>
      </c>
      <c r="AF1" s="11" t="s">
        <v>128</v>
      </c>
      <c r="AG1" s="11" t="s">
        <v>127</v>
      </c>
    </row>
    <row r="2" spans="1:33" ht="14" thickBot="1" x14ac:dyDescent="0.3">
      <c r="A2" s="4">
        <v>48452</v>
      </c>
      <c r="B2" s="4">
        <v>6001050000000</v>
      </c>
      <c r="C2" s="4" t="s">
        <v>31</v>
      </c>
      <c r="D2" s="4" t="s">
        <v>32</v>
      </c>
      <c r="E2" s="4">
        <v>30</v>
      </c>
      <c r="F2" s="5">
        <v>3425.4850999999999</v>
      </c>
      <c r="G2" s="4">
        <v>208</v>
      </c>
      <c r="H2" s="4">
        <v>20.81</v>
      </c>
      <c r="I2" s="4">
        <v>2</v>
      </c>
      <c r="J2" s="4">
        <v>0</v>
      </c>
      <c r="K2" s="4" t="s">
        <v>32</v>
      </c>
      <c r="L2" s="6">
        <v>0.20809999999999998</v>
      </c>
      <c r="M2" s="4" t="str">
        <f>tbl_Fact_Sales[[#This Row],[Size_Clean]]</f>
        <v>1.25L</v>
      </c>
      <c r="N2" s="4">
        <f>_xlfn.XLOOKUP(tbl_Fact_Sales[[#This Row],[Pack_Size]], tbl_Size_Map[Size_Clean], tbl_Size_Map[Units_Per_Case])</f>
        <v>12</v>
      </c>
      <c r="O2" s="7">
        <f>tbl_Fact_Sales[[#This Row],[Units_Sold]] / tbl_Fact_Sales[[#This Row],[Units_Per_Pack]]</f>
        <v>0.16666666666666666</v>
      </c>
      <c r="P2" s="7">
        <f>tbl_Fact_Sales[[#This Row],[SOH]] / tbl_Fact_Sales[[#This Row],[Units_Per_Pack]]</f>
        <v>2.5</v>
      </c>
      <c r="Q2" s="4" t="s">
        <v>31</v>
      </c>
      <c r="R2" s="4">
        <f>SUMIFS(tbl_Fact_Sales[Units_Sold], tbl_Fact_Sales[Parent_Product], tbl_Fact_Sales[[#This Row],[Parent_Product]])</f>
        <v>2</v>
      </c>
      <c r="S2" s="8" t="str">
        <f>IF(ABS(tbl_Fact_Sales[[#This Row],[Parent_Total_Units]])&lt;0.0001, "Balanced", "Investigate")</f>
        <v>Investigate</v>
      </c>
      <c r="T2" s="4">
        <f>tbl_Fact_Sales[[#This Row],[Parent_Total_Units]]</f>
        <v>2</v>
      </c>
      <c r="U2" s="4" t="str">
        <f>IF(ABS(tbl_Fact_Sales[[#This Row],[Parent_Total_Units]])&lt;=50, "Acceptable", IF(ABS(tbl_Fact_Sales[[#This Row],[Parent_Total_Units]])&lt;=250, "Check", "Problem"))</f>
        <v>Acceptable</v>
      </c>
      <c r="V2" s="7">
        <f>tbl_Fact_Sales[[#This Row],[Cases_Sold2]]/7</f>
        <v>2.3809523809523808E-2</v>
      </c>
      <c r="W2" s="7">
        <f>tbl_Fact_Sales[[#This Row],[Daily_Demand]]*2</f>
        <v>4.7619047619047616E-2</v>
      </c>
      <c r="X2" s="4"/>
      <c r="Y2" s="7"/>
      <c r="Z2" s="7">
        <f>tbl_Fact_Sales[[#This Row],[Daily_Demand]]*10 + tbl_Fact_Sales[[#This Row],[Safety_Stock]]</f>
        <v>0.2857142857142857</v>
      </c>
      <c r="AA2" s="7">
        <f>MAX(0, tbl_Fact_Sales[[#This Row],[Required_Stock]] - tbl_Fact_Sales[[#This Row],[Cases_SOH]])</f>
        <v>0</v>
      </c>
      <c r="AB2" s="7">
        <f>tbl_Fact_Sales[[#This Row],[Cases_SOH]] / tbl_Fact_Sales[[#This Row],[Daily_Demand]]</f>
        <v>105</v>
      </c>
      <c r="AC2" s="9">
        <f>tbl_Fact_Sales[[#This Row],[Suggested_Order]] * tbl_Fact_Sales[[#This Row],[Daily_Demand]]</f>
        <v>0</v>
      </c>
      <c r="AD2" s="9" t="str">
        <f>TRIM(tbl_Fact_Sales[[#This Row],[Parent_Product]])</f>
        <v>APPLETISER PET</v>
      </c>
      <c r="AE2" s="7" cm="1">
        <f t="array" ref="AE2">IF(_xlfn.XLOOKUP(tbl_Fact_Sales[[#This Row],[Product_Code]], INDEX(rng_Recount, 0, 3), INDEX(rng_Recount, 0, 4), "") ="", tbl_Fact_Sales[[#This Row],[Cases_SOH]], _xlfn.XLOOKUP(tbl_Fact_Sales[[#This Row],[Product_Code]], INDEX(rng_Recount, 0, 3), INDEX(rng_Recount, 0, 4)))</f>
        <v>2.5</v>
      </c>
      <c r="AF2" s="7">
        <f>ABS(tbl_Fact_Sales[[#This Row],[Required_Stock]] - tbl_Fact_Sales[[#This Row],[Adjusted_SOH]])</f>
        <v>2.2142857142857144</v>
      </c>
      <c r="AG2" s="4" t="str">
        <f>IF(tbl_Fact_Sales[[#This Row],[Recount_Variance]]&lt;=10, "Acceptable", IF(tbl_Fact_Sales[[#This Row],[Recount_Variance]]&lt;=50, "Check", "Problem"))</f>
        <v>Acceptable</v>
      </c>
    </row>
    <row r="3" spans="1:33" ht="14.5" thickTop="1" thickBot="1" x14ac:dyDescent="0.3">
      <c r="A3" s="4">
        <v>27309</v>
      </c>
      <c r="B3" s="4">
        <v>5449000000000</v>
      </c>
      <c r="C3" s="4" t="s">
        <v>58</v>
      </c>
      <c r="D3" s="4" t="s">
        <v>59</v>
      </c>
      <c r="E3" s="4">
        <v>31</v>
      </c>
      <c r="F3" s="5">
        <v>7840.6005999999998</v>
      </c>
      <c r="G3" s="4">
        <v>1354</v>
      </c>
      <c r="H3" s="4">
        <v>27.45</v>
      </c>
      <c r="I3" s="4">
        <v>180</v>
      </c>
      <c r="J3" s="4">
        <v>7</v>
      </c>
      <c r="K3" s="4" t="s">
        <v>59</v>
      </c>
      <c r="L3" s="6">
        <v>0.27449999999999997</v>
      </c>
      <c r="M3" s="4" t="str">
        <f>tbl_Fact_Sales[[#This Row],[Size_Clean]]</f>
        <v>750ML</v>
      </c>
      <c r="N3" s="4">
        <f>_xlfn.XLOOKUP(tbl_Fact_Sales[[#This Row],[Pack_Size]], tbl_Size_Map[Size_Clean], tbl_Size_Map[Units_Per_Case])</f>
        <v>12</v>
      </c>
      <c r="O3" s="7">
        <f>tbl_Fact_Sales[[#This Row],[Units_Sold]] / tbl_Fact_Sales[[#This Row],[Units_Per_Pack]]</f>
        <v>15</v>
      </c>
      <c r="P3" s="7">
        <f>tbl_Fact_Sales[[#This Row],[SOH]] / tbl_Fact_Sales[[#This Row],[Units_Per_Pack]]</f>
        <v>2.5833333333333335</v>
      </c>
      <c r="Q3" s="4" t="s">
        <v>92</v>
      </c>
      <c r="R3" s="4">
        <f>SUMIFS(tbl_Fact_Sales[Units_Sold], tbl_Fact_Sales[Parent_Product], tbl_Fact_Sales[[#This Row],[Parent_Product]])</f>
        <v>19</v>
      </c>
      <c r="S3" s="8" t="str">
        <f>IF(ABS(tbl_Fact_Sales[[#This Row],[Parent_Total_Units]])&lt;0.0001, "Balanced", "Investigate")</f>
        <v>Investigate</v>
      </c>
      <c r="T3" s="4">
        <f>tbl_Fact_Sales[[#This Row],[Parent_Total_Units]]</f>
        <v>19</v>
      </c>
      <c r="U3" s="4" t="str">
        <f>IF(ABS(tbl_Fact_Sales[[#This Row],[Parent_Total_Units]])&lt;=50, "Acceptable", IF(ABS(tbl_Fact_Sales[[#This Row],[Parent_Total_Units]])&lt;=250, "Check", "Problem"))</f>
        <v>Acceptable</v>
      </c>
      <c r="V3" s="7">
        <f>tbl_Fact_Sales[[#This Row],[Cases_Sold2]]/7</f>
        <v>2.1428571428571428</v>
      </c>
      <c r="W3" s="7">
        <f>tbl_Fact_Sales[[#This Row],[Daily_Demand]]*2</f>
        <v>4.2857142857142856</v>
      </c>
      <c r="X3" s="20" t="s">
        <v>113</v>
      </c>
      <c r="Y3" s="21" t="s">
        <v>114</v>
      </c>
      <c r="Z3" s="7">
        <f>tbl_Fact_Sales[[#This Row],[Daily_Demand]]*10 + tbl_Fact_Sales[[#This Row],[Safety_Stock]]</f>
        <v>25.714285714285712</v>
      </c>
      <c r="AA3" s="7">
        <f>MAX(0, tbl_Fact_Sales[[#This Row],[Required_Stock]] - tbl_Fact_Sales[[#This Row],[Cases_SOH]])</f>
        <v>23.13095238095238</v>
      </c>
      <c r="AB3" s="7">
        <f>tbl_Fact_Sales[[#This Row],[Cases_SOH]] / tbl_Fact_Sales[[#This Row],[Daily_Demand]]</f>
        <v>1.2055555555555557</v>
      </c>
      <c r="AC3" s="7">
        <f>tbl_Fact_Sales[[#This Row],[Suggested_Order]] * tbl_Fact_Sales[[#This Row],[Daily_Demand]]</f>
        <v>49.566326530612244</v>
      </c>
      <c r="AD3" s="7" t="str">
        <f>TRIM(tbl_Fact_Sales[[#This Row],[Parent_Product]])</f>
        <v>BON AQUA</v>
      </c>
      <c r="AE3" s="7" cm="1">
        <f t="array" ref="AE3">IF(_xlfn.XLOOKUP(tbl_Fact_Sales[[#This Row],[Product_Code]], INDEX(rng_Recount, 0, 3), INDEX(rng_Recount, 0, 4), "") ="", tbl_Fact_Sales[[#This Row],[Cases_SOH]], _xlfn.XLOOKUP(tbl_Fact_Sales[[#This Row],[Product_Code]], INDEX(rng_Recount, 0, 3), INDEX(rng_Recount, 0, 4)))</f>
        <v>2.5833333333333335</v>
      </c>
      <c r="AF3" s="7">
        <f>ABS(tbl_Fact_Sales[[#This Row],[Required_Stock]] - tbl_Fact_Sales[[#This Row],[Adjusted_SOH]])</f>
        <v>23.13095238095238</v>
      </c>
      <c r="AG3" s="4" t="str">
        <f>IF(tbl_Fact_Sales[[#This Row],[Recount_Variance]]&lt;=10, "Acceptable", IF(tbl_Fact_Sales[[#This Row],[Recount_Variance]]&lt;=50, "Check", "Problem"))</f>
        <v>Check</v>
      </c>
    </row>
    <row r="4" spans="1:33" ht="14" thickBot="1" x14ac:dyDescent="0.3">
      <c r="A4" s="4">
        <v>10434</v>
      </c>
      <c r="B4" s="4">
        <v>90492853</v>
      </c>
      <c r="C4" s="4" t="s">
        <v>52</v>
      </c>
      <c r="D4" s="4" t="s">
        <v>19</v>
      </c>
      <c r="E4" s="4">
        <v>133</v>
      </c>
      <c r="F4" s="5">
        <v>5677.4389000000001</v>
      </c>
      <c r="G4" s="4">
        <v>1530</v>
      </c>
      <c r="H4" s="4">
        <v>22.91</v>
      </c>
      <c r="I4" s="4">
        <v>105</v>
      </c>
      <c r="J4" s="4">
        <v>4</v>
      </c>
      <c r="K4" s="4" t="s">
        <v>19</v>
      </c>
      <c r="L4" s="6">
        <v>0.2291</v>
      </c>
      <c r="M4" s="4" t="str">
        <f>tbl_Fact_Sales[[#This Row],[Size_Clean]]</f>
        <v>500ML</v>
      </c>
      <c r="N4" s="4">
        <f>_xlfn.XLOOKUP(tbl_Fact_Sales[[#This Row],[Pack_Size]], tbl_Size_Map[Size_Clean], tbl_Size_Map[Units_Per_Case])</f>
        <v>12</v>
      </c>
      <c r="O4" s="7">
        <f>tbl_Fact_Sales[[#This Row],[Units_Sold]] / tbl_Fact_Sales[[#This Row],[Units_Per_Pack]]</f>
        <v>8.75</v>
      </c>
      <c r="P4" s="7">
        <f>tbl_Fact_Sales[[#This Row],[SOH]] / tbl_Fact_Sales[[#This Row],[Units_Per_Pack]]</f>
        <v>11.083333333333334</v>
      </c>
      <c r="Q4" s="4" t="s">
        <v>92</v>
      </c>
      <c r="R4" s="4">
        <f>SUMIFS(tbl_Fact_Sales[Units_Sold], tbl_Fact_Sales[Parent_Product], tbl_Fact_Sales[[#This Row],[Parent_Product]])</f>
        <v>19</v>
      </c>
      <c r="S4" s="4" t="str">
        <f>IF(ABS(tbl_Fact_Sales[[#This Row],[Parent_Total_Units]])&lt;0.0001, "Balanced", "Investigate")</f>
        <v>Investigate</v>
      </c>
      <c r="T4" s="4">
        <f>tbl_Fact_Sales[[#This Row],[Parent_Total_Units]]</f>
        <v>19</v>
      </c>
      <c r="U4" s="4" t="str">
        <f>IF(ABS(tbl_Fact_Sales[[#This Row],[Parent_Total_Units]])&lt;=50, "Acceptable", IF(ABS(tbl_Fact_Sales[[#This Row],[Parent_Total_Units]])&lt;=250, "Check", "Problem"))</f>
        <v>Acceptable</v>
      </c>
      <c r="V4" s="7">
        <f>tbl_Fact_Sales[[#This Row],[Cases_Sold2]]/7</f>
        <v>1.25</v>
      </c>
      <c r="W4" s="7">
        <f>tbl_Fact_Sales[[#This Row],[Daily_Demand]]*2</f>
        <v>2.5</v>
      </c>
      <c r="X4" s="22" t="s">
        <v>115</v>
      </c>
      <c r="Y4" s="23">
        <v>3</v>
      </c>
      <c r="Z4" s="7">
        <f>tbl_Fact_Sales[[#This Row],[Daily_Demand]]*10 + tbl_Fact_Sales[[#This Row],[Safety_Stock]]</f>
        <v>15</v>
      </c>
      <c r="AA4" s="7">
        <f>MAX(0, tbl_Fact_Sales[[#This Row],[Required_Stock]] - tbl_Fact_Sales[[#This Row],[Cases_SOH]])</f>
        <v>3.9166666666666661</v>
      </c>
      <c r="AB4" s="7">
        <f>tbl_Fact_Sales[[#This Row],[Cases_SOH]] / tbl_Fact_Sales[[#This Row],[Daily_Demand]]</f>
        <v>8.8666666666666671</v>
      </c>
      <c r="AC4" s="7">
        <f>tbl_Fact_Sales[[#This Row],[Suggested_Order]] * tbl_Fact_Sales[[#This Row],[Daily_Demand]]</f>
        <v>4.8958333333333321</v>
      </c>
      <c r="AD4" s="7" t="str">
        <f>TRIM(tbl_Fact_Sales[[#This Row],[Parent_Product]])</f>
        <v>BON AQUA</v>
      </c>
      <c r="AE4" s="7" cm="1">
        <f t="array" ref="AE4">IF(_xlfn.XLOOKUP(tbl_Fact_Sales[[#This Row],[Product_Code]], INDEX(rng_Recount, 0, 3), INDEX(rng_Recount, 0, 4), "") ="", tbl_Fact_Sales[[#This Row],[Cases_SOH]], _xlfn.XLOOKUP(tbl_Fact_Sales[[#This Row],[Product_Code]], INDEX(rng_Recount, 0, 3), INDEX(rng_Recount, 0, 4)))</f>
        <v>11.083333333333334</v>
      </c>
      <c r="AF4" s="7">
        <f>ABS(tbl_Fact_Sales[[#This Row],[Required_Stock]] - tbl_Fact_Sales[[#This Row],[Adjusted_SOH]])</f>
        <v>3.9166666666666661</v>
      </c>
      <c r="AG4" s="4" t="str">
        <f>IF(tbl_Fact_Sales[[#This Row],[Recount_Variance]]&lt;=10, "Acceptable", IF(tbl_Fact_Sales[[#This Row],[Recount_Variance]]&lt;=50, "Check", "Problem"))</f>
        <v>Acceptable</v>
      </c>
    </row>
    <row r="5" spans="1:33" ht="14" thickBot="1" x14ac:dyDescent="0.3">
      <c r="A5" s="4">
        <v>5796</v>
      </c>
      <c r="B5" s="4">
        <v>5449000000000</v>
      </c>
      <c r="C5" s="4" t="s">
        <v>54</v>
      </c>
      <c r="D5" s="4" t="s">
        <v>55</v>
      </c>
      <c r="E5" s="4">
        <v>12</v>
      </c>
      <c r="F5" s="5">
        <v>2908.8764999999999</v>
      </c>
      <c r="G5" s="4">
        <v>451</v>
      </c>
      <c r="H5" s="4">
        <v>22.6</v>
      </c>
      <c r="I5" s="4">
        <v>58</v>
      </c>
      <c r="J5" s="4">
        <v>5</v>
      </c>
      <c r="K5" s="4" t="s">
        <v>56</v>
      </c>
      <c r="L5" s="6">
        <v>0.22600000000000001</v>
      </c>
      <c r="M5" s="4" t="str">
        <f>tbl_Fact_Sales[[#This Row],[Size_Clean]]</f>
        <v>1.5L</v>
      </c>
      <c r="N5" s="4">
        <f>_xlfn.XLOOKUP(tbl_Fact_Sales[[#This Row],[Pack_Size]], tbl_Size_Map[Size_Clean], tbl_Size_Map[Units_Per_Case])</f>
        <v>12</v>
      </c>
      <c r="O5" s="7">
        <f>tbl_Fact_Sales[[#This Row],[Units_Sold]] / tbl_Fact_Sales[[#This Row],[Units_Per_Pack]]</f>
        <v>4.833333333333333</v>
      </c>
      <c r="P5" s="7">
        <f>tbl_Fact_Sales[[#This Row],[SOH]] / tbl_Fact_Sales[[#This Row],[Units_Per_Pack]]</f>
        <v>1</v>
      </c>
      <c r="Q5" s="4" t="s">
        <v>92</v>
      </c>
      <c r="R5" s="4">
        <f>SUMIFS(tbl_Fact_Sales[Units_Sold], tbl_Fact_Sales[Parent_Product], tbl_Fact_Sales[[#This Row],[Parent_Product]])</f>
        <v>19</v>
      </c>
      <c r="S5" s="4" t="str">
        <f>IF(ABS(tbl_Fact_Sales[[#This Row],[Parent_Total_Units]])&lt;0.0001, "Balanced", "Investigate")</f>
        <v>Investigate</v>
      </c>
      <c r="T5" s="4">
        <f>tbl_Fact_Sales[[#This Row],[Parent_Total_Units]]</f>
        <v>19</v>
      </c>
      <c r="U5" s="4" t="str">
        <f>IF(ABS(tbl_Fact_Sales[[#This Row],[Parent_Total_Units]])&lt;=50, "Acceptable", IF(ABS(tbl_Fact_Sales[[#This Row],[Parent_Total_Units]])&lt;=250, "Check", "Problem"))</f>
        <v>Acceptable</v>
      </c>
      <c r="V5" s="7">
        <f>tbl_Fact_Sales[[#This Row],[Cases_Sold2]]/7</f>
        <v>0.69047619047619047</v>
      </c>
      <c r="W5" s="7">
        <f>tbl_Fact_Sales[[#This Row],[Daily_Demand]]*2</f>
        <v>1.3809523809523809</v>
      </c>
      <c r="X5" s="22" t="s">
        <v>116</v>
      </c>
      <c r="Y5" s="23">
        <v>7</v>
      </c>
      <c r="Z5" s="7">
        <f>tbl_Fact_Sales[[#This Row],[Daily_Demand]]*10 + tbl_Fact_Sales[[#This Row],[Safety_Stock]]</f>
        <v>8.2857142857142865</v>
      </c>
      <c r="AA5" s="7">
        <f>MAX(0, tbl_Fact_Sales[[#This Row],[Required_Stock]] - tbl_Fact_Sales[[#This Row],[Cases_SOH]])</f>
        <v>7.2857142857142865</v>
      </c>
      <c r="AB5" s="7">
        <f>tbl_Fact_Sales[[#This Row],[Cases_SOH]] / tbl_Fact_Sales[[#This Row],[Daily_Demand]]</f>
        <v>1.4482758620689655</v>
      </c>
      <c r="AC5" s="7">
        <f>tbl_Fact_Sales[[#This Row],[Suggested_Order]] * tbl_Fact_Sales[[#This Row],[Daily_Demand]]</f>
        <v>5.0306122448979593</v>
      </c>
      <c r="AD5" s="7" t="str">
        <f>TRIM(tbl_Fact_Sales[[#This Row],[Parent_Product]])</f>
        <v>BON AQUA</v>
      </c>
      <c r="AE5" s="7" cm="1">
        <f t="array" ref="AE5">IF(_xlfn.XLOOKUP(tbl_Fact_Sales[[#This Row],[Product_Code]], INDEX(rng_Recount, 0, 3), INDEX(rng_Recount, 0, 4), "") ="", tbl_Fact_Sales[[#This Row],[Cases_SOH]], _xlfn.XLOOKUP(tbl_Fact_Sales[[#This Row],[Product_Code]], INDEX(rng_Recount, 0, 3), INDEX(rng_Recount, 0, 4)))</f>
        <v>1</v>
      </c>
      <c r="AF5" s="7">
        <f>ABS(tbl_Fact_Sales[[#This Row],[Required_Stock]] - tbl_Fact_Sales[[#This Row],[Adjusted_SOH]])</f>
        <v>7.2857142857142865</v>
      </c>
      <c r="AG5" s="4" t="str">
        <f>IF(tbl_Fact_Sales[[#This Row],[Recount_Variance]]&lt;=10, "Acceptable", IF(tbl_Fact_Sales[[#This Row],[Recount_Variance]]&lt;=50, "Check", "Problem"))</f>
        <v>Acceptable</v>
      </c>
    </row>
    <row r="6" spans="1:33" ht="14" thickBot="1" x14ac:dyDescent="0.3">
      <c r="A6" s="4">
        <v>15653</v>
      </c>
      <c r="B6" s="4">
        <v>5449000000000</v>
      </c>
      <c r="C6" s="4" t="s">
        <v>18</v>
      </c>
      <c r="D6" s="4" t="s">
        <v>19</v>
      </c>
      <c r="E6" s="4">
        <v>318</v>
      </c>
      <c r="F6" s="5">
        <v>1626.4375</v>
      </c>
      <c r="G6" s="4">
        <v>383</v>
      </c>
      <c r="H6" s="4">
        <v>19.16</v>
      </c>
      <c r="I6" s="4">
        <v>-258</v>
      </c>
      <c r="J6" s="4">
        <v>-11</v>
      </c>
      <c r="K6" s="4" t="s">
        <v>19</v>
      </c>
      <c r="L6" s="6">
        <v>0.19159999999999999</v>
      </c>
      <c r="M6" s="4" t="str">
        <f>tbl_Fact_Sales[[#This Row],[Size_Clean]]</f>
        <v>500ML</v>
      </c>
      <c r="N6" s="4">
        <f>_xlfn.XLOOKUP(tbl_Fact_Sales[[#This Row],[Pack_Size]], tbl_Size_Map[Size_Clean], tbl_Size_Map[Units_Per_Case])</f>
        <v>12</v>
      </c>
      <c r="O6" s="7">
        <f>tbl_Fact_Sales[[#This Row],[Units_Sold]] / tbl_Fact_Sales[[#This Row],[Units_Per_Pack]]</f>
        <v>-21.5</v>
      </c>
      <c r="P6" s="7">
        <f>tbl_Fact_Sales[[#This Row],[SOH]] / tbl_Fact_Sales[[#This Row],[Units_Per_Pack]]</f>
        <v>26.5</v>
      </c>
      <c r="Q6" s="4" t="s">
        <v>92</v>
      </c>
      <c r="R6" s="4">
        <f>SUMIFS(tbl_Fact_Sales[Units_Sold], tbl_Fact_Sales[Parent_Product], tbl_Fact_Sales[[#This Row],[Parent_Product]])</f>
        <v>19</v>
      </c>
      <c r="S6" s="4" t="str">
        <f>IF(ABS(tbl_Fact_Sales[[#This Row],[Parent_Total_Units]])&lt;0.0001, "Balanced", "Investigate")</f>
        <v>Investigate</v>
      </c>
      <c r="T6" s="4">
        <f>tbl_Fact_Sales[[#This Row],[Parent_Total_Units]]</f>
        <v>19</v>
      </c>
      <c r="U6" s="4" t="str">
        <f>IF(ABS(tbl_Fact_Sales[[#This Row],[Parent_Total_Units]])&lt;=50, "Acceptable", IF(ABS(tbl_Fact_Sales[[#This Row],[Parent_Total_Units]])&lt;=250, "Check", "Problem"))</f>
        <v>Acceptable</v>
      </c>
      <c r="V6" s="7">
        <f>tbl_Fact_Sales[[#This Row],[Cases_Sold2]]/7</f>
        <v>-3.0714285714285716</v>
      </c>
      <c r="W6" s="7">
        <f>tbl_Fact_Sales[[#This Row],[Daily_Demand]]*2</f>
        <v>-6.1428571428571432</v>
      </c>
      <c r="X6" s="22" t="s">
        <v>117</v>
      </c>
      <c r="Y6" s="23">
        <v>2</v>
      </c>
      <c r="Z6" s="7">
        <f>tbl_Fact_Sales[[#This Row],[Daily_Demand]]*10 + tbl_Fact_Sales[[#This Row],[Safety_Stock]]</f>
        <v>-36.857142857142861</v>
      </c>
      <c r="AA6" s="7">
        <f>MAX(0, tbl_Fact_Sales[[#This Row],[Required_Stock]] - tbl_Fact_Sales[[#This Row],[Cases_SOH]])</f>
        <v>0</v>
      </c>
      <c r="AB6" s="7">
        <f>tbl_Fact_Sales[[#This Row],[Cases_SOH]] / tbl_Fact_Sales[[#This Row],[Daily_Demand]]</f>
        <v>-8.6279069767441854</v>
      </c>
      <c r="AC6" s="7">
        <f>tbl_Fact_Sales[[#This Row],[Suggested_Order]] * tbl_Fact_Sales[[#This Row],[Daily_Demand]]</f>
        <v>0</v>
      </c>
      <c r="AD6" s="7" t="str">
        <f>TRIM(tbl_Fact_Sales[[#This Row],[Parent_Product]])</f>
        <v>BON AQUA</v>
      </c>
      <c r="AE6" s="7" cm="1">
        <f t="array" ref="AE6">IF(_xlfn.XLOOKUP(tbl_Fact_Sales[[#This Row],[Product_Code]], INDEX(rng_Recount, 0, 3), INDEX(rng_Recount, 0, 4), "") ="", tbl_Fact_Sales[[#This Row],[Cases_SOH]], _xlfn.XLOOKUP(tbl_Fact_Sales[[#This Row],[Product_Code]], INDEX(rng_Recount, 0, 3), INDEX(rng_Recount, 0, 4)))</f>
        <v>26.5</v>
      </c>
      <c r="AF6" s="7">
        <f>ABS(tbl_Fact_Sales[[#This Row],[Required_Stock]] - tbl_Fact_Sales[[#This Row],[Adjusted_SOH]])</f>
        <v>63.357142857142861</v>
      </c>
      <c r="AG6" s="4" t="str">
        <f>IF(tbl_Fact_Sales[[#This Row],[Recount_Variance]]&lt;=10, "Acceptable", IF(tbl_Fact_Sales[[#This Row],[Recount_Variance]]&lt;=50, "Check", "Problem"))</f>
        <v>Problem</v>
      </c>
    </row>
    <row r="7" spans="1:33" ht="14" thickBot="1" x14ac:dyDescent="0.3">
      <c r="A7" s="4">
        <v>15651</v>
      </c>
      <c r="B7" s="4">
        <v>5449000000000</v>
      </c>
      <c r="C7" s="4" t="s">
        <v>25</v>
      </c>
      <c r="D7" s="4" t="s">
        <v>19</v>
      </c>
      <c r="E7" s="4">
        <v>95</v>
      </c>
      <c r="F7" s="5">
        <v>764.3723</v>
      </c>
      <c r="G7" s="4">
        <v>180</v>
      </c>
      <c r="H7" s="4">
        <v>18.13</v>
      </c>
      <c r="I7" s="4">
        <v>-67</v>
      </c>
      <c r="J7" s="4">
        <v>-3</v>
      </c>
      <c r="K7" s="4" t="s">
        <v>19</v>
      </c>
      <c r="L7" s="6">
        <v>0.18129999999999999</v>
      </c>
      <c r="M7" s="4" t="str">
        <f>tbl_Fact_Sales[[#This Row],[Size_Clean]]</f>
        <v>500ML</v>
      </c>
      <c r="N7" s="4">
        <f>_xlfn.XLOOKUP(tbl_Fact_Sales[[#This Row],[Pack_Size]], tbl_Size_Map[Size_Clean], tbl_Size_Map[Units_Per_Case])</f>
        <v>12</v>
      </c>
      <c r="O7" s="7">
        <f>tbl_Fact_Sales[[#This Row],[Units_Sold]] / tbl_Fact_Sales[[#This Row],[Units_Per_Pack]]</f>
        <v>-5.583333333333333</v>
      </c>
      <c r="P7" s="7">
        <f>tbl_Fact_Sales[[#This Row],[SOH]] / tbl_Fact_Sales[[#This Row],[Units_Per_Pack]]</f>
        <v>7.916666666666667</v>
      </c>
      <c r="Q7" s="4" t="s">
        <v>92</v>
      </c>
      <c r="R7" s="4">
        <f>SUMIFS(tbl_Fact_Sales[Units_Sold], tbl_Fact_Sales[Parent_Product], tbl_Fact_Sales[[#This Row],[Parent_Product]])</f>
        <v>19</v>
      </c>
      <c r="S7" s="4" t="str">
        <f>IF(ABS(tbl_Fact_Sales[[#This Row],[Parent_Total_Units]])&lt;0.0001, "Balanced", "Investigate")</f>
        <v>Investigate</v>
      </c>
      <c r="T7" s="4">
        <f>tbl_Fact_Sales[[#This Row],[Parent_Total_Units]]</f>
        <v>19</v>
      </c>
      <c r="U7" s="4" t="str">
        <f>IF(ABS(tbl_Fact_Sales[[#This Row],[Parent_Total_Units]])&lt;=50, "Acceptable", IF(ABS(tbl_Fact_Sales[[#This Row],[Parent_Total_Units]])&lt;=250, "Check", "Problem"))</f>
        <v>Acceptable</v>
      </c>
      <c r="V7" s="7">
        <f>tbl_Fact_Sales[[#This Row],[Cases_Sold2]]/7</f>
        <v>-0.79761904761904756</v>
      </c>
      <c r="W7" s="7">
        <f>tbl_Fact_Sales[[#This Row],[Daily_Demand]]*2</f>
        <v>-1.5952380952380951</v>
      </c>
      <c r="X7" s="22" t="s">
        <v>118</v>
      </c>
      <c r="Y7" s="23">
        <v>10</v>
      </c>
      <c r="Z7" s="7">
        <f>tbl_Fact_Sales[[#This Row],[Daily_Demand]]*10 + tbl_Fact_Sales[[#This Row],[Safety_Stock]]</f>
        <v>-9.5714285714285712</v>
      </c>
      <c r="AA7" s="7">
        <f>MAX(0, tbl_Fact_Sales[[#This Row],[Required_Stock]] - tbl_Fact_Sales[[#This Row],[Cases_SOH]])</f>
        <v>0</v>
      </c>
      <c r="AB7" s="7">
        <f>tbl_Fact_Sales[[#This Row],[Cases_SOH]] / tbl_Fact_Sales[[#This Row],[Daily_Demand]]</f>
        <v>-9.9253731343283587</v>
      </c>
      <c r="AC7" s="7">
        <f>tbl_Fact_Sales[[#This Row],[Suggested_Order]] * tbl_Fact_Sales[[#This Row],[Daily_Demand]]</f>
        <v>0</v>
      </c>
      <c r="AD7" s="7" t="str">
        <f>TRIM(tbl_Fact_Sales[[#This Row],[Parent_Product]])</f>
        <v>BON AQUA</v>
      </c>
      <c r="AE7" s="7" cm="1">
        <f t="array" ref="AE7">IF(_xlfn.XLOOKUP(tbl_Fact_Sales[[#This Row],[Product_Code]], INDEX(rng_Recount, 0, 3), INDEX(rng_Recount, 0, 4), "") ="", tbl_Fact_Sales[[#This Row],[Cases_SOH]], _xlfn.XLOOKUP(tbl_Fact_Sales[[#This Row],[Product_Code]], INDEX(rng_Recount, 0, 3), INDEX(rng_Recount, 0, 4)))</f>
        <v>7.916666666666667</v>
      </c>
      <c r="AF7" s="7">
        <f>ABS(tbl_Fact_Sales[[#This Row],[Required_Stock]] - tbl_Fact_Sales[[#This Row],[Adjusted_SOH]])</f>
        <v>17.488095238095237</v>
      </c>
      <c r="AG7" s="4" t="str">
        <f>IF(tbl_Fact_Sales[[#This Row],[Recount_Variance]]&lt;=10, "Acceptable", IF(tbl_Fact_Sales[[#This Row],[Recount_Variance]]&lt;=50, "Check", "Problem"))</f>
        <v>Check</v>
      </c>
    </row>
    <row r="8" spans="1:33" ht="14" thickBot="1" x14ac:dyDescent="0.3">
      <c r="A8" s="4">
        <v>15650</v>
      </c>
      <c r="B8" s="4">
        <v>5449000000000</v>
      </c>
      <c r="C8" s="4" t="s">
        <v>28</v>
      </c>
      <c r="D8" s="4" t="s">
        <v>19</v>
      </c>
      <c r="E8" s="4">
        <v>73</v>
      </c>
      <c r="F8" s="5">
        <v>1549.9935</v>
      </c>
      <c r="G8" s="4">
        <v>365</v>
      </c>
      <c r="H8" s="4">
        <v>19.170000000000002</v>
      </c>
      <c r="I8" s="4">
        <v>-16</v>
      </c>
      <c r="J8" s="4">
        <v>-1</v>
      </c>
      <c r="K8" s="4" t="s">
        <v>19</v>
      </c>
      <c r="L8" s="6">
        <v>0.19170000000000001</v>
      </c>
      <c r="M8" s="4" t="str">
        <f>tbl_Fact_Sales[[#This Row],[Size_Clean]]</f>
        <v>500ML</v>
      </c>
      <c r="N8" s="4">
        <f>_xlfn.XLOOKUP(tbl_Fact_Sales[[#This Row],[Pack_Size]], tbl_Size_Map[Size_Clean], tbl_Size_Map[Units_Per_Case])</f>
        <v>12</v>
      </c>
      <c r="O8" s="7">
        <f>tbl_Fact_Sales[[#This Row],[Units_Sold]] / tbl_Fact_Sales[[#This Row],[Units_Per_Pack]]</f>
        <v>-1.3333333333333333</v>
      </c>
      <c r="P8" s="7">
        <f>tbl_Fact_Sales[[#This Row],[SOH]] / tbl_Fact_Sales[[#This Row],[Units_Per_Pack]]</f>
        <v>6.083333333333333</v>
      </c>
      <c r="Q8" s="4" t="s">
        <v>92</v>
      </c>
      <c r="R8" s="4">
        <f>SUMIFS(tbl_Fact_Sales[Units_Sold], tbl_Fact_Sales[Parent_Product], tbl_Fact_Sales[[#This Row],[Parent_Product]])</f>
        <v>19</v>
      </c>
      <c r="S8" s="4" t="str">
        <f>IF(ABS(tbl_Fact_Sales[[#This Row],[Parent_Total_Units]])&lt;0.0001, "Balanced", "Investigate")</f>
        <v>Investigate</v>
      </c>
      <c r="T8" s="4">
        <f>tbl_Fact_Sales[[#This Row],[Parent_Total_Units]]</f>
        <v>19</v>
      </c>
      <c r="U8" s="4" t="str">
        <f>IF(ABS(tbl_Fact_Sales[[#This Row],[Parent_Total_Units]])&lt;=50, "Acceptable", IF(ABS(tbl_Fact_Sales[[#This Row],[Parent_Total_Units]])&lt;=250, "Check", "Problem"))</f>
        <v>Acceptable</v>
      </c>
      <c r="V8" s="7">
        <f>tbl_Fact_Sales[[#This Row],[Cases_Sold2]]/7</f>
        <v>-0.19047619047619047</v>
      </c>
      <c r="W8" s="7">
        <f>tbl_Fact_Sales[[#This Row],[Daily_Demand]]*2</f>
        <v>-0.38095238095238093</v>
      </c>
      <c r="X8" s="24"/>
      <c r="Y8" s="25"/>
      <c r="Z8" s="7">
        <f>tbl_Fact_Sales[[#This Row],[Daily_Demand]]*10 + tbl_Fact_Sales[[#This Row],[Safety_Stock]]</f>
        <v>-2.2857142857142856</v>
      </c>
      <c r="AA8" s="7">
        <f>MAX(0, tbl_Fact_Sales[[#This Row],[Required_Stock]] - tbl_Fact_Sales[[#This Row],[Cases_SOH]])</f>
        <v>0</v>
      </c>
      <c r="AB8" s="7">
        <f>tbl_Fact_Sales[[#This Row],[Cases_SOH]] / tbl_Fact_Sales[[#This Row],[Daily_Demand]]</f>
        <v>-31.9375</v>
      </c>
      <c r="AC8" s="7">
        <f>tbl_Fact_Sales[[#This Row],[Suggested_Order]] * tbl_Fact_Sales[[#This Row],[Daily_Demand]]</f>
        <v>0</v>
      </c>
      <c r="AD8" s="7" t="str">
        <f>TRIM(tbl_Fact_Sales[[#This Row],[Parent_Product]])</f>
        <v>BON AQUA</v>
      </c>
      <c r="AE8" s="7" cm="1">
        <f t="array" ref="AE8">IF(_xlfn.XLOOKUP(tbl_Fact_Sales[[#This Row],[Product_Code]], INDEX(rng_Recount, 0, 3), INDEX(rng_Recount, 0, 4), "") ="", tbl_Fact_Sales[[#This Row],[Cases_SOH]], _xlfn.XLOOKUP(tbl_Fact_Sales[[#This Row],[Product_Code]], INDEX(rng_Recount, 0, 3), INDEX(rng_Recount, 0, 4)))</f>
        <v>6.083333333333333</v>
      </c>
      <c r="AF8" s="7">
        <f>ABS(tbl_Fact_Sales[[#This Row],[Required_Stock]] - tbl_Fact_Sales[[#This Row],[Adjusted_SOH]])</f>
        <v>8.3690476190476186</v>
      </c>
      <c r="AG8" s="4" t="str">
        <f>IF(tbl_Fact_Sales[[#This Row],[Recount_Variance]]&lt;=10, "Acceptable", IF(tbl_Fact_Sales[[#This Row],[Recount_Variance]]&lt;=50, "Check", "Problem"))</f>
        <v>Acceptable</v>
      </c>
    </row>
    <row r="9" spans="1:33" ht="14" thickTop="1" x14ac:dyDescent="0.25">
      <c r="A9" s="4">
        <v>15652</v>
      </c>
      <c r="B9" s="4">
        <v>5449000000000</v>
      </c>
      <c r="C9" s="4" t="s">
        <v>30</v>
      </c>
      <c r="D9" s="4" t="s">
        <v>19</v>
      </c>
      <c r="E9" s="4">
        <v>36</v>
      </c>
      <c r="F9" s="5">
        <v>993.59469999999999</v>
      </c>
      <c r="G9" s="4">
        <v>234</v>
      </c>
      <c r="H9" s="4">
        <v>19.18</v>
      </c>
      <c r="I9" s="4">
        <v>0</v>
      </c>
      <c r="J9" s="4">
        <v>0</v>
      </c>
      <c r="K9" s="4" t="s">
        <v>19</v>
      </c>
      <c r="L9" s="6">
        <v>0.1918</v>
      </c>
      <c r="M9" s="4" t="str">
        <f>tbl_Fact_Sales[[#This Row],[Size_Clean]]</f>
        <v>500ML</v>
      </c>
      <c r="N9" s="4">
        <f>_xlfn.XLOOKUP(tbl_Fact_Sales[[#This Row],[Pack_Size]], tbl_Size_Map[Size_Clean], tbl_Size_Map[Units_Per_Case])</f>
        <v>12</v>
      </c>
      <c r="O9" s="7">
        <f>tbl_Fact_Sales[[#This Row],[Units_Sold]] / tbl_Fact_Sales[[#This Row],[Units_Per_Pack]]</f>
        <v>0</v>
      </c>
      <c r="P9" s="7">
        <f>tbl_Fact_Sales[[#This Row],[SOH]] / tbl_Fact_Sales[[#This Row],[Units_Per_Pack]]</f>
        <v>3</v>
      </c>
      <c r="Q9" s="4" t="s">
        <v>92</v>
      </c>
      <c r="R9" s="4">
        <f>SUMIFS(tbl_Fact_Sales[Units_Sold], tbl_Fact_Sales[Parent_Product], tbl_Fact_Sales[[#This Row],[Parent_Product]])</f>
        <v>19</v>
      </c>
      <c r="S9" s="4" t="str">
        <f>IF(ABS(tbl_Fact_Sales[[#This Row],[Parent_Total_Units]])&lt;0.0001, "Balanced", "Investigate")</f>
        <v>Investigate</v>
      </c>
      <c r="T9" s="4">
        <f>tbl_Fact_Sales[[#This Row],[Parent_Total_Units]]</f>
        <v>19</v>
      </c>
      <c r="U9" s="4" t="str">
        <f>IF(ABS(tbl_Fact_Sales[[#This Row],[Parent_Total_Units]])&lt;=50, "Acceptable", IF(ABS(tbl_Fact_Sales[[#This Row],[Parent_Total_Units]])&lt;=250, "Check", "Problem"))</f>
        <v>Acceptable</v>
      </c>
      <c r="V9" s="7">
        <f>tbl_Fact_Sales[[#This Row],[Cases_Sold2]]/7</f>
        <v>0</v>
      </c>
      <c r="W9" s="7">
        <f>tbl_Fact_Sales[[#This Row],[Daily_Demand]]*2</f>
        <v>0</v>
      </c>
      <c r="X9" s="4"/>
      <c r="Y9" s="7"/>
      <c r="Z9" s="7">
        <f>tbl_Fact_Sales[[#This Row],[Daily_Demand]]*10 + tbl_Fact_Sales[[#This Row],[Safety_Stock]]</f>
        <v>0</v>
      </c>
      <c r="AA9" s="7">
        <f>MAX(0, tbl_Fact_Sales[[#This Row],[Required_Stock]] - tbl_Fact_Sales[[#This Row],[Cases_SOH]])</f>
        <v>0</v>
      </c>
      <c r="AB9" s="7" t="e">
        <f>tbl_Fact_Sales[[#This Row],[Cases_SOH]] / tbl_Fact_Sales[[#This Row],[Daily_Demand]]</f>
        <v>#DIV/0!</v>
      </c>
      <c r="AC9" s="7">
        <f>tbl_Fact_Sales[[#This Row],[Suggested_Order]] * tbl_Fact_Sales[[#This Row],[Daily_Demand]]</f>
        <v>0</v>
      </c>
      <c r="AD9" s="7" t="str">
        <f>TRIM(tbl_Fact_Sales[[#This Row],[Parent_Product]])</f>
        <v>BON AQUA</v>
      </c>
      <c r="AE9" s="7" cm="1">
        <f t="array" ref="AE9">IF(_xlfn.XLOOKUP(tbl_Fact_Sales[[#This Row],[Product_Code]], INDEX(rng_Recount, 0, 3), INDEX(rng_Recount, 0, 4), "") ="", tbl_Fact_Sales[[#This Row],[Cases_SOH]], _xlfn.XLOOKUP(tbl_Fact_Sales[[#This Row],[Product_Code]], INDEX(rng_Recount, 0, 3), INDEX(rng_Recount, 0, 4)))</f>
        <v>3</v>
      </c>
      <c r="AF9" s="7">
        <f>ABS(tbl_Fact_Sales[[#This Row],[Required_Stock]] - tbl_Fact_Sales[[#This Row],[Adjusted_SOH]])</f>
        <v>3</v>
      </c>
      <c r="AG9" s="4" t="str">
        <f>IF(tbl_Fact_Sales[[#This Row],[Recount_Variance]]&lt;=10, "Acceptable", IF(tbl_Fact_Sales[[#This Row],[Recount_Variance]]&lt;=50, "Check", "Problem"))</f>
        <v>Acceptable</v>
      </c>
    </row>
    <row r="10" spans="1:33" x14ac:dyDescent="0.25">
      <c r="A10" s="4">
        <v>15654</v>
      </c>
      <c r="B10" s="4">
        <v>5449000000000</v>
      </c>
      <c r="C10" s="4" t="s">
        <v>37</v>
      </c>
      <c r="D10" s="4" t="s">
        <v>19</v>
      </c>
      <c r="E10" s="4">
        <v>25</v>
      </c>
      <c r="F10" s="5">
        <v>1159.2805000000001</v>
      </c>
      <c r="G10" s="4">
        <v>273</v>
      </c>
      <c r="H10" s="4">
        <v>19.16</v>
      </c>
      <c r="I10" s="4">
        <v>17</v>
      </c>
      <c r="J10" s="4">
        <v>1</v>
      </c>
      <c r="K10" s="4" t="s">
        <v>19</v>
      </c>
      <c r="L10" s="6">
        <v>0.19159999999999999</v>
      </c>
      <c r="M10" s="4" t="str">
        <f>tbl_Fact_Sales[[#This Row],[Size_Clean]]</f>
        <v>500ML</v>
      </c>
      <c r="N10" s="4">
        <f>_xlfn.XLOOKUP(tbl_Fact_Sales[[#This Row],[Pack_Size]], tbl_Size_Map[Size_Clean], tbl_Size_Map[Units_Per_Case])</f>
        <v>12</v>
      </c>
      <c r="O10" s="7">
        <f>tbl_Fact_Sales[[#This Row],[Units_Sold]] / tbl_Fact_Sales[[#This Row],[Units_Per_Pack]]</f>
        <v>1.4166666666666667</v>
      </c>
      <c r="P10" s="7">
        <f>tbl_Fact_Sales[[#This Row],[SOH]] / tbl_Fact_Sales[[#This Row],[Units_Per_Pack]]</f>
        <v>2.0833333333333335</v>
      </c>
      <c r="Q10" s="4" t="s">
        <v>92</v>
      </c>
      <c r="R10" s="4">
        <f>SUMIFS(tbl_Fact_Sales[Units_Sold], tbl_Fact_Sales[Parent_Product], tbl_Fact_Sales[[#This Row],[Parent_Product]])</f>
        <v>19</v>
      </c>
      <c r="S10" s="4" t="str">
        <f>IF(ABS(tbl_Fact_Sales[[#This Row],[Parent_Total_Units]])&lt;0.0001, "Balanced", "Investigate")</f>
        <v>Investigate</v>
      </c>
      <c r="T10" s="4">
        <f>tbl_Fact_Sales[[#This Row],[Parent_Total_Units]]</f>
        <v>19</v>
      </c>
      <c r="U10" s="4" t="str">
        <f>IF(ABS(tbl_Fact_Sales[[#This Row],[Parent_Total_Units]])&lt;=50, "Acceptable", IF(ABS(tbl_Fact_Sales[[#This Row],[Parent_Total_Units]])&lt;=250, "Check", "Problem"))</f>
        <v>Acceptable</v>
      </c>
      <c r="V10" s="7">
        <f>tbl_Fact_Sales[[#This Row],[Cases_Sold2]]/7</f>
        <v>0.20238095238095238</v>
      </c>
      <c r="W10" s="7">
        <f>tbl_Fact_Sales[[#This Row],[Daily_Demand]]*2</f>
        <v>0.40476190476190477</v>
      </c>
      <c r="X10" s="4"/>
      <c r="Y10" s="7"/>
      <c r="Z10" s="7">
        <f>tbl_Fact_Sales[[#This Row],[Daily_Demand]]*10 + tbl_Fact_Sales[[#This Row],[Safety_Stock]]</f>
        <v>2.4285714285714284</v>
      </c>
      <c r="AA10" s="7">
        <f>MAX(0, tbl_Fact_Sales[[#This Row],[Required_Stock]] - tbl_Fact_Sales[[#This Row],[Cases_SOH]])</f>
        <v>0.3452380952380949</v>
      </c>
      <c r="AB10" s="7">
        <f>tbl_Fact_Sales[[#This Row],[Cases_SOH]] / tbl_Fact_Sales[[#This Row],[Daily_Demand]]</f>
        <v>10.294117647058824</v>
      </c>
      <c r="AC10" s="7">
        <f>tbl_Fact_Sales[[#This Row],[Suggested_Order]] * tbl_Fact_Sales[[#This Row],[Daily_Demand]]</f>
        <v>6.9869614512471589E-2</v>
      </c>
      <c r="AD10" s="7" t="str">
        <f>TRIM(tbl_Fact_Sales[[#This Row],[Parent_Product]])</f>
        <v>BON AQUA</v>
      </c>
      <c r="AE10" s="7" cm="1">
        <f t="array" ref="AE10">IF(_xlfn.XLOOKUP(tbl_Fact_Sales[[#This Row],[Product_Code]], INDEX(rng_Recount, 0, 3), INDEX(rng_Recount, 0, 4), "") ="", tbl_Fact_Sales[[#This Row],[Cases_SOH]], _xlfn.XLOOKUP(tbl_Fact_Sales[[#This Row],[Product_Code]], INDEX(rng_Recount, 0, 3), INDEX(rng_Recount, 0, 4)))</f>
        <v>2.0833333333333335</v>
      </c>
      <c r="AF10" s="7">
        <f>ABS(tbl_Fact_Sales[[#This Row],[Required_Stock]] - tbl_Fact_Sales[[#This Row],[Adjusted_SOH]])</f>
        <v>0.3452380952380949</v>
      </c>
      <c r="AG10" s="4" t="str">
        <f>IF(tbl_Fact_Sales[[#This Row],[Recount_Variance]]&lt;=10, "Acceptable", IF(tbl_Fact_Sales[[#This Row],[Recount_Variance]]&lt;=50, "Check", "Problem"))</f>
        <v>Acceptable</v>
      </c>
    </row>
    <row r="11" spans="1:33" x14ac:dyDescent="0.25">
      <c r="A11" s="4">
        <v>9727</v>
      </c>
      <c r="B11" s="4">
        <v>5449000000000</v>
      </c>
      <c r="C11" s="4" t="s">
        <v>62</v>
      </c>
      <c r="D11" s="4" t="s">
        <v>22</v>
      </c>
      <c r="E11" s="4">
        <v>52</v>
      </c>
      <c r="F11" s="5">
        <v>17377.198199999999</v>
      </c>
      <c r="G11" s="4">
        <v>1991</v>
      </c>
      <c r="H11" s="4">
        <v>13.39</v>
      </c>
      <c r="I11" s="4">
        <v>258</v>
      </c>
      <c r="J11" s="4">
        <v>21</v>
      </c>
      <c r="K11" s="4" t="s">
        <v>23</v>
      </c>
      <c r="L11" s="6">
        <v>0.13390000000000002</v>
      </c>
      <c r="M11" s="4" t="str">
        <f>tbl_Fact_Sales[[#This Row],[Size_Clean]]</f>
        <v>1L</v>
      </c>
      <c r="N11" s="4">
        <f>_xlfn.XLOOKUP(tbl_Fact_Sales[[#This Row],[Pack_Size]], tbl_Size_Map[Size_Clean], tbl_Size_Map[Units_Per_Case])</f>
        <v>12</v>
      </c>
      <c r="O11" s="7">
        <f>tbl_Fact_Sales[[#This Row],[Units_Sold]] / tbl_Fact_Sales[[#This Row],[Units_Per_Pack]]</f>
        <v>21.5</v>
      </c>
      <c r="P11" s="7">
        <f>tbl_Fact_Sales[[#This Row],[SOH]] / tbl_Fact_Sales[[#This Row],[Units_Per_Pack]]</f>
        <v>4.333333333333333</v>
      </c>
      <c r="Q11" s="4" t="s">
        <v>62</v>
      </c>
      <c r="R11" s="4">
        <f>SUMIFS(tbl_Fact_Sales[Units_Sold], tbl_Fact_Sales[Parent_Product], tbl_Fact_Sales[[#This Row],[Parent_Product]])</f>
        <v>1848</v>
      </c>
      <c r="S11" s="4" t="str">
        <f>IF(ABS(tbl_Fact_Sales[[#This Row],[Parent_Total_Units]])&lt;0.0001, "Balanced", "Investigate")</f>
        <v>Investigate</v>
      </c>
      <c r="T11" s="4">
        <f>tbl_Fact_Sales[[#This Row],[Parent_Total_Units]]</f>
        <v>1848</v>
      </c>
      <c r="U11" s="4" t="str">
        <f>IF(ABS(tbl_Fact_Sales[[#This Row],[Parent_Total_Units]])&lt;=50, "Acceptable", IF(ABS(tbl_Fact_Sales[[#This Row],[Parent_Total_Units]])&lt;=250, "Check", "Problem"))</f>
        <v>Problem</v>
      </c>
      <c r="V11" s="7">
        <f>tbl_Fact_Sales[[#This Row],[Cases_Sold2]]/7</f>
        <v>3.0714285714285716</v>
      </c>
      <c r="W11" s="7">
        <f>tbl_Fact_Sales[[#This Row],[Daily_Demand]]*2</f>
        <v>6.1428571428571432</v>
      </c>
      <c r="X11" s="4"/>
      <c r="Y11" s="7"/>
      <c r="Z11" s="7">
        <f>tbl_Fact_Sales[[#This Row],[Daily_Demand]]*10 + tbl_Fact_Sales[[#This Row],[Safety_Stock]]</f>
        <v>36.857142857142861</v>
      </c>
      <c r="AA11" s="7">
        <f>MAX(0, tbl_Fact_Sales[[#This Row],[Required_Stock]] - tbl_Fact_Sales[[#This Row],[Cases_SOH]])</f>
        <v>32.523809523809526</v>
      </c>
      <c r="AB11" s="7">
        <f>tbl_Fact_Sales[[#This Row],[Cases_SOH]] / tbl_Fact_Sales[[#This Row],[Daily_Demand]]</f>
        <v>1.4108527131782944</v>
      </c>
      <c r="AC11" s="7">
        <f>tbl_Fact_Sales[[#This Row],[Suggested_Order]] * tbl_Fact_Sales[[#This Row],[Daily_Demand]]</f>
        <v>99.894557823129261</v>
      </c>
      <c r="AD11" s="7" t="str">
        <f>TRIM(tbl_Fact_Sales[[#This Row],[Parent_Product]])</f>
        <v>COCA COLA</v>
      </c>
      <c r="AE11" s="7" cm="1">
        <f t="array" ref="AE11">IF(_xlfn.XLOOKUP(tbl_Fact_Sales[[#This Row],[Product_Code]], INDEX(rng_Recount, 0, 3), INDEX(rng_Recount, 0, 4), "") ="", tbl_Fact_Sales[[#This Row],[Cases_SOH]], _xlfn.XLOOKUP(tbl_Fact_Sales[[#This Row],[Product_Code]], INDEX(rng_Recount, 0, 3), INDEX(rng_Recount, 0, 4)))</f>
        <v>4.333333333333333</v>
      </c>
      <c r="AF11" s="7">
        <f>ABS(tbl_Fact_Sales[[#This Row],[Required_Stock]] - tbl_Fact_Sales[[#This Row],[Adjusted_SOH]])</f>
        <v>32.523809523809526</v>
      </c>
      <c r="AG11" s="4" t="str">
        <f>IF(tbl_Fact_Sales[[#This Row],[Recount_Variance]]&lt;=10, "Acceptable", IF(tbl_Fact_Sales[[#This Row],[Recount_Variance]]&lt;=50, "Check", "Problem"))</f>
        <v>Check</v>
      </c>
    </row>
    <row r="12" spans="1:33" x14ac:dyDescent="0.25">
      <c r="A12" s="4">
        <v>21554</v>
      </c>
      <c r="B12" s="4">
        <v>5449000000000</v>
      </c>
      <c r="C12" s="4" t="s">
        <v>62</v>
      </c>
      <c r="D12" s="4" t="s">
        <v>27</v>
      </c>
      <c r="E12" s="4">
        <v>187</v>
      </c>
      <c r="F12" s="5">
        <v>14716.313099999999</v>
      </c>
      <c r="G12" s="4">
        <v>2994</v>
      </c>
      <c r="H12" s="4">
        <v>24.13</v>
      </c>
      <c r="I12" s="4">
        <v>279</v>
      </c>
      <c r="J12" s="4">
        <v>12</v>
      </c>
      <c r="K12" s="4" t="s">
        <v>27</v>
      </c>
      <c r="L12" s="6">
        <v>0.24129999999999999</v>
      </c>
      <c r="M12" s="4" t="str">
        <f>tbl_Fact_Sales[[#This Row],[Size_Clean]]</f>
        <v>330ML</v>
      </c>
      <c r="N12" s="4">
        <f>_xlfn.XLOOKUP(tbl_Fact_Sales[[#This Row],[Pack_Size]], tbl_Size_Map[Size_Clean], tbl_Size_Map[Units_Per_Case])</f>
        <v>24</v>
      </c>
      <c r="O12" s="7">
        <f>tbl_Fact_Sales[[#This Row],[Units_Sold]] / tbl_Fact_Sales[[#This Row],[Units_Per_Pack]]</f>
        <v>11.625</v>
      </c>
      <c r="P12" s="7">
        <f>tbl_Fact_Sales[[#This Row],[SOH]] / tbl_Fact_Sales[[#This Row],[Units_Per_Pack]]</f>
        <v>7.791666666666667</v>
      </c>
      <c r="Q12" s="4" t="s">
        <v>62</v>
      </c>
      <c r="R12" s="4">
        <f>SUMIFS(tbl_Fact_Sales[Units_Sold], tbl_Fact_Sales[Parent_Product], tbl_Fact_Sales[[#This Row],[Parent_Product]])</f>
        <v>1848</v>
      </c>
      <c r="S12" s="4" t="str">
        <f>IF(ABS(tbl_Fact_Sales[[#This Row],[Parent_Total_Units]])&lt;0.0001, "Balanced", "Investigate")</f>
        <v>Investigate</v>
      </c>
      <c r="T12" s="4">
        <f>tbl_Fact_Sales[[#This Row],[Parent_Total_Units]]</f>
        <v>1848</v>
      </c>
      <c r="U12" s="4" t="str">
        <f>IF(ABS(tbl_Fact_Sales[[#This Row],[Parent_Total_Units]])&lt;=50, "Acceptable", IF(ABS(tbl_Fact_Sales[[#This Row],[Parent_Total_Units]])&lt;=250, "Check", "Problem"))</f>
        <v>Problem</v>
      </c>
      <c r="V12" s="7">
        <f>tbl_Fact_Sales[[#This Row],[Cases_Sold2]]/7</f>
        <v>1.6607142857142858</v>
      </c>
      <c r="W12" s="7">
        <f>tbl_Fact_Sales[[#This Row],[Daily_Demand]]*2</f>
        <v>3.3214285714285716</v>
      </c>
      <c r="X12" s="4"/>
      <c r="Y12" s="7"/>
      <c r="Z12" s="7">
        <f>tbl_Fact_Sales[[#This Row],[Daily_Demand]]*10 + tbl_Fact_Sales[[#This Row],[Safety_Stock]]</f>
        <v>19.928571428571431</v>
      </c>
      <c r="AA12" s="7">
        <f>MAX(0, tbl_Fact_Sales[[#This Row],[Required_Stock]] - tbl_Fact_Sales[[#This Row],[Cases_SOH]])</f>
        <v>12.136904761904763</v>
      </c>
      <c r="AB12" s="7">
        <f>tbl_Fact_Sales[[#This Row],[Cases_SOH]] / tbl_Fact_Sales[[#This Row],[Daily_Demand]]</f>
        <v>4.6917562724014337</v>
      </c>
      <c r="AC12" s="7">
        <f>tbl_Fact_Sales[[#This Row],[Suggested_Order]] * tbl_Fact_Sales[[#This Row],[Daily_Demand]]</f>
        <v>20.155931122448983</v>
      </c>
      <c r="AD12" s="7" t="str">
        <f>TRIM(tbl_Fact_Sales[[#This Row],[Parent_Product]])</f>
        <v>COCA COLA</v>
      </c>
      <c r="AE12" s="7" cm="1">
        <f t="array" ref="AE12">IF(_xlfn.XLOOKUP(tbl_Fact_Sales[[#This Row],[Product_Code]], INDEX(rng_Recount, 0, 3), INDEX(rng_Recount, 0, 4), "") ="", tbl_Fact_Sales[[#This Row],[Cases_SOH]], _xlfn.XLOOKUP(tbl_Fact_Sales[[#This Row],[Product_Code]], INDEX(rng_Recount, 0, 3), INDEX(rng_Recount, 0, 4)))</f>
        <v>7.791666666666667</v>
      </c>
      <c r="AF12" s="7">
        <f>ABS(tbl_Fact_Sales[[#This Row],[Required_Stock]] - tbl_Fact_Sales[[#This Row],[Adjusted_SOH]])</f>
        <v>12.136904761904763</v>
      </c>
      <c r="AG12" s="4" t="str">
        <f>IF(tbl_Fact_Sales[[#This Row],[Recount_Variance]]&lt;=10, "Acceptable", IF(tbl_Fact_Sales[[#This Row],[Recount_Variance]]&lt;=50, "Check", "Problem"))</f>
        <v>Check</v>
      </c>
    </row>
    <row r="13" spans="1:33" x14ac:dyDescent="0.25">
      <c r="A13" s="4">
        <v>22364</v>
      </c>
      <c r="B13" s="4">
        <v>5449000000000</v>
      </c>
      <c r="C13" s="4" t="s">
        <v>72</v>
      </c>
      <c r="D13" s="4" t="s">
        <v>27</v>
      </c>
      <c r="E13" s="4">
        <v>87</v>
      </c>
      <c r="F13" s="5">
        <v>964.42499999999995</v>
      </c>
      <c r="G13" s="4">
        <v>214</v>
      </c>
      <c r="H13" s="4">
        <v>31.37</v>
      </c>
      <c r="I13" s="4">
        <v>-54</v>
      </c>
      <c r="J13" s="4">
        <v>-2</v>
      </c>
      <c r="K13" s="4" t="s">
        <v>27</v>
      </c>
      <c r="L13" s="6">
        <v>0.31370000000000003</v>
      </c>
      <c r="M13" s="4" t="str">
        <f>tbl_Fact_Sales[[#This Row],[Size_Clean]]</f>
        <v>330ML</v>
      </c>
      <c r="N13" s="4">
        <f>_xlfn.XLOOKUP(tbl_Fact_Sales[[#This Row],[Pack_Size]], tbl_Size_Map[Size_Clean], tbl_Size_Map[Units_Per_Case])</f>
        <v>24</v>
      </c>
      <c r="O13" s="7">
        <f>tbl_Fact_Sales[[#This Row],[Units_Sold]] / tbl_Fact_Sales[[#This Row],[Units_Per_Pack]]</f>
        <v>-2.25</v>
      </c>
      <c r="P13" s="7">
        <f>tbl_Fact_Sales[[#This Row],[SOH]] / tbl_Fact_Sales[[#This Row],[Units_Per_Pack]]</f>
        <v>3.625</v>
      </c>
      <c r="Q13" s="4" t="s">
        <v>62</v>
      </c>
      <c r="R13" s="4">
        <f>SUMIFS(tbl_Fact_Sales[Units_Sold], tbl_Fact_Sales[Parent_Product], tbl_Fact_Sales[[#This Row],[Parent_Product]])</f>
        <v>1848</v>
      </c>
      <c r="S13" s="4" t="str">
        <f>IF(ABS(tbl_Fact_Sales[[#This Row],[Parent_Total_Units]])&lt;0.0001, "Balanced", "Investigate")</f>
        <v>Investigate</v>
      </c>
      <c r="T13" s="4">
        <f>tbl_Fact_Sales[[#This Row],[Parent_Total_Units]]</f>
        <v>1848</v>
      </c>
      <c r="U13" s="4" t="str">
        <f>IF(ABS(tbl_Fact_Sales[[#This Row],[Parent_Total_Units]])&lt;=50, "Acceptable", IF(ABS(tbl_Fact_Sales[[#This Row],[Parent_Total_Units]])&lt;=250, "Check", "Problem"))</f>
        <v>Problem</v>
      </c>
      <c r="V13" s="7">
        <f>tbl_Fact_Sales[[#This Row],[Cases_Sold2]]/7</f>
        <v>-0.32142857142857145</v>
      </c>
      <c r="W13" s="7">
        <f>tbl_Fact_Sales[[#This Row],[Daily_Demand]]*2</f>
        <v>-0.6428571428571429</v>
      </c>
      <c r="X13" s="4"/>
      <c r="Y13" s="7"/>
      <c r="Z13" s="7">
        <f>tbl_Fact_Sales[[#This Row],[Daily_Demand]]*10 + tbl_Fact_Sales[[#This Row],[Safety_Stock]]</f>
        <v>-3.8571428571428572</v>
      </c>
      <c r="AA13" s="7">
        <f>MAX(0, tbl_Fact_Sales[[#This Row],[Required_Stock]] - tbl_Fact_Sales[[#This Row],[Cases_SOH]])</f>
        <v>0</v>
      </c>
      <c r="AB13" s="7">
        <f>tbl_Fact_Sales[[#This Row],[Cases_SOH]] / tbl_Fact_Sales[[#This Row],[Daily_Demand]]</f>
        <v>-11.277777777777777</v>
      </c>
      <c r="AC13" s="7">
        <f>tbl_Fact_Sales[[#This Row],[Suggested_Order]] * tbl_Fact_Sales[[#This Row],[Daily_Demand]]</f>
        <v>0</v>
      </c>
      <c r="AD13" s="7" t="str">
        <f>TRIM(tbl_Fact_Sales[[#This Row],[Parent_Product]])</f>
        <v>COCA COLA</v>
      </c>
      <c r="AE13" s="7" cm="1">
        <f t="array" ref="AE13">IF(_xlfn.XLOOKUP(tbl_Fact_Sales[[#This Row],[Product_Code]], INDEX(rng_Recount, 0, 3), INDEX(rng_Recount, 0, 4), "") ="", tbl_Fact_Sales[[#This Row],[Cases_SOH]], _xlfn.XLOOKUP(tbl_Fact_Sales[[#This Row],[Product_Code]], INDEX(rng_Recount, 0, 3), INDEX(rng_Recount, 0, 4)))</f>
        <v>3.625</v>
      </c>
      <c r="AF13" s="7">
        <f>ABS(tbl_Fact_Sales[[#This Row],[Required_Stock]] - tbl_Fact_Sales[[#This Row],[Adjusted_SOH]])</f>
        <v>7.4821428571428577</v>
      </c>
      <c r="AG13" s="4" t="str">
        <f>IF(tbl_Fact_Sales[[#This Row],[Recount_Variance]]&lt;=10, "Acceptable", IF(tbl_Fact_Sales[[#This Row],[Recount_Variance]]&lt;=50, "Check", "Problem"))</f>
        <v>Acceptable</v>
      </c>
    </row>
    <row r="14" spans="1:33" x14ac:dyDescent="0.25">
      <c r="A14" s="4">
        <v>6058</v>
      </c>
      <c r="B14" s="4">
        <v>5449000000000</v>
      </c>
      <c r="C14" s="4" t="s">
        <v>72</v>
      </c>
      <c r="D14" s="4" t="s">
        <v>22</v>
      </c>
      <c r="E14" s="4">
        <v>39</v>
      </c>
      <c r="F14" s="5">
        <v>2069.9454999999998</v>
      </c>
      <c r="G14" s="4">
        <v>236</v>
      </c>
      <c r="H14" s="4">
        <v>19.82</v>
      </c>
      <c r="I14" s="4">
        <v>-2</v>
      </c>
      <c r="J14" s="4">
        <v>0</v>
      </c>
      <c r="K14" s="4" t="s">
        <v>23</v>
      </c>
      <c r="L14" s="6">
        <v>0.19820000000000002</v>
      </c>
      <c r="M14" s="4" t="str">
        <f>tbl_Fact_Sales[[#This Row],[Size_Clean]]</f>
        <v>1L</v>
      </c>
      <c r="N14" s="4">
        <f>_xlfn.XLOOKUP(tbl_Fact_Sales[[#This Row],[Pack_Size]], tbl_Size_Map[Size_Clean], tbl_Size_Map[Units_Per_Case])</f>
        <v>12</v>
      </c>
      <c r="O14" s="7">
        <f>tbl_Fact_Sales[[#This Row],[Units_Sold]] / tbl_Fact_Sales[[#This Row],[Units_Per_Pack]]</f>
        <v>-0.16666666666666666</v>
      </c>
      <c r="P14" s="7">
        <f>tbl_Fact_Sales[[#This Row],[SOH]] / tbl_Fact_Sales[[#This Row],[Units_Per_Pack]]</f>
        <v>3.25</v>
      </c>
      <c r="Q14" s="4" t="s">
        <v>62</v>
      </c>
      <c r="R14" s="4">
        <f>SUMIFS(tbl_Fact_Sales[Units_Sold], tbl_Fact_Sales[Parent_Product], tbl_Fact_Sales[[#This Row],[Parent_Product]])</f>
        <v>1848</v>
      </c>
      <c r="S14" s="4" t="str">
        <f>IF(ABS(tbl_Fact_Sales[[#This Row],[Parent_Total_Units]])&lt;0.0001, "Balanced", "Investigate")</f>
        <v>Investigate</v>
      </c>
      <c r="T14" s="4">
        <f>tbl_Fact_Sales[[#This Row],[Parent_Total_Units]]</f>
        <v>1848</v>
      </c>
      <c r="U14" s="4" t="str">
        <f>IF(ABS(tbl_Fact_Sales[[#This Row],[Parent_Total_Units]])&lt;=50, "Acceptable", IF(ABS(tbl_Fact_Sales[[#This Row],[Parent_Total_Units]])&lt;=250, "Check", "Problem"))</f>
        <v>Problem</v>
      </c>
      <c r="V14" s="7">
        <f>tbl_Fact_Sales[[#This Row],[Cases_Sold2]]/7</f>
        <v>-2.3809523809523808E-2</v>
      </c>
      <c r="W14" s="7">
        <f>tbl_Fact_Sales[[#This Row],[Daily_Demand]]*2</f>
        <v>-4.7619047619047616E-2</v>
      </c>
      <c r="X14" s="4"/>
      <c r="Y14" s="7"/>
      <c r="Z14" s="7">
        <f>tbl_Fact_Sales[[#This Row],[Daily_Demand]]*10 + tbl_Fact_Sales[[#This Row],[Safety_Stock]]</f>
        <v>-0.2857142857142857</v>
      </c>
      <c r="AA14" s="7">
        <f>MAX(0, tbl_Fact_Sales[[#This Row],[Required_Stock]] - tbl_Fact_Sales[[#This Row],[Cases_SOH]])</f>
        <v>0</v>
      </c>
      <c r="AB14" s="7">
        <f>tbl_Fact_Sales[[#This Row],[Cases_SOH]] / tbl_Fact_Sales[[#This Row],[Daily_Demand]]</f>
        <v>-136.5</v>
      </c>
      <c r="AC14" s="7">
        <f>tbl_Fact_Sales[[#This Row],[Suggested_Order]] * tbl_Fact_Sales[[#This Row],[Daily_Demand]]</f>
        <v>0</v>
      </c>
      <c r="AD14" s="7" t="str">
        <f>TRIM(tbl_Fact_Sales[[#This Row],[Parent_Product]])</f>
        <v>COCA COLA</v>
      </c>
      <c r="AE14" s="7" cm="1">
        <f t="array" ref="AE14">IF(_xlfn.XLOOKUP(tbl_Fact_Sales[[#This Row],[Product_Code]], INDEX(rng_Recount, 0, 3), INDEX(rng_Recount, 0, 4), "") ="", tbl_Fact_Sales[[#This Row],[Cases_SOH]], _xlfn.XLOOKUP(tbl_Fact_Sales[[#This Row],[Product_Code]], INDEX(rng_Recount, 0, 3), INDEX(rng_Recount, 0, 4)))</f>
        <v>3.25</v>
      </c>
      <c r="AF14" s="7">
        <f>ABS(tbl_Fact_Sales[[#This Row],[Required_Stock]] - tbl_Fact_Sales[[#This Row],[Adjusted_SOH]])</f>
        <v>3.5357142857142856</v>
      </c>
      <c r="AG14" s="4" t="str">
        <f>IF(tbl_Fact_Sales[[#This Row],[Recount_Variance]]&lt;=10, "Acceptable", IF(tbl_Fact_Sales[[#This Row],[Recount_Variance]]&lt;=50, "Check", "Problem"))</f>
        <v>Acceptable</v>
      </c>
    </row>
    <row r="15" spans="1:33" x14ac:dyDescent="0.25">
      <c r="A15" s="4">
        <v>5500</v>
      </c>
      <c r="B15" s="4">
        <v>54492387</v>
      </c>
      <c r="C15" s="4" t="s">
        <v>72</v>
      </c>
      <c r="D15" s="4" t="s">
        <v>19</v>
      </c>
      <c r="E15" s="4">
        <v>25</v>
      </c>
      <c r="F15" s="5">
        <v>3560.6437999999998</v>
      </c>
      <c r="G15" s="4">
        <v>573</v>
      </c>
      <c r="H15" s="4">
        <v>21.18</v>
      </c>
      <c r="I15" s="4">
        <v>64</v>
      </c>
      <c r="J15" s="4">
        <v>3</v>
      </c>
      <c r="K15" s="4" t="s">
        <v>19</v>
      </c>
      <c r="L15" s="6">
        <v>0.21179999999999999</v>
      </c>
      <c r="M15" s="4" t="str">
        <f>tbl_Fact_Sales[[#This Row],[Size_Clean]]</f>
        <v>500ML</v>
      </c>
      <c r="N15" s="4">
        <f>_xlfn.XLOOKUP(tbl_Fact_Sales[[#This Row],[Pack_Size]], tbl_Size_Map[Size_Clean], tbl_Size_Map[Units_Per_Case])</f>
        <v>12</v>
      </c>
      <c r="O15" s="7">
        <f>tbl_Fact_Sales[[#This Row],[Units_Sold]] / tbl_Fact_Sales[[#This Row],[Units_Per_Pack]]</f>
        <v>5.333333333333333</v>
      </c>
      <c r="P15" s="7">
        <f>tbl_Fact_Sales[[#This Row],[SOH]] / tbl_Fact_Sales[[#This Row],[Units_Per_Pack]]</f>
        <v>2.0833333333333335</v>
      </c>
      <c r="Q15" s="4" t="s">
        <v>62</v>
      </c>
      <c r="R15" s="4">
        <f>SUMIFS(tbl_Fact_Sales[Units_Sold], tbl_Fact_Sales[Parent_Product], tbl_Fact_Sales[[#This Row],[Parent_Product]])</f>
        <v>1848</v>
      </c>
      <c r="S15" s="4" t="str">
        <f>IF(ABS(tbl_Fact_Sales[[#This Row],[Parent_Total_Units]])&lt;0.0001, "Balanced", "Investigate")</f>
        <v>Investigate</v>
      </c>
      <c r="T15" s="4">
        <f>tbl_Fact_Sales[[#This Row],[Parent_Total_Units]]</f>
        <v>1848</v>
      </c>
      <c r="U15" s="4" t="str">
        <f>IF(ABS(tbl_Fact_Sales[[#This Row],[Parent_Total_Units]])&lt;=50, "Acceptable", IF(ABS(tbl_Fact_Sales[[#This Row],[Parent_Total_Units]])&lt;=250, "Check", "Problem"))</f>
        <v>Problem</v>
      </c>
      <c r="V15" s="7">
        <f>tbl_Fact_Sales[[#This Row],[Cases_Sold2]]/7</f>
        <v>0.76190476190476186</v>
      </c>
      <c r="W15" s="7">
        <f>tbl_Fact_Sales[[#This Row],[Daily_Demand]]*2</f>
        <v>1.5238095238095237</v>
      </c>
      <c r="X15" s="4"/>
      <c r="Y15" s="7"/>
      <c r="Z15" s="7">
        <f>tbl_Fact_Sales[[#This Row],[Daily_Demand]]*10 + tbl_Fact_Sales[[#This Row],[Safety_Stock]]</f>
        <v>9.1428571428571423</v>
      </c>
      <c r="AA15" s="7">
        <f>MAX(0, tbl_Fact_Sales[[#This Row],[Required_Stock]] - tbl_Fact_Sales[[#This Row],[Cases_SOH]])</f>
        <v>7.0595238095238084</v>
      </c>
      <c r="AB15" s="7">
        <f>tbl_Fact_Sales[[#This Row],[Cases_SOH]] / tbl_Fact_Sales[[#This Row],[Daily_Demand]]</f>
        <v>2.7343750000000004</v>
      </c>
      <c r="AC15" s="7">
        <f>tbl_Fact_Sales[[#This Row],[Suggested_Order]] * tbl_Fact_Sales[[#This Row],[Daily_Demand]]</f>
        <v>5.378684807256235</v>
      </c>
      <c r="AD15" s="7" t="str">
        <f>TRIM(tbl_Fact_Sales[[#This Row],[Parent_Product]])</f>
        <v>COCA COLA</v>
      </c>
      <c r="AE15" s="7" cm="1">
        <f t="array" ref="AE15">IF(_xlfn.XLOOKUP(tbl_Fact_Sales[[#This Row],[Product_Code]], INDEX(rng_Recount, 0, 3), INDEX(rng_Recount, 0, 4), "") ="", tbl_Fact_Sales[[#This Row],[Cases_SOH]], _xlfn.XLOOKUP(tbl_Fact_Sales[[#This Row],[Product_Code]], INDEX(rng_Recount, 0, 3), INDEX(rng_Recount, 0, 4)))</f>
        <v>2.0833333333333335</v>
      </c>
      <c r="AF15" s="7">
        <f>ABS(tbl_Fact_Sales[[#This Row],[Required_Stock]] - tbl_Fact_Sales[[#This Row],[Adjusted_SOH]])</f>
        <v>7.0595238095238084</v>
      </c>
      <c r="AG15" s="4" t="str">
        <f>IF(tbl_Fact_Sales[[#This Row],[Recount_Variance]]&lt;=10, "Acceptable", IF(tbl_Fact_Sales[[#This Row],[Recount_Variance]]&lt;=50, "Check", "Problem"))</f>
        <v>Acceptable</v>
      </c>
    </row>
    <row r="16" spans="1:33" x14ac:dyDescent="0.25">
      <c r="A16" s="4">
        <v>3889</v>
      </c>
      <c r="B16" s="4">
        <v>5449000000000</v>
      </c>
      <c r="C16" s="4" t="s">
        <v>72</v>
      </c>
      <c r="D16" s="4" t="s">
        <v>13</v>
      </c>
      <c r="E16" s="4">
        <v>118</v>
      </c>
      <c r="F16" s="5">
        <v>6367.3431</v>
      </c>
      <c r="G16" s="4">
        <v>554</v>
      </c>
      <c r="H16" s="4">
        <v>15.6</v>
      </c>
      <c r="I16" s="4">
        <v>-32</v>
      </c>
      <c r="J16" s="4">
        <v>-5</v>
      </c>
      <c r="K16" s="4" t="s">
        <v>14</v>
      </c>
      <c r="L16" s="6">
        <v>0.156</v>
      </c>
      <c r="M16" s="4" t="str">
        <f>tbl_Fact_Sales[[#This Row],[Size_Clean]]</f>
        <v>2L</v>
      </c>
      <c r="N16" s="4">
        <f>_xlfn.XLOOKUP(tbl_Fact_Sales[[#This Row],[Pack_Size]], tbl_Size_Map[Size_Clean], tbl_Size_Map[Units_Per_Case])</f>
        <v>6</v>
      </c>
      <c r="O16" s="7">
        <f>tbl_Fact_Sales[[#This Row],[Units_Sold]] / tbl_Fact_Sales[[#This Row],[Units_Per_Pack]]</f>
        <v>-5.333333333333333</v>
      </c>
      <c r="P16" s="7">
        <f>tbl_Fact_Sales[[#This Row],[SOH]] / tbl_Fact_Sales[[#This Row],[Units_Per_Pack]]</f>
        <v>19.666666666666668</v>
      </c>
      <c r="Q16" s="4" t="s">
        <v>62</v>
      </c>
      <c r="R16" s="4">
        <f>SUMIFS(tbl_Fact_Sales[Units_Sold], tbl_Fact_Sales[Parent_Product], tbl_Fact_Sales[[#This Row],[Parent_Product]])</f>
        <v>1848</v>
      </c>
      <c r="S16" s="4" t="str">
        <f>IF(ABS(tbl_Fact_Sales[[#This Row],[Parent_Total_Units]])&lt;0.0001, "Balanced", "Investigate")</f>
        <v>Investigate</v>
      </c>
      <c r="T16" s="4">
        <f>tbl_Fact_Sales[[#This Row],[Parent_Total_Units]]</f>
        <v>1848</v>
      </c>
      <c r="U16" s="4" t="str">
        <f>IF(ABS(tbl_Fact_Sales[[#This Row],[Parent_Total_Units]])&lt;=50, "Acceptable", IF(ABS(tbl_Fact_Sales[[#This Row],[Parent_Total_Units]])&lt;=250, "Check", "Problem"))</f>
        <v>Problem</v>
      </c>
      <c r="V16" s="7">
        <f>tbl_Fact_Sales[[#This Row],[Cases_Sold2]]/7</f>
        <v>-0.76190476190476186</v>
      </c>
      <c r="W16" s="7">
        <f>tbl_Fact_Sales[[#This Row],[Daily_Demand]]*2</f>
        <v>-1.5238095238095237</v>
      </c>
      <c r="X16" s="4"/>
      <c r="Y16" s="7"/>
      <c r="Z16" s="7">
        <f>tbl_Fact_Sales[[#This Row],[Daily_Demand]]*10 + tbl_Fact_Sales[[#This Row],[Safety_Stock]]</f>
        <v>-9.1428571428571423</v>
      </c>
      <c r="AA16" s="7">
        <f>MAX(0, tbl_Fact_Sales[[#This Row],[Required_Stock]] - tbl_Fact_Sales[[#This Row],[Cases_SOH]])</f>
        <v>0</v>
      </c>
      <c r="AB16" s="7">
        <f>tbl_Fact_Sales[[#This Row],[Cases_SOH]] / tbl_Fact_Sales[[#This Row],[Daily_Demand]]</f>
        <v>-25.812500000000004</v>
      </c>
      <c r="AC16" s="7">
        <f>tbl_Fact_Sales[[#This Row],[Suggested_Order]] * tbl_Fact_Sales[[#This Row],[Daily_Demand]]</f>
        <v>0</v>
      </c>
      <c r="AD16" s="7" t="str">
        <f>TRIM(tbl_Fact_Sales[[#This Row],[Parent_Product]])</f>
        <v>COCA COLA</v>
      </c>
      <c r="AE16" s="7" cm="1">
        <f t="array" ref="AE16">IF(_xlfn.XLOOKUP(tbl_Fact_Sales[[#This Row],[Product_Code]], INDEX(rng_Recount, 0, 3), INDEX(rng_Recount, 0, 4), "") ="", tbl_Fact_Sales[[#This Row],[Cases_SOH]], _xlfn.XLOOKUP(tbl_Fact_Sales[[#This Row],[Product_Code]], INDEX(rng_Recount, 0, 3), INDEX(rng_Recount, 0, 4)))</f>
        <v>19.666666666666668</v>
      </c>
      <c r="AF16" s="7">
        <f>ABS(tbl_Fact_Sales[[#This Row],[Required_Stock]] - tbl_Fact_Sales[[#This Row],[Adjusted_SOH]])</f>
        <v>28.80952380952381</v>
      </c>
      <c r="AG16" s="4" t="str">
        <f>IF(tbl_Fact_Sales[[#This Row],[Recount_Variance]]&lt;=10, "Acceptable", IF(tbl_Fact_Sales[[#This Row],[Recount_Variance]]&lt;=50, "Check", "Problem"))</f>
        <v>Check</v>
      </c>
    </row>
    <row r="17" spans="1:33" x14ac:dyDescent="0.25">
      <c r="A17" s="4">
        <v>1227</v>
      </c>
      <c r="B17" s="4">
        <v>5449000000000</v>
      </c>
      <c r="C17" s="4" t="s">
        <v>62</v>
      </c>
      <c r="D17" s="4" t="s">
        <v>13</v>
      </c>
      <c r="E17" s="4">
        <v>-12</v>
      </c>
      <c r="F17" s="5">
        <v>11951.434999999999</v>
      </c>
      <c r="G17" s="4">
        <v>937</v>
      </c>
      <c r="H17" s="4">
        <v>9.0399999999999991</v>
      </c>
      <c r="I17" s="4">
        <v>158</v>
      </c>
      <c r="J17" s="4">
        <v>26</v>
      </c>
      <c r="K17" s="4" t="s">
        <v>14</v>
      </c>
      <c r="L17" s="6">
        <v>9.0399999999999994E-2</v>
      </c>
      <c r="M17" s="4" t="str">
        <f>tbl_Fact_Sales[[#This Row],[Size_Clean]]</f>
        <v>2L</v>
      </c>
      <c r="N17" s="4">
        <f>_xlfn.XLOOKUP(tbl_Fact_Sales[[#This Row],[Pack_Size]], tbl_Size_Map[Size_Clean], tbl_Size_Map[Units_Per_Case])</f>
        <v>6</v>
      </c>
      <c r="O17" s="7">
        <f>tbl_Fact_Sales[[#This Row],[Units_Sold]] / tbl_Fact_Sales[[#This Row],[Units_Per_Pack]]</f>
        <v>26.333333333333332</v>
      </c>
      <c r="P17" s="7">
        <f>tbl_Fact_Sales[[#This Row],[SOH]] / tbl_Fact_Sales[[#This Row],[Units_Per_Pack]]</f>
        <v>-2</v>
      </c>
      <c r="Q17" s="4" t="s">
        <v>62</v>
      </c>
      <c r="R17" s="4">
        <f>SUMIFS(tbl_Fact_Sales[Units_Sold], tbl_Fact_Sales[Parent_Product], tbl_Fact_Sales[[#This Row],[Parent_Product]])</f>
        <v>1848</v>
      </c>
      <c r="S17" s="4" t="str">
        <f>IF(ABS(tbl_Fact_Sales[[#This Row],[Parent_Total_Units]])&lt;0.0001, "Balanced", "Investigate")</f>
        <v>Investigate</v>
      </c>
      <c r="T17" s="4">
        <f>tbl_Fact_Sales[[#This Row],[Parent_Total_Units]]</f>
        <v>1848</v>
      </c>
      <c r="U17" s="4" t="str">
        <f>IF(ABS(tbl_Fact_Sales[[#This Row],[Parent_Total_Units]])&lt;=50, "Acceptable", IF(ABS(tbl_Fact_Sales[[#This Row],[Parent_Total_Units]])&lt;=250, "Check", "Problem"))</f>
        <v>Problem</v>
      </c>
      <c r="V17" s="7">
        <f>tbl_Fact_Sales[[#This Row],[Cases_Sold2]]/7</f>
        <v>3.7619047619047619</v>
      </c>
      <c r="W17" s="7">
        <f>tbl_Fact_Sales[[#This Row],[Daily_Demand]]*2</f>
        <v>7.5238095238095237</v>
      </c>
      <c r="X17" s="4"/>
      <c r="Y17" s="7"/>
      <c r="Z17" s="7">
        <f>tbl_Fact_Sales[[#This Row],[Daily_Demand]]*10 + tbl_Fact_Sales[[#This Row],[Safety_Stock]]</f>
        <v>45.142857142857146</v>
      </c>
      <c r="AA17" s="7">
        <f>MAX(0, tbl_Fact_Sales[[#This Row],[Required_Stock]] - tbl_Fact_Sales[[#This Row],[Cases_SOH]])</f>
        <v>47.142857142857146</v>
      </c>
      <c r="AB17" s="7">
        <f>tbl_Fact_Sales[[#This Row],[Cases_SOH]] / tbl_Fact_Sales[[#This Row],[Daily_Demand]]</f>
        <v>-0.53164556962025322</v>
      </c>
      <c r="AC17" s="7">
        <f>tbl_Fact_Sales[[#This Row],[Suggested_Order]] * tbl_Fact_Sales[[#This Row],[Daily_Demand]]</f>
        <v>177.34693877551021</v>
      </c>
      <c r="AD17" s="7" t="str">
        <f>TRIM(tbl_Fact_Sales[[#This Row],[Parent_Product]])</f>
        <v>COCA COLA</v>
      </c>
      <c r="AE17" s="7" cm="1">
        <f t="array" ref="AE17">IF(_xlfn.XLOOKUP(tbl_Fact_Sales[[#This Row],[Product_Code]], INDEX(rng_Recount, 0, 3), INDEX(rng_Recount, 0, 4), "") ="", tbl_Fact_Sales[[#This Row],[Cases_SOH]], _xlfn.XLOOKUP(tbl_Fact_Sales[[#This Row],[Product_Code]], INDEX(rng_Recount, 0, 3), INDEX(rng_Recount, 0, 4)))</f>
        <v>49</v>
      </c>
      <c r="AF17" s="7">
        <f>ABS(tbl_Fact_Sales[[#This Row],[Required_Stock]] - tbl_Fact_Sales[[#This Row],[Adjusted_SOH]])</f>
        <v>3.8571428571428541</v>
      </c>
      <c r="AG17" s="4" t="str">
        <f>IF(tbl_Fact_Sales[[#This Row],[Recount_Variance]]&lt;=10, "Acceptable", IF(tbl_Fact_Sales[[#This Row],[Recount_Variance]]&lt;=50, "Check", "Problem"))</f>
        <v>Acceptable</v>
      </c>
    </row>
    <row r="18" spans="1:33" x14ac:dyDescent="0.25">
      <c r="A18" s="4">
        <v>1216</v>
      </c>
      <c r="B18" s="4">
        <v>54491472</v>
      </c>
      <c r="C18" s="4" t="s">
        <v>62</v>
      </c>
      <c r="D18" s="4" t="s">
        <v>19</v>
      </c>
      <c r="E18" s="4">
        <v>241</v>
      </c>
      <c r="F18" s="5">
        <v>47768.981599999999</v>
      </c>
      <c r="G18" s="4">
        <v>7671</v>
      </c>
      <c r="H18" s="4">
        <v>20.18</v>
      </c>
      <c r="I18" s="4">
        <v>952</v>
      </c>
      <c r="J18" s="4">
        <v>40</v>
      </c>
      <c r="K18" s="4" t="s">
        <v>19</v>
      </c>
      <c r="L18" s="6">
        <v>0.20180000000000001</v>
      </c>
      <c r="M18" s="4" t="str">
        <f>tbl_Fact_Sales[[#This Row],[Size_Clean]]</f>
        <v>500ML</v>
      </c>
      <c r="N18" s="4">
        <f>_xlfn.XLOOKUP(tbl_Fact_Sales[[#This Row],[Pack_Size]], tbl_Size_Map[Size_Clean], tbl_Size_Map[Units_Per_Case])</f>
        <v>12</v>
      </c>
      <c r="O18" s="7">
        <f>tbl_Fact_Sales[[#This Row],[Units_Sold]] / tbl_Fact_Sales[[#This Row],[Units_Per_Pack]]</f>
        <v>79.333333333333329</v>
      </c>
      <c r="P18" s="7">
        <f>tbl_Fact_Sales[[#This Row],[SOH]] / tbl_Fact_Sales[[#This Row],[Units_Per_Pack]]</f>
        <v>20.083333333333332</v>
      </c>
      <c r="Q18" s="4" t="s">
        <v>62</v>
      </c>
      <c r="R18" s="4">
        <f>SUMIFS(tbl_Fact_Sales[Units_Sold], tbl_Fact_Sales[Parent_Product], tbl_Fact_Sales[[#This Row],[Parent_Product]])</f>
        <v>1848</v>
      </c>
      <c r="S18" s="4" t="str">
        <f>IF(ABS(tbl_Fact_Sales[[#This Row],[Parent_Total_Units]])&lt;0.0001, "Balanced", "Investigate")</f>
        <v>Investigate</v>
      </c>
      <c r="T18" s="4">
        <f>tbl_Fact_Sales[[#This Row],[Parent_Total_Units]]</f>
        <v>1848</v>
      </c>
      <c r="U18" s="4" t="str">
        <f>IF(ABS(tbl_Fact_Sales[[#This Row],[Parent_Total_Units]])&lt;=50, "Acceptable", IF(ABS(tbl_Fact_Sales[[#This Row],[Parent_Total_Units]])&lt;=250, "Check", "Problem"))</f>
        <v>Problem</v>
      </c>
      <c r="V18" s="7">
        <f>tbl_Fact_Sales[[#This Row],[Cases_Sold2]]/7</f>
        <v>11.333333333333332</v>
      </c>
      <c r="W18" s="7">
        <f>tbl_Fact_Sales[[#This Row],[Daily_Demand]]*2</f>
        <v>22.666666666666664</v>
      </c>
      <c r="X18" s="4"/>
      <c r="Y18" s="7"/>
      <c r="Z18" s="7">
        <f>tbl_Fact_Sales[[#This Row],[Daily_Demand]]*10 + tbl_Fact_Sales[[#This Row],[Safety_Stock]]</f>
        <v>135.99999999999997</v>
      </c>
      <c r="AA18" s="7">
        <f>MAX(0, tbl_Fact_Sales[[#This Row],[Required_Stock]] - tbl_Fact_Sales[[#This Row],[Cases_SOH]])</f>
        <v>115.91666666666664</v>
      </c>
      <c r="AB18" s="7">
        <f>tbl_Fact_Sales[[#This Row],[Cases_SOH]] / tbl_Fact_Sales[[#This Row],[Daily_Demand]]</f>
        <v>1.7720588235294119</v>
      </c>
      <c r="AC18" s="7">
        <f>tbl_Fact_Sales[[#This Row],[Suggested_Order]] * tbl_Fact_Sales[[#This Row],[Daily_Demand]]</f>
        <v>1313.7222222222217</v>
      </c>
      <c r="AD18" s="7" t="str">
        <f>TRIM(tbl_Fact_Sales[[#This Row],[Parent_Product]])</f>
        <v>COCA COLA</v>
      </c>
      <c r="AE18" s="7" cm="1">
        <f t="array" ref="AE18">IF(_xlfn.XLOOKUP(tbl_Fact_Sales[[#This Row],[Product_Code]], INDEX(rng_Recount, 0, 3), INDEX(rng_Recount, 0, 4), "") ="", tbl_Fact_Sales[[#This Row],[Cases_SOH]], _xlfn.XLOOKUP(tbl_Fact_Sales[[#This Row],[Product_Code]], INDEX(rng_Recount, 0, 3), INDEX(rng_Recount, 0, 4)))</f>
        <v>20.083333333333332</v>
      </c>
      <c r="AF18" s="7">
        <f>ABS(tbl_Fact_Sales[[#This Row],[Required_Stock]] - tbl_Fact_Sales[[#This Row],[Adjusted_SOH]])</f>
        <v>115.91666666666664</v>
      </c>
      <c r="AG18" s="4" t="str">
        <f>IF(tbl_Fact_Sales[[#This Row],[Recount_Variance]]&lt;=10, "Acceptable", IF(tbl_Fact_Sales[[#This Row],[Recount_Variance]]&lt;=50, "Check", "Problem"))</f>
        <v>Problem</v>
      </c>
    </row>
    <row r="19" spans="1:33" x14ac:dyDescent="0.25">
      <c r="A19" s="4">
        <v>26497</v>
      </c>
      <c r="B19" s="4">
        <v>5449000000000</v>
      </c>
      <c r="C19" s="4" t="s">
        <v>34</v>
      </c>
      <c r="D19" s="4" t="s">
        <v>27</v>
      </c>
      <c r="E19" s="4">
        <v>42</v>
      </c>
      <c r="F19" s="5">
        <v>1695.1110000000001</v>
      </c>
      <c r="G19" s="4">
        <v>357</v>
      </c>
      <c r="H19" s="4">
        <v>27.41</v>
      </c>
      <c r="I19" s="4">
        <v>14</v>
      </c>
      <c r="J19" s="4">
        <v>1</v>
      </c>
      <c r="K19" s="4" t="s">
        <v>27</v>
      </c>
      <c r="L19" s="6">
        <v>0.27410000000000001</v>
      </c>
      <c r="M19" s="4" t="str">
        <f>tbl_Fact_Sales[[#This Row],[Size_Clean]]</f>
        <v>330ML</v>
      </c>
      <c r="N19" s="4">
        <f>_xlfn.XLOOKUP(tbl_Fact_Sales[[#This Row],[Pack_Size]], tbl_Size_Map[Size_Clean], tbl_Size_Map[Units_Per_Case])</f>
        <v>24</v>
      </c>
      <c r="O19" s="7">
        <f>tbl_Fact_Sales[[#This Row],[Units_Sold]] / tbl_Fact_Sales[[#This Row],[Units_Per_Pack]]</f>
        <v>0.58333333333333337</v>
      </c>
      <c r="P19" s="7">
        <f>tbl_Fact_Sales[[#This Row],[SOH]] / tbl_Fact_Sales[[#This Row],[Units_Per_Pack]]</f>
        <v>1.75</v>
      </c>
      <c r="Q19" s="4" t="s">
        <v>62</v>
      </c>
      <c r="R19" s="4">
        <f>SUMIFS(tbl_Fact_Sales[Units_Sold], tbl_Fact_Sales[Parent_Product], tbl_Fact_Sales[[#This Row],[Parent_Product]])</f>
        <v>1848</v>
      </c>
      <c r="S19" s="4" t="str">
        <f>IF(ABS(tbl_Fact_Sales[[#This Row],[Parent_Total_Units]])&lt;0.0001, "Balanced", "Investigate")</f>
        <v>Investigate</v>
      </c>
      <c r="T19" s="4">
        <f>tbl_Fact_Sales[[#This Row],[Parent_Total_Units]]</f>
        <v>1848</v>
      </c>
      <c r="U19" s="4" t="str">
        <f>IF(ABS(tbl_Fact_Sales[[#This Row],[Parent_Total_Units]])&lt;=50, "Acceptable", IF(ABS(tbl_Fact_Sales[[#This Row],[Parent_Total_Units]])&lt;=250, "Check", "Problem"))</f>
        <v>Problem</v>
      </c>
      <c r="V19" s="7">
        <f>tbl_Fact_Sales[[#This Row],[Cases_Sold2]]/7</f>
        <v>8.3333333333333343E-2</v>
      </c>
      <c r="W19" s="7">
        <f>tbl_Fact_Sales[[#This Row],[Daily_Demand]]*2</f>
        <v>0.16666666666666669</v>
      </c>
      <c r="X19" s="4"/>
      <c r="Y19" s="7"/>
      <c r="Z19" s="7">
        <f>tbl_Fact_Sales[[#This Row],[Daily_Demand]]*10 + tbl_Fact_Sales[[#This Row],[Safety_Stock]]</f>
        <v>1.0000000000000002</v>
      </c>
      <c r="AA19" s="7">
        <f>MAX(0, tbl_Fact_Sales[[#This Row],[Required_Stock]] - tbl_Fact_Sales[[#This Row],[Cases_SOH]])</f>
        <v>0</v>
      </c>
      <c r="AB19" s="7">
        <f>tbl_Fact_Sales[[#This Row],[Cases_SOH]] / tbl_Fact_Sales[[#This Row],[Daily_Demand]]</f>
        <v>20.999999999999996</v>
      </c>
      <c r="AC19" s="7">
        <f>tbl_Fact_Sales[[#This Row],[Suggested_Order]] * tbl_Fact_Sales[[#This Row],[Daily_Demand]]</f>
        <v>0</v>
      </c>
      <c r="AD19" s="7" t="str">
        <f>TRIM(tbl_Fact_Sales[[#This Row],[Parent_Product]])</f>
        <v>COCA COLA</v>
      </c>
      <c r="AE19" s="7" cm="1">
        <f t="array" ref="AE19">IF(_xlfn.XLOOKUP(tbl_Fact_Sales[[#This Row],[Product_Code]], INDEX(rng_Recount, 0, 3), INDEX(rng_Recount, 0, 4), "") ="", tbl_Fact_Sales[[#This Row],[Cases_SOH]], _xlfn.XLOOKUP(tbl_Fact_Sales[[#This Row],[Product_Code]], INDEX(rng_Recount, 0, 3), INDEX(rng_Recount, 0, 4)))</f>
        <v>1.75</v>
      </c>
      <c r="AF19" s="7">
        <f>ABS(tbl_Fact_Sales[[#This Row],[Required_Stock]] - tbl_Fact_Sales[[#This Row],[Adjusted_SOH]])</f>
        <v>0.74999999999999978</v>
      </c>
      <c r="AG19" s="4" t="str">
        <f>IF(tbl_Fact_Sales[[#This Row],[Recount_Variance]]&lt;=10, "Acceptable", IF(tbl_Fact_Sales[[#This Row],[Recount_Variance]]&lt;=50, "Check", "Problem"))</f>
        <v>Acceptable</v>
      </c>
    </row>
    <row r="20" spans="1:33" x14ac:dyDescent="0.25">
      <c r="A20" s="4">
        <v>26499</v>
      </c>
      <c r="B20" s="4">
        <v>5449000000000</v>
      </c>
      <c r="C20" s="4" t="s">
        <v>34</v>
      </c>
      <c r="D20" s="4" t="s">
        <v>22</v>
      </c>
      <c r="E20" s="4">
        <v>26</v>
      </c>
      <c r="F20" s="5">
        <v>4328.2206999999999</v>
      </c>
      <c r="G20" s="4">
        <v>493</v>
      </c>
      <c r="H20" s="4">
        <v>19.829999999999998</v>
      </c>
      <c r="I20" s="4">
        <v>51</v>
      </c>
      <c r="J20" s="4">
        <v>4</v>
      </c>
      <c r="K20" s="4" t="s">
        <v>23</v>
      </c>
      <c r="L20" s="6">
        <v>0.19829999999999998</v>
      </c>
      <c r="M20" s="4" t="str">
        <f>tbl_Fact_Sales[[#This Row],[Size_Clean]]</f>
        <v>1L</v>
      </c>
      <c r="N20" s="4">
        <f>_xlfn.XLOOKUP(tbl_Fact_Sales[[#This Row],[Pack_Size]], tbl_Size_Map[Size_Clean], tbl_Size_Map[Units_Per_Case])</f>
        <v>12</v>
      </c>
      <c r="O20" s="7">
        <f>tbl_Fact_Sales[[#This Row],[Units_Sold]] / tbl_Fact_Sales[[#This Row],[Units_Per_Pack]]</f>
        <v>4.25</v>
      </c>
      <c r="P20" s="7">
        <f>tbl_Fact_Sales[[#This Row],[SOH]] / tbl_Fact_Sales[[#This Row],[Units_Per_Pack]]</f>
        <v>2.1666666666666665</v>
      </c>
      <c r="Q20" s="4" t="s">
        <v>62</v>
      </c>
      <c r="R20" s="4">
        <f>SUMIFS(tbl_Fact_Sales[Units_Sold], tbl_Fact_Sales[Parent_Product], tbl_Fact_Sales[[#This Row],[Parent_Product]])</f>
        <v>1848</v>
      </c>
      <c r="S20" s="4" t="str">
        <f>IF(ABS(tbl_Fact_Sales[[#This Row],[Parent_Total_Units]])&lt;0.0001, "Balanced", "Investigate")</f>
        <v>Investigate</v>
      </c>
      <c r="T20" s="4">
        <f>tbl_Fact_Sales[[#This Row],[Parent_Total_Units]]</f>
        <v>1848</v>
      </c>
      <c r="U20" s="4" t="str">
        <f>IF(ABS(tbl_Fact_Sales[[#This Row],[Parent_Total_Units]])&lt;=50, "Acceptable", IF(ABS(tbl_Fact_Sales[[#This Row],[Parent_Total_Units]])&lt;=250, "Check", "Problem"))</f>
        <v>Problem</v>
      </c>
      <c r="V20" s="7">
        <f>tbl_Fact_Sales[[#This Row],[Cases_Sold2]]/7</f>
        <v>0.6071428571428571</v>
      </c>
      <c r="W20" s="7">
        <f>tbl_Fact_Sales[[#This Row],[Daily_Demand]]*2</f>
        <v>1.2142857142857142</v>
      </c>
      <c r="X20" s="4"/>
      <c r="Y20" s="7"/>
      <c r="Z20" s="7">
        <f>tbl_Fact_Sales[[#This Row],[Daily_Demand]]*10 + tbl_Fact_Sales[[#This Row],[Safety_Stock]]</f>
        <v>7.2857142857142856</v>
      </c>
      <c r="AA20" s="7">
        <f>MAX(0, tbl_Fact_Sales[[#This Row],[Required_Stock]] - tbl_Fact_Sales[[#This Row],[Cases_SOH]])</f>
        <v>5.1190476190476186</v>
      </c>
      <c r="AB20" s="7">
        <f>tbl_Fact_Sales[[#This Row],[Cases_SOH]] / tbl_Fact_Sales[[#This Row],[Daily_Demand]]</f>
        <v>3.5686274509803924</v>
      </c>
      <c r="AC20" s="7">
        <f>tbl_Fact_Sales[[#This Row],[Suggested_Order]] * tbl_Fact_Sales[[#This Row],[Daily_Demand]]</f>
        <v>3.107993197278911</v>
      </c>
      <c r="AD20" s="7" t="str">
        <f>TRIM(tbl_Fact_Sales[[#This Row],[Parent_Product]])</f>
        <v>COCA COLA</v>
      </c>
      <c r="AE20" s="7" cm="1">
        <f t="array" ref="AE20">IF(_xlfn.XLOOKUP(tbl_Fact_Sales[[#This Row],[Product_Code]], INDEX(rng_Recount, 0, 3), INDEX(rng_Recount, 0, 4), "") ="", tbl_Fact_Sales[[#This Row],[Cases_SOH]], _xlfn.XLOOKUP(tbl_Fact_Sales[[#This Row],[Product_Code]], INDEX(rng_Recount, 0, 3), INDEX(rng_Recount, 0, 4)))</f>
        <v>2.1666666666666665</v>
      </c>
      <c r="AF20" s="7">
        <f>ABS(tbl_Fact_Sales[[#This Row],[Required_Stock]] - tbl_Fact_Sales[[#This Row],[Adjusted_SOH]])</f>
        <v>5.1190476190476186</v>
      </c>
      <c r="AG20" s="4" t="str">
        <f>IF(tbl_Fact_Sales[[#This Row],[Recount_Variance]]&lt;=10, "Acceptable", IF(tbl_Fact_Sales[[#This Row],[Recount_Variance]]&lt;=50, "Check", "Problem"))</f>
        <v>Acceptable</v>
      </c>
    </row>
    <row r="21" spans="1:33" x14ac:dyDescent="0.25">
      <c r="A21" s="4">
        <v>26500</v>
      </c>
      <c r="B21" s="4">
        <v>5449000000000</v>
      </c>
      <c r="C21" s="4" t="s">
        <v>34</v>
      </c>
      <c r="D21" s="4" t="s">
        <v>13</v>
      </c>
      <c r="E21" s="4">
        <v>76</v>
      </c>
      <c r="F21" s="5">
        <v>7531.9661999999998</v>
      </c>
      <c r="G21" s="4">
        <v>653</v>
      </c>
      <c r="H21" s="4">
        <v>15.46</v>
      </c>
      <c r="I21" s="4">
        <v>26</v>
      </c>
      <c r="J21" s="4">
        <v>4</v>
      </c>
      <c r="K21" s="4" t="s">
        <v>14</v>
      </c>
      <c r="L21" s="6">
        <v>0.15460000000000002</v>
      </c>
      <c r="M21" s="4" t="str">
        <f>tbl_Fact_Sales[[#This Row],[Size_Clean]]</f>
        <v>2L</v>
      </c>
      <c r="N21" s="4">
        <f>_xlfn.XLOOKUP(tbl_Fact_Sales[[#This Row],[Pack_Size]], tbl_Size_Map[Size_Clean], tbl_Size_Map[Units_Per_Case])</f>
        <v>6</v>
      </c>
      <c r="O21" s="7">
        <f>tbl_Fact_Sales[[#This Row],[Units_Sold]] / tbl_Fact_Sales[[#This Row],[Units_Per_Pack]]</f>
        <v>4.333333333333333</v>
      </c>
      <c r="P21" s="7">
        <f>tbl_Fact_Sales[[#This Row],[SOH]] / tbl_Fact_Sales[[#This Row],[Units_Per_Pack]]</f>
        <v>12.666666666666666</v>
      </c>
      <c r="Q21" s="4" t="s">
        <v>62</v>
      </c>
      <c r="R21" s="4">
        <f>SUMIFS(tbl_Fact_Sales[Units_Sold], tbl_Fact_Sales[Parent_Product], tbl_Fact_Sales[[#This Row],[Parent_Product]])</f>
        <v>1848</v>
      </c>
      <c r="S21" s="4" t="str">
        <f>IF(ABS(tbl_Fact_Sales[[#This Row],[Parent_Total_Units]])&lt;0.0001, "Balanced", "Investigate")</f>
        <v>Investigate</v>
      </c>
      <c r="T21" s="4">
        <f>tbl_Fact_Sales[[#This Row],[Parent_Total_Units]]</f>
        <v>1848</v>
      </c>
      <c r="U21" s="4" t="str">
        <f>IF(ABS(tbl_Fact_Sales[[#This Row],[Parent_Total_Units]])&lt;=50, "Acceptable", IF(ABS(tbl_Fact_Sales[[#This Row],[Parent_Total_Units]])&lt;=250, "Check", "Problem"))</f>
        <v>Problem</v>
      </c>
      <c r="V21" s="7">
        <f>tbl_Fact_Sales[[#This Row],[Cases_Sold2]]/7</f>
        <v>0.61904761904761896</v>
      </c>
      <c r="W21" s="7">
        <f>tbl_Fact_Sales[[#This Row],[Daily_Demand]]*2</f>
        <v>1.2380952380952379</v>
      </c>
      <c r="X21" s="4"/>
      <c r="Y21" s="7"/>
      <c r="Z21" s="7">
        <f>tbl_Fact_Sales[[#This Row],[Daily_Demand]]*10 + tbl_Fact_Sales[[#This Row],[Safety_Stock]]</f>
        <v>7.4285714285714279</v>
      </c>
      <c r="AA21" s="7">
        <f>MAX(0, tbl_Fact_Sales[[#This Row],[Required_Stock]] - tbl_Fact_Sales[[#This Row],[Cases_SOH]])</f>
        <v>0</v>
      </c>
      <c r="AB21" s="7">
        <f>tbl_Fact_Sales[[#This Row],[Cases_SOH]] / tbl_Fact_Sales[[#This Row],[Daily_Demand]]</f>
        <v>20.461538461538463</v>
      </c>
      <c r="AC21" s="7">
        <f>tbl_Fact_Sales[[#This Row],[Suggested_Order]] * tbl_Fact_Sales[[#This Row],[Daily_Demand]]</f>
        <v>0</v>
      </c>
      <c r="AD21" s="7" t="str">
        <f>TRIM(tbl_Fact_Sales[[#This Row],[Parent_Product]])</f>
        <v>COCA COLA</v>
      </c>
      <c r="AE21" s="7" cm="1">
        <f t="array" ref="AE21">IF(_xlfn.XLOOKUP(tbl_Fact_Sales[[#This Row],[Product_Code]], INDEX(rng_Recount, 0, 3), INDEX(rng_Recount, 0, 4), "") ="", tbl_Fact_Sales[[#This Row],[Cases_SOH]], _xlfn.XLOOKUP(tbl_Fact_Sales[[#This Row],[Product_Code]], INDEX(rng_Recount, 0, 3), INDEX(rng_Recount, 0, 4)))</f>
        <v>12.666666666666666</v>
      </c>
      <c r="AF21" s="7">
        <f>ABS(tbl_Fact_Sales[[#This Row],[Required_Stock]] - tbl_Fact_Sales[[#This Row],[Adjusted_SOH]])</f>
        <v>5.2380952380952381</v>
      </c>
      <c r="AG21" s="4" t="str">
        <f>IF(tbl_Fact_Sales[[#This Row],[Recount_Variance]]&lt;=10, "Acceptable", IF(tbl_Fact_Sales[[#This Row],[Recount_Variance]]&lt;=50, "Check", "Problem"))</f>
        <v>Acceptable</v>
      </c>
    </row>
    <row r="22" spans="1:33" x14ac:dyDescent="0.25">
      <c r="A22" s="4">
        <v>26498</v>
      </c>
      <c r="B22" s="4">
        <v>5449000000000</v>
      </c>
      <c r="C22" s="4" t="s">
        <v>34</v>
      </c>
      <c r="D22" s="4" t="s">
        <v>19</v>
      </c>
      <c r="E22" s="4">
        <v>6</v>
      </c>
      <c r="F22" s="5">
        <v>5598.8329999999996</v>
      </c>
      <c r="G22" s="4">
        <v>901</v>
      </c>
      <c r="H22" s="4">
        <v>21.17</v>
      </c>
      <c r="I22" s="4">
        <v>134</v>
      </c>
      <c r="J22" s="4">
        <v>6</v>
      </c>
      <c r="K22" s="4" t="s">
        <v>19</v>
      </c>
      <c r="L22" s="6">
        <v>0.21170000000000003</v>
      </c>
      <c r="M22" s="4" t="str">
        <f>tbl_Fact_Sales[[#This Row],[Size_Clean]]</f>
        <v>500ML</v>
      </c>
      <c r="N22" s="4">
        <f>_xlfn.XLOOKUP(tbl_Fact_Sales[[#This Row],[Pack_Size]], tbl_Size_Map[Size_Clean], tbl_Size_Map[Units_Per_Case])</f>
        <v>12</v>
      </c>
      <c r="O22" s="7">
        <f>tbl_Fact_Sales[[#This Row],[Units_Sold]] / tbl_Fact_Sales[[#This Row],[Units_Per_Pack]]</f>
        <v>11.166666666666666</v>
      </c>
      <c r="P22" s="7">
        <f>tbl_Fact_Sales[[#This Row],[SOH]] / tbl_Fact_Sales[[#This Row],[Units_Per_Pack]]</f>
        <v>0.5</v>
      </c>
      <c r="Q22" s="4" t="s">
        <v>62</v>
      </c>
      <c r="R22" s="4">
        <f>SUMIFS(tbl_Fact_Sales[Units_Sold], tbl_Fact_Sales[Parent_Product], tbl_Fact_Sales[[#This Row],[Parent_Product]])</f>
        <v>1848</v>
      </c>
      <c r="S22" s="4" t="str">
        <f>IF(ABS(tbl_Fact_Sales[[#This Row],[Parent_Total_Units]])&lt;0.0001, "Balanced", "Investigate")</f>
        <v>Investigate</v>
      </c>
      <c r="T22" s="4">
        <f>tbl_Fact_Sales[[#This Row],[Parent_Total_Units]]</f>
        <v>1848</v>
      </c>
      <c r="U22" s="4" t="str">
        <f>IF(ABS(tbl_Fact_Sales[[#This Row],[Parent_Total_Units]])&lt;=50, "Acceptable", IF(ABS(tbl_Fact_Sales[[#This Row],[Parent_Total_Units]])&lt;=250, "Check", "Problem"))</f>
        <v>Problem</v>
      </c>
      <c r="V22" s="7">
        <f>tbl_Fact_Sales[[#This Row],[Cases_Sold2]]/7</f>
        <v>1.5952380952380951</v>
      </c>
      <c r="W22" s="7">
        <f>tbl_Fact_Sales[[#This Row],[Daily_Demand]]*2</f>
        <v>3.1904761904761902</v>
      </c>
      <c r="X22" s="4"/>
      <c r="Y22" s="7"/>
      <c r="Z22" s="7">
        <f>tbl_Fact_Sales[[#This Row],[Daily_Demand]]*10 + tbl_Fact_Sales[[#This Row],[Safety_Stock]]</f>
        <v>19.142857142857142</v>
      </c>
      <c r="AA22" s="7">
        <f>MAX(0, tbl_Fact_Sales[[#This Row],[Required_Stock]] - tbl_Fact_Sales[[#This Row],[Cases_SOH]])</f>
        <v>18.642857142857142</v>
      </c>
      <c r="AB22" s="7">
        <f>tbl_Fact_Sales[[#This Row],[Cases_SOH]] / tbl_Fact_Sales[[#This Row],[Daily_Demand]]</f>
        <v>0.31343283582089554</v>
      </c>
      <c r="AC22" s="7">
        <f>tbl_Fact_Sales[[#This Row],[Suggested_Order]] * tbl_Fact_Sales[[#This Row],[Daily_Demand]]</f>
        <v>29.739795918367346</v>
      </c>
      <c r="AD22" s="7" t="str">
        <f>TRIM(tbl_Fact_Sales[[#This Row],[Parent_Product]])</f>
        <v>COCA COLA</v>
      </c>
      <c r="AE22" s="7" cm="1">
        <f t="array" ref="AE22">IF(_xlfn.XLOOKUP(tbl_Fact_Sales[[#This Row],[Product_Code]], INDEX(rng_Recount, 0, 3), INDEX(rng_Recount, 0, 4), "") ="", tbl_Fact_Sales[[#This Row],[Cases_SOH]], _xlfn.XLOOKUP(tbl_Fact_Sales[[#This Row],[Product_Code]], INDEX(rng_Recount, 0, 3), INDEX(rng_Recount, 0, 4)))</f>
        <v>0.5</v>
      </c>
      <c r="AF22" s="7">
        <f>ABS(tbl_Fact_Sales[[#This Row],[Required_Stock]] - tbl_Fact_Sales[[#This Row],[Adjusted_SOH]])</f>
        <v>18.642857142857142</v>
      </c>
      <c r="AG22" s="4" t="str">
        <f>IF(tbl_Fact_Sales[[#This Row],[Recount_Variance]]&lt;=10, "Acceptable", IF(tbl_Fact_Sales[[#This Row],[Recount_Variance]]&lt;=50, "Check", "Problem"))</f>
        <v>Check</v>
      </c>
    </row>
    <row r="23" spans="1:33" x14ac:dyDescent="0.25">
      <c r="A23" s="4">
        <v>22381</v>
      </c>
      <c r="B23" s="4">
        <v>5449000000000</v>
      </c>
      <c r="C23" s="4" t="s">
        <v>73</v>
      </c>
      <c r="D23" s="4" t="s">
        <v>27</v>
      </c>
      <c r="E23" s="4">
        <v>-11</v>
      </c>
      <c r="F23" s="5">
        <v>1951.4909</v>
      </c>
      <c r="G23" s="4">
        <v>411</v>
      </c>
      <c r="H23" s="4">
        <v>27.21</v>
      </c>
      <c r="I23" s="4">
        <v>75</v>
      </c>
      <c r="J23" s="4">
        <v>3</v>
      </c>
      <c r="K23" s="4" t="s">
        <v>27</v>
      </c>
      <c r="L23" s="6">
        <v>0.27210000000000001</v>
      </c>
      <c r="M23" s="4" t="str">
        <f>tbl_Fact_Sales[[#This Row],[Size_Clean]]</f>
        <v>330ML</v>
      </c>
      <c r="N23" s="4">
        <f>_xlfn.XLOOKUP(tbl_Fact_Sales[[#This Row],[Pack_Size]], tbl_Size_Map[Size_Clean], tbl_Size_Map[Units_Per_Case])</f>
        <v>24</v>
      </c>
      <c r="O23" s="7">
        <f>tbl_Fact_Sales[[#This Row],[Units_Sold]] / tbl_Fact_Sales[[#This Row],[Units_Per_Pack]]</f>
        <v>3.125</v>
      </c>
      <c r="P23" s="7">
        <f>tbl_Fact_Sales[[#This Row],[SOH]] / tbl_Fact_Sales[[#This Row],[Units_Per_Pack]]</f>
        <v>-0.45833333333333331</v>
      </c>
      <c r="Q23" s="4" t="s">
        <v>73</v>
      </c>
      <c r="R23" s="4">
        <f>SUMIFS(tbl_Fact_Sales[Units_Sold], tbl_Fact_Sales[Parent_Product], tbl_Fact_Sales[[#This Row],[Parent_Product]])</f>
        <v>176</v>
      </c>
      <c r="S23" s="4" t="str">
        <f>IF(ABS(tbl_Fact_Sales[[#This Row],[Parent_Total_Units]])&lt;0.0001, "Balanced", "Investigate")</f>
        <v>Investigate</v>
      </c>
      <c r="T23" s="4">
        <f>tbl_Fact_Sales[[#This Row],[Parent_Total_Units]]</f>
        <v>176</v>
      </c>
      <c r="U23" s="4" t="str">
        <f>IF(ABS(tbl_Fact_Sales[[#This Row],[Parent_Total_Units]])&lt;=50, "Acceptable", IF(ABS(tbl_Fact_Sales[[#This Row],[Parent_Total_Units]])&lt;=250, "Check", "Problem"))</f>
        <v>Check</v>
      </c>
      <c r="V23" s="7">
        <f>tbl_Fact_Sales[[#This Row],[Cases_Sold2]]/7</f>
        <v>0.44642857142857145</v>
      </c>
      <c r="W23" s="7">
        <f>tbl_Fact_Sales[[#This Row],[Daily_Demand]]*2</f>
        <v>0.8928571428571429</v>
      </c>
      <c r="X23" s="4"/>
      <c r="Y23" s="7"/>
      <c r="Z23" s="7">
        <f>tbl_Fact_Sales[[#This Row],[Daily_Demand]]*10 + tbl_Fact_Sales[[#This Row],[Safety_Stock]]</f>
        <v>5.3571428571428577</v>
      </c>
      <c r="AA23" s="7">
        <f>MAX(0, tbl_Fact_Sales[[#This Row],[Required_Stock]] - tbl_Fact_Sales[[#This Row],[Cases_SOH]])</f>
        <v>5.8154761904761907</v>
      </c>
      <c r="AB23" s="7">
        <f>tbl_Fact_Sales[[#This Row],[Cases_SOH]] / tbl_Fact_Sales[[#This Row],[Daily_Demand]]</f>
        <v>-1.0266666666666666</v>
      </c>
      <c r="AC23" s="7">
        <f>tbl_Fact_Sales[[#This Row],[Suggested_Order]] * tbl_Fact_Sales[[#This Row],[Daily_Demand]]</f>
        <v>2.5961947278911568</v>
      </c>
      <c r="AD23" s="7" t="str">
        <f>TRIM(tbl_Fact_Sales[[#This Row],[Parent_Product]])</f>
        <v>FANTA GRAPE</v>
      </c>
      <c r="AE23" s="7" cm="1">
        <f t="array" ref="AE23">IF(_xlfn.XLOOKUP(tbl_Fact_Sales[[#This Row],[Product_Code]], INDEX(rng_Recount, 0, 3), INDEX(rng_Recount, 0, 4), "") ="", tbl_Fact_Sales[[#This Row],[Cases_SOH]], _xlfn.XLOOKUP(tbl_Fact_Sales[[#This Row],[Product_Code]], INDEX(rng_Recount, 0, 3), INDEX(rng_Recount, 0, 4)))</f>
        <v>-0.45833333333333331</v>
      </c>
      <c r="AF23" s="7">
        <f>ABS(tbl_Fact_Sales[[#This Row],[Required_Stock]] - tbl_Fact_Sales[[#This Row],[Adjusted_SOH]])</f>
        <v>5.8154761904761907</v>
      </c>
      <c r="AG23" s="4" t="str">
        <f>IF(tbl_Fact_Sales[[#This Row],[Recount_Variance]]&lt;=10, "Acceptable", IF(tbl_Fact_Sales[[#This Row],[Recount_Variance]]&lt;=50, "Check", "Problem"))</f>
        <v>Acceptable</v>
      </c>
    </row>
    <row r="24" spans="1:33" x14ac:dyDescent="0.25">
      <c r="A24" s="4">
        <v>1224</v>
      </c>
      <c r="B24" s="4">
        <v>5449000000000</v>
      </c>
      <c r="C24" s="4" t="s">
        <v>73</v>
      </c>
      <c r="D24" s="4" t="s">
        <v>13</v>
      </c>
      <c r="E24" s="4">
        <v>210</v>
      </c>
      <c r="F24" s="5">
        <v>15102.0072</v>
      </c>
      <c r="G24" s="4">
        <v>1298</v>
      </c>
      <c r="H24" s="4">
        <v>16.16</v>
      </c>
      <c r="I24" s="4">
        <v>-8</v>
      </c>
      <c r="J24" s="4">
        <v>-1</v>
      </c>
      <c r="K24" s="4" t="s">
        <v>14</v>
      </c>
      <c r="L24" s="6">
        <v>0.16159999999999999</v>
      </c>
      <c r="M24" s="4" t="str">
        <f>tbl_Fact_Sales[[#This Row],[Size_Clean]]</f>
        <v>2L</v>
      </c>
      <c r="N24" s="4">
        <f>_xlfn.XLOOKUP(tbl_Fact_Sales[[#This Row],[Pack_Size]], tbl_Size_Map[Size_Clean], tbl_Size_Map[Units_Per_Case])</f>
        <v>6</v>
      </c>
      <c r="O24" s="7">
        <f>tbl_Fact_Sales[[#This Row],[Units_Sold]] / tbl_Fact_Sales[[#This Row],[Units_Per_Pack]]</f>
        <v>-1.3333333333333333</v>
      </c>
      <c r="P24" s="7">
        <f>tbl_Fact_Sales[[#This Row],[SOH]] / tbl_Fact_Sales[[#This Row],[Units_Per_Pack]]</f>
        <v>35</v>
      </c>
      <c r="Q24" s="4" t="s">
        <v>73</v>
      </c>
      <c r="R24" s="4">
        <f>SUMIFS(tbl_Fact_Sales[Units_Sold], tbl_Fact_Sales[Parent_Product], tbl_Fact_Sales[[#This Row],[Parent_Product]])</f>
        <v>176</v>
      </c>
      <c r="S24" s="4" t="str">
        <f>IF(ABS(tbl_Fact_Sales[[#This Row],[Parent_Total_Units]])&lt;0.0001, "Balanced", "Investigate")</f>
        <v>Investigate</v>
      </c>
      <c r="T24" s="4">
        <f>tbl_Fact_Sales[[#This Row],[Parent_Total_Units]]</f>
        <v>176</v>
      </c>
      <c r="U24" s="4" t="str">
        <f>IF(ABS(tbl_Fact_Sales[[#This Row],[Parent_Total_Units]])&lt;=50, "Acceptable", IF(ABS(tbl_Fact_Sales[[#This Row],[Parent_Total_Units]])&lt;=250, "Check", "Problem"))</f>
        <v>Check</v>
      </c>
      <c r="V24" s="7">
        <f>tbl_Fact_Sales[[#This Row],[Cases_Sold2]]/7</f>
        <v>-0.19047619047619047</v>
      </c>
      <c r="W24" s="7">
        <f>tbl_Fact_Sales[[#This Row],[Daily_Demand]]*2</f>
        <v>-0.38095238095238093</v>
      </c>
      <c r="X24" s="4"/>
      <c r="Y24" s="7"/>
      <c r="Z24" s="7">
        <f>tbl_Fact_Sales[[#This Row],[Daily_Demand]]*10 + tbl_Fact_Sales[[#This Row],[Safety_Stock]]</f>
        <v>-2.2857142857142856</v>
      </c>
      <c r="AA24" s="7">
        <f>MAX(0, tbl_Fact_Sales[[#This Row],[Required_Stock]] - tbl_Fact_Sales[[#This Row],[Cases_SOH]])</f>
        <v>0</v>
      </c>
      <c r="AB24" s="7">
        <f>tbl_Fact_Sales[[#This Row],[Cases_SOH]] / tbl_Fact_Sales[[#This Row],[Daily_Demand]]</f>
        <v>-183.75</v>
      </c>
      <c r="AC24" s="7">
        <f>tbl_Fact_Sales[[#This Row],[Suggested_Order]] * tbl_Fact_Sales[[#This Row],[Daily_Demand]]</f>
        <v>0</v>
      </c>
      <c r="AD24" s="7" t="str">
        <f>TRIM(tbl_Fact_Sales[[#This Row],[Parent_Product]])</f>
        <v>FANTA GRAPE</v>
      </c>
      <c r="AE24" s="7" cm="1">
        <f t="array" ref="AE24">IF(_xlfn.XLOOKUP(tbl_Fact_Sales[[#This Row],[Product_Code]], INDEX(rng_Recount, 0, 3), INDEX(rng_Recount, 0, 4), "") ="", tbl_Fact_Sales[[#This Row],[Cases_SOH]], _xlfn.XLOOKUP(tbl_Fact_Sales[[#This Row],[Product_Code]], INDEX(rng_Recount, 0, 3), INDEX(rng_Recount, 0, 4)))</f>
        <v>35</v>
      </c>
      <c r="AF24" s="7">
        <f>ABS(tbl_Fact_Sales[[#This Row],[Required_Stock]] - tbl_Fact_Sales[[#This Row],[Adjusted_SOH]])</f>
        <v>37.285714285714285</v>
      </c>
      <c r="AG24" s="4" t="str">
        <f>IF(tbl_Fact_Sales[[#This Row],[Recount_Variance]]&lt;=10, "Acceptable", IF(tbl_Fact_Sales[[#This Row],[Recount_Variance]]&lt;=50, "Check", "Problem"))</f>
        <v>Check</v>
      </c>
    </row>
    <row r="25" spans="1:33" x14ac:dyDescent="0.25">
      <c r="A25" s="4">
        <v>13565</v>
      </c>
      <c r="B25" s="4">
        <v>87126815</v>
      </c>
      <c r="C25" s="4" t="s">
        <v>73</v>
      </c>
      <c r="D25" s="4" t="s">
        <v>19</v>
      </c>
      <c r="E25" s="4">
        <v>110</v>
      </c>
      <c r="F25" s="5">
        <v>8777.2535000000007</v>
      </c>
      <c r="G25" s="4">
        <v>1410</v>
      </c>
      <c r="H25" s="4">
        <v>21.04</v>
      </c>
      <c r="I25" s="4">
        <v>109</v>
      </c>
      <c r="J25" s="4">
        <v>5</v>
      </c>
      <c r="K25" s="4" t="s">
        <v>19</v>
      </c>
      <c r="L25" s="6">
        <v>0.2104</v>
      </c>
      <c r="M25" s="4" t="str">
        <f>tbl_Fact_Sales[[#This Row],[Size_Clean]]</f>
        <v>500ML</v>
      </c>
      <c r="N25" s="4">
        <f>_xlfn.XLOOKUP(tbl_Fact_Sales[[#This Row],[Pack_Size]], tbl_Size_Map[Size_Clean], tbl_Size_Map[Units_Per_Case])</f>
        <v>12</v>
      </c>
      <c r="O25" s="7">
        <f>tbl_Fact_Sales[[#This Row],[Units_Sold]] / tbl_Fact_Sales[[#This Row],[Units_Per_Pack]]</f>
        <v>9.0833333333333339</v>
      </c>
      <c r="P25" s="7">
        <f>tbl_Fact_Sales[[#This Row],[SOH]] / tbl_Fact_Sales[[#This Row],[Units_Per_Pack]]</f>
        <v>9.1666666666666661</v>
      </c>
      <c r="Q25" s="4" t="s">
        <v>73</v>
      </c>
      <c r="R25" s="4">
        <f>SUMIFS(tbl_Fact_Sales[Units_Sold], tbl_Fact_Sales[Parent_Product], tbl_Fact_Sales[[#This Row],[Parent_Product]])</f>
        <v>176</v>
      </c>
      <c r="S25" s="4" t="str">
        <f>IF(ABS(tbl_Fact_Sales[[#This Row],[Parent_Total_Units]])&lt;0.0001, "Balanced", "Investigate")</f>
        <v>Investigate</v>
      </c>
      <c r="T25" s="4">
        <f>tbl_Fact_Sales[[#This Row],[Parent_Total_Units]]</f>
        <v>176</v>
      </c>
      <c r="U25" s="4" t="str">
        <f>IF(ABS(tbl_Fact_Sales[[#This Row],[Parent_Total_Units]])&lt;=50, "Acceptable", IF(ABS(tbl_Fact_Sales[[#This Row],[Parent_Total_Units]])&lt;=250, "Check", "Problem"))</f>
        <v>Check</v>
      </c>
      <c r="V25" s="7">
        <f>tbl_Fact_Sales[[#This Row],[Cases_Sold2]]/7</f>
        <v>1.2976190476190477</v>
      </c>
      <c r="W25" s="7">
        <f>tbl_Fact_Sales[[#This Row],[Daily_Demand]]*2</f>
        <v>2.5952380952380953</v>
      </c>
      <c r="X25" s="4"/>
      <c r="Y25" s="7"/>
      <c r="Z25" s="7">
        <f>tbl_Fact_Sales[[#This Row],[Daily_Demand]]*10 + tbl_Fact_Sales[[#This Row],[Safety_Stock]]</f>
        <v>15.571428571428571</v>
      </c>
      <c r="AA25" s="7">
        <f>MAX(0, tbl_Fact_Sales[[#This Row],[Required_Stock]] - tbl_Fact_Sales[[#This Row],[Cases_SOH]])</f>
        <v>6.4047619047619051</v>
      </c>
      <c r="AB25" s="7">
        <f>tbl_Fact_Sales[[#This Row],[Cases_SOH]] / tbl_Fact_Sales[[#This Row],[Daily_Demand]]</f>
        <v>7.0642201834862375</v>
      </c>
      <c r="AC25" s="7">
        <f>tbl_Fact_Sales[[#This Row],[Suggested_Order]] * tbl_Fact_Sales[[#This Row],[Daily_Demand]]</f>
        <v>8.3109410430839006</v>
      </c>
      <c r="AD25" s="7" t="str">
        <f>TRIM(tbl_Fact_Sales[[#This Row],[Parent_Product]])</f>
        <v>FANTA GRAPE</v>
      </c>
      <c r="AE25" s="7" cm="1">
        <f t="array" ref="AE25">IF(_xlfn.XLOOKUP(tbl_Fact_Sales[[#This Row],[Product_Code]], INDEX(rng_Recount, 0, 3), INDEX(rng_Recount, 0, 4), "") ="", tbl_Fact_Sales[[#This Row],[Cases_SOH]], _xlfn.XLOOKUP(tbl_Fact_Sales[[#This Row],[Product_Code]], INDEX(rng_Recount, 0, 3), INDEX(rng_Recount, 0, 4)))</f>
        <v>9.1666666666666661</v>
      </c>
      <c r="AF25" s="7">
        <f>ABS(tbl_Fact_Sales[[#This Row],[Required_Stock]] - tbl_Fact_Sales[[#This Row],[Adjusted_SOH]])</f>
        <v>6.4047619047619051</v>
      </c>
      <c r="AG25" s="4" t="str">
        <f>IF(tbl_Fact_Sales[[#This Row],[Recount_Variance]]&lt;=10, "Acceptable", IF(tbl_Fact_Sales[[#This Row],[Recount_Variance]]&lt;=50, "Check", "Problem"))</f>
        <v>Acceptable</v>
      </c>
    </row>
    <row r="26" spans="1:33" x14ac:dyDescent="0.25">
      <c r="A26" s="4">
        <v>79507</v>
      </c>
      <c r="B26" s="4">
        <v>122</v>
      </c>
      <c r="C26" s="4" t="s">
        <v>73</v>
      </c>
      <c r="D26" s="4" t="s">
        <v>27</v>
      </c>
      <c r="E26" s="4">
        <v>0</v>
      </c>
      <c r="F26" s="5">
        <v>0</v>
      </c>
      <c r="G26" s="4">
        <v>0</v>
      </c>
      <c r="H26" s="4">
        <v>0</v>
      </c>
      <c r="I26" s="4">
        <v>0</v>
      </c>
      <c r="J26" s="4">
        <v>0</v>
      </c>
      <c r="K26" s="4" t="s">
        <v>27</v>
      </c>
      <c r="L26" s="6">
        <v>0</v>
      </c>
      <c r="M26" s="4" t="str">
        <f>tbl_Fact_Sales[[#This Row],[Size_Clean]]</f>
        <v>330ML</v>
      </c>
      <c r="N26" s="4">
        <f>_xlfn.XLOOKUP(tbl_Fact_Sales[[#This Row],[Pack_Size]], tbl_Size_Map[Size_Clean], tbl_Size_Map[Units_Per_Case])</f>
        <v>24</v>
      </c>
      <c r="O26" s="7">
        <f>tbl_Fact_Sales[[#This Row],[Units_Sold]] / tbl_Fact_Sales[[#This Row],[Units_Per_Pack]]</f>
        <v>0</v>
      </c>
      <c r="P26" s="7">
        <f>tbl_Fact_Sales[[#This Row],[SOH]] / tbl_Fact_Sales[[#This Row],[Units_Per_Pack]]</f>
        <v>0</v>
      </c>
      <c r="Q26" s="4" t="s">
        <v>73</v>
      </c>
      <c r="R26" s="4">
        <f>SUMIFS(tbl_Fact_Sales[Units_Sold], tbl_Fact_Sales[Parent_Product], tbl_Fact_Sales[[#This Row],[Parent_Product]])</f>
        <v>176</v>
      </c>
      <c r="S26" s="4" t="str">
        <f>IF(ABS(tbl_Fact_Sales[[#This Row],[Parent_Total_Units]])&lt;0.0001, "Balanced", "Investigate")</f>
        <v>Investigate</v>
      </c>
      <c r="T26" s="4">
        <f>tbl_Fact_Sales[[#This Row],[Parent_Total_Units]]</f>
        <v>176</v>
      </c>
      <c r="U26" s="4" t="str">
        <f>IF(ABS(tbl_Fact_Sales[[#This Row],[Parent_Total_Units]])&lt;=50, "Acceptable", IF(ABS(tbl_Fact_Sales[[#This Row],[Parent_Total_Units]])&lt;=250, "Check", "Problem"))</f>
        <v>Check</v>
      </c>
      <c r="V26" s="7">
        <f>tbl_Fact_Sales[[#This Row],[Cases_Sold2]]/7</f>
        <v>0</v>
      </c>
      <c r="W26" s="7">
        <f>tbl_Fact_Sales[[#This Row],[Daily_Demand]]*2</f>
        <v>0</v>
      </c>
      <c r="X26" s="4"/>
      <c r="Y26" s="7"/>
      <c r="Z26" s="7">
        <f>tbl_Fact_Sales[[#This Row],[Daily_Demand]]*10 + tbl_Fact_Sales[[#This Row],[Safety_Stock]]</f>
        <v>0</v>
      </c>
      <c r="AA26" s="7">
        <f>MAX(0, tbl_Fact_Sales[[#This Row],[Required_Stock]] - tbl_Fact_Sales[[#This Row],[Cases_SOH]])</f>
        <v>0</v>
      </c>
      <c r="AB26" s="7" t="e">
        <f>tbl_Fact_Sales[[#This Row],[Cases_SOH]] / tbl_Fact_Sales[[#This Row],[Daily_Demand]]</f>
        <v>#DIV/0!</v>
      </c>
      <c r="AC26" s="7">
        <f>tbl_Fact_Sales[[#This Row],[Suggested_Order]] * tbl_Fact_Sales[[#This Row],[Daily_Demand]]</f>
        <v>0</v>
      </c>
      <c r="AD26" s="7" t="str">
        <f>TRIM(tbl_Fact_Sales[[#This Row],[Parent_Product]])</f>
        <v>FANTA GRAPE</v>
      </c>
      <c r="AE26" s="7" cm="1">
        <f t="array" ref="AE26">IF(_xlfn.XLOOKUP(tbl_Fact_Sales[[#This Row],[Product_Code]], INDEX(rng_Recount, 0, 3), INDEX(rng_Recount, 0, 4), "") ="", tbl_Fact_Sales[[#This Row],[Cases_SOH]], _xlfn.XLOOKUP(tbl_Fact_Sales[[#This Row],[Product_Code]], INDEX(rng_Recount, 0, 3), INDEX(rng_Recount, 0, 4)))</f>
        <v>0</v>
      </c>
      <c r="AF26" s="7">
        <f>ABS(tbl_Fact_Sales[[#This Row],[Required_Stock]] - tbl_Fact_Sales[[#This Row],[Adjusted_SOH]])</f>
        <v>0</v>
      </c>
      <c r="AG26" s="4" t="str">
        <f>IF(tbl_Fact_Sales[[#This Row],[Recount_Variance]]&lt;=10, "Acceptable", IF(tbl_Fact_Sales[[#This Row],[Recount_Variance]]&lt;=50, "Check", "Problem"))</f>
        <v>Acceptable</v>
      </c>
    </row>
    <row r="27" spans="1:33" x14ac:dyDescent="0.25">
      <c r="A27" s="4">
        <v>6060</v>
      </c>
      <c r="B27" s="4">
        <v>5449000000000</v>
      </c>
      <c r="C27" s="4" t="s">
        <v>38</v>
      </c>
      <c r="D27" s="4" t="s">
        <v>22</v>
      </c>
      <c r="E27" s="4">
        <v>66</v>
      </c>
      <c r="F27" s="5">
        <v>4668.55</v>
      </c>
      <c r="G27" s="4">
        <v>532</v>
      </c>
      <c r="H27" s="4">
        <v>19.87</v>
      </c>
      <c r="I27" s="4">
        <v>17</v>
      </c>
      <c r="J27" s="4">
        <v>1</v>
      </c>
      <c r="K27" s="4" t="s">
        <v>23</v>
      </c>
      <c r="L27" s="6">
        <v>0.19870000000000002</v>
      </c>
      <c r="M27" s="4" t="str">
        <f>tbl_Fact_Sales[[#This Row],[Size_Clean]]</f>
        <v>1L</v>
      </c>
      <c r="N27" s="4">
        <f>_xlfn.XLOOKUP(tbl_Fact_Sales[[#This Row],[Pack_Size]], tbl_Size_Map[Size_Clean], tbl_Size_Map[Units_Per_Case])</f>
        <v>12</v>
      </c>
      <c r="O27" s="7">
        <f>tbl_Fact_Sales[[#This Row],[Units_Sold]] / tbl_Fact_Sales[[#This Row],[Units_Per_Pack]]</f>
        <v>1.4166666666666667</v>
      </c>
      <c r="P27" s="7">
        <f>tbl_Fact_Sales[[#This Row],[SOH]] / tbl_Fact_Sales[[#This Row],[Units_Per_Pack]]</f>
        <v>5.5</v>
      </c>
      <c r="Q27" s="4" t="s">
        <v>38</v>
      </c>
      <c r="R27" s="4">
        <f>SUMIFS(tbl_Fact_Sales[Units_Sold], tbl_Fact_Sales[Parent_Product], tbl_Fact_Sales[[#This Row],[Parent_Product]])</f>
        <v>229</v>
      </c>
      <c r="S27" s="4" t="str">
        <f>IF(ABS(tbl_Fact_Sales[[#This Row],[Parent_Total_Units]])&lt;0.0001, "Balanced", "Investigate")</f>
        <v>Investigate</v>
      </c>
      <c r="T27" s="4">
        <f>tbl_Fact_Sales[[#This Row],[Parent_Total_Units]]</f>
        <v>229</v>
      </c>
      <c r="U27" s="4" t="str">
        <f>IF(ABS(tbl_Fact_Sales[[#This Row],[Parent_Total_Units]])&lt;=50, "Acceptable", IF(ABS(tbl_Fact_Sales[[#This Row],[Parent_Total_Units]])&lt;=250, "Check", "Problem"))</f>
        <v>Check</v>
      </c>
      <c r="V27" s="7">
        <f>tbl_Fact_Sales[[#This Row],[Cases_Sold2]]/7</f>
        <v>0.20238095238095238</v>
      </c>
      <c r="W27" s="7">
        <f>tbl_Fact_Sales[[#This Row],[Daily_Demand]]*2</f>
        <v>0.40476190476190477</v>
      </c>
      <c r="X27" s="4"/>
      <c r="Y27" s="7"/>
      <c r="Z27" s="7">
        <f>tbl_Fact_Sales[[#This Row],[Daily_Demand]]*10 + tbl_Fact_Sales[[#This Row],[Safety_Stock]]</f>
        <v>2.4285714285714284</v>
      </c>
      <c r="AA27" s="7">
        <f>MAX(0, tbl_Fact_Sales[[#This Row],[Required_Stock]] - tbl_Fact_Sales[[#This Row],[Cases_SOH]])</f>
        <v>0</v>
      </c>
      <c r="AB27" s="7">
        <f>tbl_Fact_Sales[[#This Row],[Cases_SOH]] / tbl_Fact_Sales[[#This Row],[Daily_Demand]]</f>
        <v>27.176470588235293</v>
      </c>
      <c r="AC27" s="7">
        <f>tbl_Fact_Sales[[#This Row],[Suggested_Order]] * tbl_Fact_Sales[[#This Row],[Daily_Demand]]</f>
        <v>0</v>
      </c>
      <c r="AD27" s="7" t="str">
        <f>TRIM(tbl_Fact_Sales[[#This Row],[Parent_Product]])</f>
        <v>FANTA ORANGE</v>
      </c>
      <c r="AE27" s="7" cm="1">
        <f t="array" ref="AE27">IF(_xlfn.XLOOKUP(tbl_Fact_Sales[[#This Row],[Product_Code]], INDEX(rng_Recount, 0, 3), INDEX(rng_Recount, 0, 4), "") ="", tbl_Fact_Sales[[#This Row],[Cases_SOH]], _xlfn.XLOOKUP(tbl_Fact_Sales[[#This Row],[Product_Code]], INDEX(rng_Recount, 0, 3), INDEX(rng_Recount, 0, 4)))</f>
        <v>5.5</v>
      </c>
      <c r="AF27" s="7">
        <f>ABS(tbl_Fact_Sales[[#This Row],[Required_Stock]] - tbl_Fact_Sales[[#This Row],[Adjusted_SOH]])</f>
        <v>3.0714285714285716</v>
      </c>
      <c r="AG27" s="4" t="str">
        <f>IF(tbl_Fact_Sales[[#This Row],[Recount_Variance]]&lt;=10, "Acceptable", IF(tbl_Fact_Sales[[#This Row],[Recount_Variance]]&lt;=50, "Check", "Problem"))</f>
        <v>Acceptable</v>
      </c>
    </row>
    <row r="28" spans="1:33" x14ac:dyDescent="0.25">
      <c r="A28" s="4">
        <v>22379</v>
      </c>
      <c r="B28" s="4">
        <v>5449000000000</v>
      </c>
      <c r="C28" s="4" t="s">
        <v>38</v>
      </c>
      <c r="D28" s="4" t="s">
        <v>27</v>
      </c>
      <c r="E28" s="4">
        <v>32</v>
      </c>
      <c r="F28" s="5">
        <v>3431.7204000000002</v>
      </c>
      <c r="G28" s="4">
        <v>709</v>
      </c>
      <c r="H28" s="4">
        <v>24.17</v>
      </c>
      <c r="I28" s="4">
        <v>78</v>
      </c>
      <c r="J28" s="4">
        <v>3</v>
      </c>
      <c r="K28" s="4" t="s">
        <v>27</v>
      </c>
      <c r="L28" s="6">
        <v>0.24170000000000003</v>
      </c>
      <c r="M28" s="4" t="str">
        <f>tbl_Fact_Sales[[#This Row],[Size_Clean]]</f>
        <v>330ML</v>
      </c>
      <c r="N28" s="4">
        <f>_xlfn.XLOOKUP(tbl_Fact_Sales[[#This Row],[Pack_Size]], tbl_Size_Map[Size_Clean], tbl_Size_Map[Units_Per_Case])</f>
        <v>24</v>
      </c>
      <c r="O28" s="7">
        <f>tbl_Fact_Sales[[#This Row],[Units_Sold]] / tbl_Fact_Sales[[#This Row],[Units_Per_Pack]]</f>
        <v>3.25</v>
      </c>
      <c r="P28" s="7">
        <f>tbl_Fact_Sales[[#This Row],[SOH]] / tbl_Fact_Sales[[#This Row],[Units_Per_Pack]]</f>
        <v>1.3333333333333333</v>
      </c>
      <c r="Q28" s="4" t="s">
        <v>38</v>
      </c>
      <c r="R28" s="4">
        <f>SUMIFS(tbl_Fact_Sales[Units_Sold], tbl_Fact_Sales[Parent_Product], tbl_Fact_Sales[[#This Row],[Parent_Product]])</f>
        <v>229</v>
      </c>
      <c r="S28" s="4" t="str">
        <f>IF(ABS(tbl_Fact_Sales[[#This Row],[Parent_Total_Units]])&lt;0.0001, "Balanced", "Investigate")</f>
        <v>Investigate</v>
      </c>
      <c r="T28" s="4">
        <f>tbl_Fact_Sales[[#This Row],[Parent_Total_Units]]</f>
        <v>229</v>
      </c>
      <c r="U28" s="4" t="str">
        <f>IF(ABS(tbl_Fact_Sales[[#This Row],[Parent_Total_Units]])&lt;=50, "Acceptable", IF(ABS(tbl_Fact_Sales[[#This Row],[Parent_Total_Units]])&lt;=250, "Check", "Problem"))</f>
        <v>Check</v>
      </c>
      <c r="V28" s="7">
        <f>tbl_Fact_Sales[[#This Row],[Cases_Sold2]]/7</f>
        <v>0.4642857142857143</v>
      </c>
      <c r="W28" s="7">
        <f>tbl_Fact_Sales[[#This Row],[Daily_Demand]]*2</f>
        <v>0.9285714285714286</v>
      </c>
      <c r="X28" s="4"/>
      <c r="Y28" s="7"/>
      <c r="Z28" s="7">
        <f>tbl_Fact_Sales[[#This Row],[Daily_Demand]]*10 + tbl_Fact_Sales[[#This Row],[Safety_Stock]]</f>
        <v>5.5714285714285721</v>
      </c>
      <c r="AA28" s="7">
        <f>MAX(0, tbl_Fact_Sales[[#This Row],[Required_Stock]] - tbl_Fact_Sales[[#This Row],[Cases_SOH]])</f>
        <v>4.238095238095239</v>
      </c>
      <c r="AB28" s="7">
        <f>tbl_Fact_Sales[[#This Row],[Cases_SOH]] / tbl_Fact_Sales[[#This Row],[Daily_Demand]]</f>
        <v>2.8717948717948714</v>
      </c>
      <c r="AC28" s="7">
        <f>tbl_Fact_Sales[[#This Row],[Suggested_Order]] * tbl_Fact_Sales[[#This Row],[Daily_Demand]]</f>
        <v>1.9676870748299324</v>
      </c>
      <c r="AD28" s="7" t="str">
        <f>TRIM(tbl_Fact_Sales[[#This Row],[Parent_Product]])</f>
        <v>FANTA ORANGE</v>
      </c>
      <c r="AE28" s="7" cm="1">
        <f t="array" ref="AE28">IF(_xlfn.XLOOKUP(tbl_Fact_Sales[[#This Row],[Product_Code]], INDEX(rng_Recount, 0, 3), INDEX(rng_Recount, 0, 4), "") ="", tbl_Fact_Sales[[#This Row],[Cases_SOH]], _xlfn.XLOOKUP(tbl_Fact_Sales[[#This Row],[Product_Code]], INDEX(rng_Recount, 0, 3), INDEX(rng_Recount, 0, 4)))</f>
        <v>1.3333333333333333</v>
      </c>
      <c r="AF28" s="7">
        <f>ABS(tbl_Fact_Sales[[#This Row],[Required_Stock]] - tbl_Fact_Sales[[#This Row],[Adjusted_SOH]])</f>
        <v>4.238095238095239</v>
      </c>
      <c r="AG28" s="4" t="str">
        <f>IF(tbl_Fact_Sales[[#This Row],[Recount_Variance]]&lt;=10, "Acceptable", IF(tbl_Fact_Sales[[#This Row],[Recount_Variance]]&lt;=50, "Check", "Problem"))</f>
        <v>Acceptable</v>
      </c>
    </row>
    <row r="29" spans="1:33" x14ac:dyDescent="0.25">
      <c r="A29" s="4">
        <v>1217</v>
      </c>
      <c r="B29" s="4">
        <v>87126396</v>
      </c>
      <c r="C29" s="4" t="s">
        <v>38</v>
      </c>
      <c r="D29" s="4" t="s">
        <v>19</v>
      </c>
      <c r="E29" s="4">
        <v>90</v>
      </c>
      <c r="F29" s="5">
        <v>7364.9031000000004</v>
      </c>
      <c r="G29" s="4">
        <v>1183</v>
      </c>
      <c r="H29" s="4">
        <v>21.05</v>
      </c>
      <c r="I29" s="4">
        <v>94</v>
      </c>
      <c r="J29" s="4">
        <v>4</v>
      </c>
      <c r="K29" s="4" t="s">
        <v>19</v>
      </c>
      <c r="L29" s="6">
        <v>0.21050000000000002</v>
      </c>
      <c r="M29" s="4" t="str">
        <f>tbl_Fact_Sales[[#This Row],[Size_Clean]]</f>
        <v>500ML</v>
      </c>
      <c r="N29" s="4">
        <f>_xlfn.XLOOKUP(tbl_Fact_Sales[[#This Row],[Pack_Size]], tbl_Size_Map[Size_Clean], tbl_Size_Map[Units_Per_Case])</f>
        <v>12</v>
      </c>
      <c r="O29" s="7">
        <f>tbl_Fact_Sales[[#This Row],[Units_Sold]] / tbl_Fact_Sales[[#This Row],[Units_Per_Pack]]</f>
        <v>7.833333333333333</v>
      </c>
      <c r="P29" s="7">
        <f>tbl_Fact_Sales[[#This Row],[SOH]] / tbl_Fact_Sales[[#This Row],[Units_Per_Pack]]</f>
        <v>7.5</v>
      </c>
      <c r="Q29" s="4" t="s">
        <v>38</v>
      </c>
      <c r="R29" s="4">
        <f>SUMIFS(tbl_Fact_Sales[Units_Sold], tbl_Fact_Sales[Parent_Product], tbl_Fact_Sales[[#This Row],[Parent_Product]])</f>
        <v>229</v>
      </c>
      <c r="S29" s="4" t="str">
        <f>IF(ABS(tbl_Fact_Sales[[#This Row],[Parent_Total_Units]])&lt;0.0001, "Balanced", "Investigate")</f>
        <v>Investigate</v>
      </c>
      <c r="T29" s="4">
        <f>tbl_Fact_Sales[[#This Row],[Parent_Total_Units]]</f>
        <v>229</v>
      </c>
      <c r="U29" s="4" t="str">
        <f>IF(ABS(tbl_Fact_Sales[[#This Row],[Parent_Total_Units]])&lt;=50, "Acceptable", IF(ABS(tbl_Fact_Sales[[#This Row],[Parent_Total_Units]])&lt;=250, "Check", "Problem"))</f>
        <v>Check</v>
      </c>
      <c r="V29" s="7">
        <f>tbl_Fact_Sales[[#This Row],[Cases_Sold2]]/7</f>
        <v>1.1190476190476191</v>
      </c>
      <c r="W29" s="7">
        <f>tbl_Fact_Sales[[#This Row],[Daily_Demand]]*2</f>
        <v>2.2380952380952381</v>
      </c>
      <c r="X29" s="4"/>
      <c r="Y29" s="7"/>
      <c r="Z29" s="7">
        <f>tbl_Fact_Sales[[#This Row],[Daily_Demand]]*10 + tbl_Fact_Sales[[#This Row],[Safety_Stock]]</f>
        <v>13.428571428571427</v>
      </c>
      <c r="AA29" s="7">
        <f>MAX(0, tbl_Fact_Sales[[#This Row],[Required_Stock]] - tbl_Fact_Sales[[#This Row],[Cases_SOH]])</f>
        <v>5.928571428571427</v>
      </c>
      <c r="AB29" s="7">
        <f>tbl_Fact_Sales[[#This Row],[Cases_SOH]] / tbl_Fact_Sales[[#This Row],[Daily_Demand]]</f>
        <v>6.7021276595744679</v>
      </c>
      <c r="AC29" s="7">
        <f>tbl_Fact_Sales[[#This Row],[Suggested_Order]] * tbl_Fact_Sales[[#This Row],[Daily_Demand]]</f>
        <v>6.6343537414965974</v>
      </c>
      <c r="AD29" s="7" t="str">
        <f>TRIM(tbl_Fact_Sales[[#This Row],[Parent_Product]])</f>
        <v>FANTA ORANGE</v>
      </c>
      <c r="AE29" s="7" cm="1">
        <f t="array" ref="AE29">IF(_xlfn.XLOOKUP(tbl_Fact_Sales[[#This Row],[Product_Code]], INDEX(rng_Recount, 0, 3), INDEX(rng_Recount, 0, 4), "") ="", tbl_Fact_Sales[[#This Row],[Cases_SOH]], _xlfn.XLOOKUP(tbl_Fact_Sales[[#This Row],[Product_Code]], INDEX(rng_Recount, 0, 3), INDEX(rng_Recount, 0, 4)))</f>
        <v>7.5</v>
      </c>
      <c r="AF29" s="7">
        <f>ABS(tbl_Fact_Sales[[#This Row],[Required_Stock]] - tbl_Fact_Sales[[#This Row],[Adjusted_SOH]])</f>
        <v>5.928571428571427</v>
      </c>
      <c r="AG29" s="4" t="str">
        <f>IF(tbl_Fact_Sales[[#This Row],[Recount_Variance]]&lt;=10, "Acceptable", IF(tbl_Fact_Sales[[#This Row],[Recount_Variance]]&lt;=50, "Check", "Problem"))</f>
        <v>Acceptable</v>
      </c>
    </row>
    <row r="30" spans="1:33" x14ac:dyDescent="0.25">
      <c r="A30" s="4">
        <v>1225</v>
      </c>
      <c r="B30" s="4">
        <v>5449000000000</v>
      </c>
      <c r="C30" s="4" t="s">
        <v>38</v>
      </c>
      <c r="D30" s="4" t="s">
        <v>13</v>
      </c>
      <c r="E30" s="4">
        <v>0</v>
      </c>
      <c r="F30" s="5">
        <v>3086.71</v>
      </c>
      <c r="G30" s="4">
        <v>242</v>
      </c>
      <c r="H30" s="4">
        <v>9.0500000000000007</v>
      </c>
      <c r="I30" s="4">
        <v>38</v>
      </c>
      <c r="J30" s="4">
        <v>6</v>
      </c>
      <c r="K30" s="4" t="s">
        <v>14</v>
      </c>
      <c r="L30" s="6">
        <v>9.0500000000000011E-2</v>
      </c>
      <c r="M30" s="4" t="str">
        <f>tbl_Fact_Sales[[#This Row],[Size_Clean]]</f>
        <v>2L</v>
      </c>
      <c r="N30" s="4">
        <f>_xlfn.XLOOKUP(tbl_Fact_Sales[[#This Row],[Pack_Size]], tbl_Size_Map[Size_Clean], tbl_Size_Map[Units_Per_Case])</f>
        <v>6</v>
      </c>
      <c r="O30" s="7">
        <f>tbl_Fact_Sales[[#This Row],[Units_Sold]] / tbl_Fact_Sales[[#This Row],[Units_Per_Pack]]</f>
        <v>6.333333333333333</v>
      </c>
      <c r="P30" s="7">
        <f>tbl_Fact_Sales[[#This Row],[SOH]] / tbl_Fact_Sales[[#This Row],[Units_Per_Pack]]</f>
        <v>0</v>
      </c>
      <c r="Q30" s="4" t="s">
        <v>38</v>
      </c>
      <c r="R30" s="4">
        <f>SUMIFS(tbl_Fact_Sales[Units_Sold], tbl_Fact_Sales[Parent_Product], tbl_Fact_Sales[[#This Row],[Parent_Product]])</f>
        <v>229</v>
      </c>
      <c r="S30" s="4" t="str">
        <f>IF(ABS(tbl_Fact_Sales[[#This Row],[Parent_Total_Units]])&lt;0.0001, "Balanced", "Investigate")</f>
        <v>Investigate</v>
      </c>
      <c r="T30" s="4">
        <f>tbl_Fact_Sales[[#This Row],[Parent_Total_Units]]</f>
        <v>229</v>
      </c>
      <c r="U30" s="4" t="str">
        <f>IF(ABS(tbl_Fact_Sales[[#This Row],[Parent_Total_Units]])&lt;=50, "Acceptable", IF(ABS(tbl_Fact_Sales[[#This Row],[Parent_Total_Units]])&lt;=250, "Check", "Problem"))</f>
        <v>Check</v>
      </c>
      <c r="V30" s="7">
        <f>tbl_Fact_Sales[[#This Row],[Cases_Sold2]]/7</f>
        <v>0.90476190476190477</v>
      </c>
      <c r="W30" s="7">
        <f>tbl_Fact_Sales[[#This Row],[Daily_Demand]]*2</f>
        <v>1.8095238095238095</v>
      </c>
      <c r="X30" s="4"/>
      <c r="Y30" s="7"/>
      <c r="Z30" s="7">
        <f>tbl_Fact_Sales[[#This Row],[Daily_Demand]]*10 + tbl_Fact_Sales[[#This Row],[Safety_Stock]]</f>
        <v>10.857142857142858</v>
      </c>
      <c r="AA30" s="7">
        <f>MAX(0, tbl_Fact_Sales[[#This Row],[Required_Stock]] - tbl_Fact_Sales[[#This Row],[Cases_SOH]])</f>
        <v>10.857142857142858</v>
      </c>
      <c r="AB30" s="7">
        <f>tbl_Fact_Sales[[#This Row],[Cases_SOH]] / tbl_Fact_Sales[[#This Row],[Daily_Demand]]</f>
        <v>0</v>
      </c>
      <c r="AC30" s="7">
        <f>tbl_Fact_Sales[[#This Row],[Suggested_Order]] * tbl_Fact_Sales[[#This Row],[Daily_Demand]]</f>
        <v>9.8231292517006814</v>
      </c>
      <c r="AD30" s="7" t="str">
        <f>TRIM(tbl_Fact_Sales[[#This Row],[Parent_Product]])</f>
        <v>FANTA ORANGE</v>
      </c>
      <c r="AE30" s="7" cm="1">
        <f t="array" ref="AE30">IF(_xlfn.XLOOKUP(tbl_Fact_Sales[[#This Row],[Product_Code]], INDEX(rng_Recount, 0, 3), INDEX(rng_Recount, 0, 4), "") ="", tbl_Fact_Sales[[#This Row],[Cases_SOH]], _xlfn.XLOOKUP(tbl_Fact_Sales[[#This Row],[Product_Code]], INDEX(rng_Recount, 0, 3), INDEX(rng_Recount, 0, 4)))</f>
        <v>0</v>
      </c>
      <c r="AF30" s="7">
        <f>ABS(tbl_Fact_Sales[[#This Row],[Required_Stock]] - tbl_Fact_Sales[[#This Row],[Adjusted_SOH]])</f>
        <v>10.857142857142858</v>
      </c>
      <c r="AG30" s="4" t="str">
        <f>IF(tbl_Fact_Sales[[#This Row],[Recount_Variance]]&lt;=10, "Acceptable", IF(tbl_Fact_Sales[[#This Row],[Recount_Variance]]&lt;=50, "Check", "Problem"))</f>
        <v>Check</v>
      </c>
    </row>
    <row r="31" spans="1:33" x14ac:dyDescent="0.25">
      <c r="A31" s="4">
        <v>79506</v>
      </c>
      <c r="B31" s="4">
        <v>121</v>
      </c>
      <c r="C31" s="4" t="s">
        <v>38</v>
      </c>
      <c r="D31" s="4" t="s">
        <v>27</v>
      </c>
      <c r="E31" s="4">
        <v>-2</v>
      </c>
      <c r="F31" s="5">
        <v>171.06</v>
      </c>
      <c r="G31" s="4">
        <v>2</v>
      </c>
      <c r="H31" s="4">
        <v>11.36</v>
      </c>
      <c r="I31" s="4">
        <v>2</v>
      </c>
      <c r="J31" s="4">
        <v>0</v>
      </c>
      <c r="K31" s="4" t="s">
        <v>27</v>
      </c>
      <c r="L31" s="6">
        <v>0.11359999999999999</v>
      </c>
      <c r="M31" s="4" t="str">
        <f>tbl_Fact_Sales[[#This Row],[Size_Clean]]</f>
        <v>330ML</v>
      </c>
      <c r="N31" s="4">
        <f>_xlfn.XLOOKUP(tbl_Fact_Sales[[#This Row],[Pack_Size]], tbl_Size_Map[Size_Clean], tbl_Size_Map[Units_Per_Case])</f>
        <v>24</v>
      </c>
      <c r="O31" s="7">
        <f>tbl_Fact_Sales[[#This Row],[Units_Sold]] / tbl_Fact_Sales[[#This Row],[Units_Per_Pack]]</f>
        <v>8.3333333333333329E-2</v>
      </c>
      <c r="P31" s="7">
        <f>tbl_Fact_Sales[[#This Row],[SOH]] / tbl_Fact_Sales[[#This Row],[Units_Per_Pack]]</f>
        <v>-8.3333333333333329E-2</v>
      </c>
      <c r="Q31" s="4" t="s">
        <v>38</v>
      </c>
      <c r="R31" s="4">
        <f>SUMIFS(tbl_Fact_Sales[Units_Sold], tbl_Fact_Sales[Parent_Product], tbl_Fact_Sales[[#This Row],[Parent_Product]])</f>
        <v>229</v>
      </c>
      <c r="S31" s="4" t="str">
        <f>IF(ABS(tbl_Fact_Sales[[#This Row],[Parent_Total_Units]])&lt;0.0001, "Balanced", "Investigate")</f>
        <v>Investigate</v>
      </c>
      <c r="T31" s="4">
        <f>tbl_Fact_Sales[[#This Row],[Parent_Total_Units]]</f>
        <v>229</v>
      </c>
      <c r="U31" s="4" t="str">
        <f>IF(ABS(tbl_Fact_Sales[[#This Row],[Parent_Total_Units]])&lt;=50, "Acceptable", IF(ABS(tbl_Fact_Sales[[#This Row],[Parent_Total_Units]])&lt;=250, "Check", "Problem"))</f>
        <v>Check</v>
      </c>
      <c r="V31" s="7">
        <f>tbl_Fact_Sales[[#This Row],[Cases_Sold2]]/7</f>
        <v>1.1904761904761904E-2</v>
      </c>
      <c r="W31" s="7">
        <f>tbl_Fact_Sales[[#This Row],[Daily_Demand]]*2</f>
        <v>2.3809523809523808E-2</v>
      </c>
      <c r="X31" s="4"/>
      <c r="Y31" s="7"/>
      <c r="Z31" s="7">
        <f>tbl_Fact_Sales[[#This Row],[Daily_Demand]]*10 + tbl_Fact_Sales[[#This Row],[Safety_Stock]]</f>
        <v>0.14285714285714285</v>
      </c>
      <c r="AA31" s="7">
        <f>MAX(0, tbl_Fact_Sales[[#This Row],[Required_Stock]] - tbl_Fact_Sales[[#This Row],[Cases_SOH]])</f>
        <v>0.22619047619047616</v>
      </c>
      <c r="AB31" s="7">
        <f>tbl_Fact_Sales[[#This Row],[Cases_SOH]] / tbl_Fact_Sales[[#This Row],[Daily_Demand]]</f>
        <v>-7</v>
      </c>
      <c r="AC31" s="7">
        <f>tbl_Fact_Sales[[#This Row],[Suggested_Order]] * tbl_Fact_Sales[[#This Row],[Daily_Demand]]</f>
        <v>2.6927437641723353E-3</v>
      </c>
      <c r="AD31" s="7" t="str">
        <f>TRIM(tbl_Fact_Sales[[#This Row],[Parent_Product]])</f>
        <v>FANTA ORANGE</v>
      </c>
      <c r="AE31" s="7" cm="1">
        <f t="array" ref="AE31">IF(_xlfn.XLOOKUP(tbl_Fact_Sales[[#This Row],[Product_Code]], INDEX(rng_Recount, 0, 3), INDEX(rng_Recount, 0, 4), "") ="", tbl_Fact_Sales[[#This Row],[Cases_SOH]], _xlfn.XLOOKUP(tbl_Fact_Sales[[#This Row],[Product_Code]], INDEX(rng_Recount, 0, 3), INDEX(rng_Recount, 0, 4)))</f>
        <v>-8.3333333333333329E-2</v>
      </c>
      <c r="AF31" s="7">
        <f>ABS(tbl_Fact_Sales[[#This Row],[Required_Stock]] - tbl_Fact_Sales[[#This Row],[Adjusted_SOH]])</f>
        <v>0.22619047619047616</v>
      </c>
      <c r="AG31" s="4" t="str">
        <f>IF(tbl_Fact_Sales[[#This Row],[Recount_Variance]]&lt;=10, "Acceptable", IF(tbl_Fact_Sales[[#This Row],[Recount_Variance]]&lt;=50, "Check", "Problem"))</f>
        <v>Acceptable</v>
      </c>
    </row>
    <row r="32" spans="1:33" x14ac:dyDescent="0.25">
      <c r="A32" s="4">
        <v>22383</v>
      </c>
      <c r="B32" s="4">
        <v>5449000000000</v>
      </c>
      <c r="C32" s="4" t="s">
        <v>40</v>
      </c>
      <c r="D32" s="4" t="s">
        <v>27</v>
      </c>
      <c r="E32" s="4">
        <v>33</v>
      </c>
      <c r="F32" s="5">
        <v>2508.0547999999999</v>
      </c>
      <c r="G32" s="4">
        <v>509</v>
      </c>
      <c r="H32" s="4">
        <v>23.72</v>
      </c>
      <c r="I32" s="4">
        <v>46</v>
      </c>
      <c r="J32" s="4">
        <v>2</v>
      </c>
      <c r="K32" s="4" t="s">
        <v>27</v>
      </c>
      <c r="L32" s="6">
        <v>0.23719999999999999</v>
      </c>
      <c r="M32" s="4" t="str">
        <f>tbl_Fact_Sales[[#This Row],[Size_Clean]]</f>
        <v>330ML</v>
      </c>
      <c r="N32" s="4">
        <f>_xlfn.XLOOKUP(tbl_Fact_Sales[[#This Row],[Pack_Size]], tbl_Size_Map[Size_Clean], tbl_Size_Map[Units_Per_Case])</f>
        <v>24</v>
      </c>
      <c r="O32" s="7">
        <f>tbl_Fact_Sales[[#This Row],[Units_Sold]] / tbl_Fact_Sales[[#This Row],[Units_Per_Pack]]</f>
        <v>1.9166666666666667</v>
      </c>
      <c r="P32" s="7">
        <f>tbl_Fact_Sales[[#This Row],[SOH]] / tbl_Fact_Sales[[#This Row],[Units_Per_Pack]]</f>
        <v>1.375</v>
      </c>
      <c r="Q32" s="4" t="s">
        <v>93</v>
      </c>
      <c r="R32" s="4">
        <f>SUMIFS(tbl_Fact_Sales[Units_Sold], tbl_Fact_Sales[Parent_Product], tbl_Fact_Sales[[#This Row],[Parent_Product]])</f>
        <v>125</v>
      </c>
      <c r="S32" s="4" t="str">
        <f>IF(ABS(tbl_Fact_Sales[[#This Row],[Parent_Total_Units]])&lt;0.0001, "Balanced", "Investigate")</f>
        <v>Investigate</v>
      </c>
      <c r="T32" s="4">
        <f>tbl_Fact_Sales[[#This Row],[Parent_Total_Units]]</f>
        <v>125</v>
      </c>
      <c r="U32" s="4" t="str">
        <f>IF(ABS(tbl_Fact_Sales[[#This Row],[Parent_Total_Units]])&lt;=50, "Acceptable", IF(ABS(tbl_Fact_Sales[[#This Row],[Parent_Total_Units]])&lt;=250, "Check", "Problem"))</f>
        <v>Check</v>
      </c>
      <c r="V32" s="7">
        <f>tbl_Fact_Sales[[#This Row],[Cases_Sold2]]/7</f>
        <v>0.27380952380952384</v>
      </c>
      <c r="W32" s="7">
        <f>tbl_Fact_Sales[[#This Row],[Daily_Demand]]*2</f>
        <v>0.54761904761904767</v>
      </c>
      <c r="X32" s="4"/>
      <c r="Y32" s="7"/>
      <c r="Z32" s="7">
        <f>tbl_Fact_Sales[[#This Row],[Daily_Demand]]*10 + tbl_Fact_Sales[[#This Row],[Safety_Stock]]</f>
        <v>3.2857142857142856</v>
      </c>
      <c r="AA32" s="7">
        <f>MAX(0, tbl_Fact_Sales[[#This Row],[Required_Stock]] - tbl_Fact_Sales[[#This Row],[Cases_SOH]])</f>
        <v>1.9107142857142856</v>
      </c>
      <c r="AB32" s="7">
        <f>tbl_Fact_Sales[[#This Row],[Cases_SOH]] / tbl_Fact_Sales[[#This Row],[Daily_Demand]]</f>
        <v>5.0217391304347823</v>
      </c>
      <c r="AC32" s="7">
        <f>tbl_Fact_Sales[[#This Row],[Suggested_Order]] * tbl_Fact_Sales[[#This Row],[Daily_Demand]]</f>
        <v>0.52317176870748305</v>
      </c>
      <c r="AD32" s="7" t="str">
        <f>TRIM(tbl_Fact_Sales[[#This Row],[Parent_Product]])</f>
        <v>FANTA PINEAPPLE</v>
      </c>
      <c r="AE32" s="7" cm="1">
        <f t="array" ref="AE32">IF(_xlfn.XLOOKUP(tbl_Fact_Sales[[#This Row],[Product_Code]], INDEX(rng_Recount, 0, 3), INDEX(rng_Recount, 0, 4), "") ="", tbl_Fact_Sales[[#This Row],[Cases_SOH]], _xlfn.XLOOKUP(tbl_Fact_Sales[[#This Row],[Product_Code]], INDEX(rng_Recount, 0, 3), INDEX(rng_Recount, 0, 4)))</f>
        <v>1.375</v>
      </c>
      <c r="AF32" s="7">
        <f>ABS(tbl_Fact_Sales[[#This Row],[Required_Stock]] - tbl_Fact_Sales[[#This Row],[Adjusted_SOH]])</f>
        <v>1.9107142857142856</v>
      </c>
      <c r="AG32" s="4" t="str">
        <f>IF(tbl_Fact_Sales[[#This Row],[Recount_Variance]]&lt;=10, "Acceptable", IF(tbl_Fact_Sales[[#This Row],[Recount_Variance]]&lt;=50, "Check", "Problem"))</f>
        <v>Acceptable</v>
      </c>
    </row>
    <row r="33" spans="1:33" x14ac:dyDescent="0.25">
      <c r="A33" s="4">
        <v>11456</v>
      </c>
      <c r="B33" s="4">
        <v>50112203</v>
      </c>
      <c r="C33" s="4" t="s">
        <v>40</v>
      </c>
      <c r="D33" s="4" t="s">
        <v>19</v>
      </c>
      <c r="E33" s="4">
        <v>37</v>
      </c>
      <c r="F33" s="5">
        <v>6465.3148000000001</v>
      </c>
      <c r="G33" s="4">
        <v>1038</v>
      </c>
      <c r="H33" s="4">
        <v>21.01</v>
      </c>
      <c r="I33" s="4">
        <v>124</v>
      </c>
      <c r="J33" s="4">
        <v>5</v>
      </c>
      <c r="K33" s="4" t="s">
        <v>19</v>
      </c>
      <c r="L33" s="6">
        <v>0.21010000000000001</v>
      </c>
      <c r="M33" s="4" t="str">
        <f>tbl_Fact_Sales[[#This Row],[Size_Clean]]</f>
        <v>500ML</v>
      </c>
      <c r="N33" s="4">
        <f>_xlfn.XLOOKUP(tbl_Fact_Sales[[#This Row],[Pack_Size]], tbl_Size_Map[Size_Clean], tbl_Size_Map[Units_Per_Case])</f>
        <v>12</v>
      </c>
      <c r="O33" s="7">
        <f>tbl_Fact_Sales[[#This Row],[Units_Sold]] / tbl_Fact_Sales[[#This Row],[Units_Per_Pack]]</f>
        <v>10.333333333333334</v>
      </c>
      <c r="P33" s="7">
        <f>tbl_Fact_Sales[[#This Row],[SOH]] / tbl_Fact_Sales[[#This Row],[Units_Per_Pack]]</f>
        <v>3.0833333333333335</v>
      </c>
      <c r="Q33" s="4" t="s">
        <v>93</v>
      </c>
      <c r="R33" s="4">
        <f>SUMIFS(tbl_Fact_Sales[Units_Sold], tbl_Fact_Sales[Parent_Product], tbl_Fact_Sales[[#This Row],[Parent_Product]])</f>
        <v>125</v>
      </c>
      <c r="S33" s="4" t="str">
        <f>IF(ABS(tbl_Fact_Sales[[#This Row],[Parent_Total_Units]])&lt;0.0001, "Balanced", "Investigate")</f>
        <v>Investigate</v>
      </c>
      <c r="T33" s="4">
        <f>tbl_Fact_Sales[[#This Row],[Parent_Total_Units]]</f>
        <v>125</v>
      </c>
      <c r="U33" s="4" t="str">
        <f>IF(ABS(tbl_Fact_Sales[[#This Row],[Parent_Total_Units]])&lt;=50, "Acceptable", IF(ABS(tbl_Fact_Sales[[#This Row],[Parent_Total_Units]])&lt;=250, "Check", "Problem"))</f>
        <v>Check</v>
      </c>
      <c r="V33" s="7">
        <f>tbl_Fact_Sales[[#This Row],[Cases_Sold2]]/7</f>
        <v>1.4761904761904763</v>
      </c>
      <c r="W33" s="7">
        <f>tbl_Fact_Sales[[#This Row],[Daily_Demand]]*2</f>
        <v>2.9523809523809526</v>
      </c>
      <c r="X33" s="4"/>
      <c r="Y33" s="7"/>
      <c r="Z33" s="7">
        <f>tbl_Fact_Sales[[#This Row],[Daily_Demand]]*10 + tbl_Fact_Sales[[#This Row],[Safety_Stock]]</f>
        <v>17.714285714285715</v>
      </c>
      <c r="AA33" s="7">
        <f>MAX(0, tbl_Fact_Sales[[#This Row],[Required_Stock]] - tbl_Fact_Sales[[#This Row],[Cases_SOH]])</f>
        <v>14.630952380952381</v>
      </c>
      <c r="AB33" s="7">
        <f>tbl_Fact_Sales[[#This Row],[Cases_SOH]] / tbl_Fact_Sales[[#This Row],[Daily_Demand]]</f>
        <v>2.088709677419355</v>
      </c>
      <c r="AC33" s="7">
        <f>tbl_Fact_Sales[[#This Row],[Suggested_Order]] * tbl_Fact_Sales[[#This Row],[Daily_Demand]]</f>
        <v>21.598072562358279</v>
      </c>
      <c r="AD33" s="7" t="str">
        <f>TRIM(tbl_Fact_Sales[[#This Row],[Parent_Product]])</f>
        <v>FANTA PINEAPPLE</v>
      </c>
      <c r="AE33" s="7" cm="1">
        <f t="array" ref="AE33">IF(_xlfn.XLOOKUP(tbl_Fact_Sales[[#This Row],[Product_Code]], INDEX(rng_Recount, 0, 3), INDEX(rng_Recount, 0, 4), "") ="", tbl_Fact_Sales[[#This Row],[Cases_SOH]], _xlfn.XLOOKUP(tbl_Fact_Sales[[#This Row],[Product_Code]], INDEX(rng_Recount, 0, 3), INDEX(rng_Recount, 0, 4)))</f>
        <v>3.0833333333333335</v>
      </c>
      <c r="AF33" s="7">
        <f>ABS(tbl_Fact_Sales[[#This Row],[Required_Stock]] - tbl_Fact_Sales[[#This Row],[Adjusted_SOH]])</f>
        <v>14.630952380952381</v>
      </c>
      <c r="AG33" s="4" t="str">
        <f>IF(tbl_Fact_Sales[[#This Row],[Recount_Variance]]&lt;=10, "Acceptable", IF(tbl_Fact_Sales[[#This Row],[Recount_Variance]]&lt;=50, "Check", "Problem"))</f>
        <v>Check</v>
      </c>
    </row>
    <row r="34" spans="1:33" x14ac:dyDescent="0.25">
      <c r="A34" s="4">
        <v>6061</v>
      </c>
      <c r="B34" s="4">
        <v>5449000000000</v>
      </c>
      <c r="C34" s="4" t="s">
        <v>40</v>
      </c>
      <c r="D34" s="4" t="s">
        <v>13</v>
      </c>
      <c r="E34" s="4">
        <v>229</v>
      </c>
      <c r="F34" s="5">
        <v>13611.9915</v>
      </c>
      <c r="G34" s="4">
        <v>1184</v>
      </c>
      <c r="H34" s="4">
        <v>15.55</v>
      </c>
      <c r="I34" s="4">
        <v>-45</v>
      </c>
      <c r="J34" s="4">
        <v>-7</v>
      </c>
      <c r="K34" s="4" t="s">
        <v>14</v>
      </c>
      <c r="L34" s="6">
        <v>0.1555</v>
      </c>
      <c r="M34" s="4" t="str">
        <f>tbl_Fact_Sales[[#This Row],[Size_Clean]]</f>
        <v>2L</v>
      </c>
      <c r="N34" s="4">
        <f>_xlfn.XLOOKUP(tbl_Fact_Sales[[#This Row],[Pack_Size]], tbl_Size_Map[Size_Clean], tbl_Size_Map[Units_Per_Case])</f>
        <v>6</v>
      </c>
      <c r="O34" s="7">
        <f>tbl_Fact_Sales[[#This Row],[Units_Sold]] / tbl_Fact_Sales[[#This Row],[Units_Per_Pack]]</f>
        <v>-7.5</v>
      </c>
      <c r="P34" s="7">
        <f>tbl_Fact_Sales[[#This Row],[SOH]] / tbl_Fact_Sales[[#This Row],[Units_Per_Pack]]</f>
        <v>38.166666666666664</v>
      </c>
      <c r="Q34" s="4" t="s">
        <v>93</v>
      </c>
      <c r="R34" s="4">
        <f>SUMIFS(tbl_Fact_Sales[Units_Sold], tbl_Fact_Sales[Parent_Product], tbl_Fact_Sales[[#This Row],[Parent_Product]])</f>
        <v>125</v>
      </c>
      <c r="S34" s="4" t="str">
        <f>IF(ABS(tbl_Fact_Sales[[#This Row],[Parent_Total_Units]])&lt;0.0001, "Balanced", "Investigate")</f>
        <v>Investigate</v>
      </c>
      <c r="T34" s="4">
        <f>tbl_Fact_Sales[[#This Row],[Parent_Total_Units]]</f>
        <v>125</v>
      </c>
      <c r="U34" s="4" t="str">
        <f>IF(ABS(tbl_Fact_Sales[[#This Row],[Parent_Total_Units]])&lt;=50, "Acceptable", IF(ABS(tbl_Fact_Sales[[#This Row],[Parent_Total_Units]])&lt;=250, "Check", "Problem"))</f>
        <v>Check</v>
      </c>
      <c r="V34" s="7">
        <f>tbl_Fact_Sales[[#This Row],[Cases_Sold2]]/7</f>
        <v>-1.0714285714285714</v>
      </c>
      <c r="W34" s="7">
        <f>tbl_Fact_Sales[[#This Row],[Daily_Demand]]*2</f>
        <v>-2.1428571428571428</v>
      </c>
      <c r="X34" s="4"/>
      <c r="Y34" s="7"/>
      <c r="Z34" s="7">
        <f>tbl_Fact_Sales[[#This Row],[Daily_Demand]]*10 + tbl_Fact_Sales[[#This Row],[Safety_Stock]]</f>
        <v>-12.857142857142856</v>
      </c>
      <c r="AA34" s="7">
        <f>MAX(0, tbl_Fact_Sales[[#This Row],[Required_Stock]] - tbl_Fact_Sales[[#This Row],[Cases_SOH]])</f>
        <v>0</v>
      </c>
      <c r="AB34" s="7">
        <f>tbl_Fact_Sales[[#This Row],[Cases_SOH]] / tbl_Fact_Sales[[#This Row],[Daily_Demand]]</f>
        <v>-35.62222222222222</v>
      </c>
      <c r="AC34" s="7">
        <f>tbl_Fact_Sales[[#This Row],[Suggested_Order]] * tbl_Fact_Sales[[#This Row],[Daily_Demand]]</f>
        <v>0</v>
      </c>
      <c r="AD34" s="7" t="str">
        <f>TRIM(tbl_Fact_Sales[[#This Row],[Parent_Product]])</f>
        <v>FANTA PINEAPPLE</v>
      </c>
      <c r="AE34" s="7" cm="1">
        <f t="array" ref="AE34">IF(_xlfn.XLOOKUP(tbl_Fact_Sales[[#This Row],[Product_Code]], INDEX(rng_Recount, 0, 3), INDEX(rng_Recount, 0, 4), "") ="", tbl_Fact_Sales[[#This Row],[Cases_SOH]], _xlfn.XLOOKUP(tbl_Fact_Sales[[#This Row],[Product_Code]], INDEX(rng_Recount, 0, 3), INDEX(rng_Recount, 0, 4)))</f>
        <v>38.166666666666664</v>
      </c>
      <c r="AF34" s="7">
        <f>ABS(tbl_Fact_Sales[[#This Row],[Required_Stock]] - tbl_Fact_Sales[[#This Row],[Adjusted_SOH]])</f>
        <v>51.023809523809518</v>
      </c>
      <c r="AG34" s="4" t="str">
        <f>IF(tbl_Fact_Sales[[#This Row],[Recount_Variance]]&lt;=10, "Acceptable", IF(tbl_Fact_Sales[[#This Row],[Recount_Variance]]&lt;=50, "Check", "Problem"))</f>
        <v>Problem</v>
      </c>
    </row>
    <row r="35" spans="1:33" x14ac:dyDescent="0.25">
      <c r="A35" s="4">
        <v>15306</v>
      </c>
      <c r="B35" s="4">
        <v>6001050000000</v>
      </c>
      <c r="C35" s="4" t="s">
        <v>35</v>
      </c>
      <c r="D35" s="4" t="s">
        <v>36</v>
      </c>
      <c r="E35" s="4">
        <v>17</v>
      </c>
      <c r="F35" s="5">
        <v>1564.5083999999999</v>
      </c>
      <c r="G35" s="4">
        <v>198</v>
      </c>
      <c r="H35" s="4">
        <v>21.03</v>
      </c>
      <c r="I35" s="4">
        <v>14</v>
      </c>
      <c r="J35" s="4">
        <v>1</v>
      </c>
      <c r="K35" s="4" t="s">
        <v>36</v>
      </c>
      <c r="L35" s="6">
        <v>0.21030000000000001</v>
      </c>
      <c r="M35" s="4" t="str">
        <f>tbl_Fact_Sales[[#This Row],[Size_Clean]]</f>
        <v>275ML</v>
      </c>
      <c r="N35" s="4">
        <f>_xlfn.XLOOKUP(tbl_Fact_Sales[[#This Row],[Pack_Size]], tbl_Size_Map[Size_Clean], tbl_Size_Map[Units_Per_Case])</f>
        <v>24</v>
      </c>
      <c r="O35" s="7">
        <f>tbl_Fact_Sales[[#This Row],[Units_Sold]] / tbl_Fact_Sales[[#This Row],[Units_Per_Pack]]</f>
        <v>0.58333333333333337</v>
      </c>
      <c r="P35" s="7">
        <f>tbl_Fact_Sales[[#This Row],[SOH]] / tbl_Fact_Sales[[#This Row],[Units_Per_Pack]]</f>
        <v>0.70833333333333337</v>
      </c>
      <c r="Q35" s="4" t="s">
        <v>35</v>
      </c>
      <c r="R35" s="4">
        <f>SUMIFS(tbl_Fact_Sales[Units_Sold], tbl_Fact_Sales[Parent_Product], tbl_Fact_Sales[[#This Row],[Parent_Product]])</f>
        <v>14</v>
      </c>
      <c r="S35" s="4" t="str">
        <f>IF(ABS(tbl_Fact_Sales[[#This Row],[Parent_Total_Units]])&lt;0.0001, "Balanced", "Investigate")</f>
        <v>Investigate</v>
      </c>
      <c r="T35" s="4">
        <f>tbl_Fact_Sales[[#This Row],[Parent_Total_Units]]</f>
        <v>14</v>
      </c>
      <c r="U35" s="4" t="str">
        <f>IF(ABS(tbl_Fact_Sales[[#This Row],[Parent_Total_Units]])&lt;=50, "Acceptable", IF(ABS(tbl_Fact_Sales[[#This Row],[Parent_Total_Units]])&lt;=250, "Check", "Problem"))</f>
        <v>Acceptable</v>
      </c>
      <c r="V35" s="7">
        <f>tbl_Fact_Sales[[#This Row],[Cases_Sold2]]/7</f>
        <v>8.3333333333333343E-2</v>
      </c>
      <c r="W35" s="7">
        <f>tbl_Fact_Sales[[#This Row],[Daily_Demand]]*2</f>
        <v>0.16666666666666669</v>
      </c>
      <c r="X35" s="4"/>
      <c r="Y35" s="7"/>
      <c r="Z35" s="7">
        <f>tbl_Fact_Sales[[#This Row],[Daily_Demand]]*10 + tbl_Fact_Sales[[#This Row],[Safety_Stock]]</f>
        <v>1.0000000000000002</v>
      </c>
      <c r="AA35" s="7">
        <f>MAX(0, tbl_Fact_Sales[[#This Row],[Required_Stock]] - tbl_Fact_Sales[[#This Row],[Cases_SOH]])</f>
        <v>0.29166666666666685</v>
      </c>
      <c r="AB35" s="7">
        <f>tbl_Fact_Sales[[#This Row],[Cases_SOH]] / tbl_Fact_Sales[[#This Row],[Daily_Demand]]</f>
        <v>8.5</v>
      </c>
      <c r="AC35" s="7">
        <f>tbl_Fact_Sales[[#This Row],[Suggested_Order]] * tbl_Fact_Sales[[#This Row],[Daily_Demand]]</f>
        <v>2.4305555555555573E-2</v>
      </c>
      <c r="AD35" s="7" t="str">
        <f>TRIM(tbl_Fact_Sales[[#This Row],[Parent_Product]])</f>
        <v>GRAPETISER RED</v>
      </c>
      <c r="AE35" s="7" cm="1">
        <f t="array" ref="AE35">IF(_xlfn.XLOOKUP(tbl_Fact_Sales[[#This Row],[Product_Code]], INDEX(rng_Recount, 0, 3), INDEX(rng_Recount, 0, 4), "") ="", tbl_Fact_Sales[[#This Row],[Cases_SOH]], _xlfn.XLOOKUP(tbl_Fact_Sales[[#This Row],[Product_Code]], INDEX(rng_Recount, 0, 3), INDEX(rng_Recount, 0, 4)))</f>
        <v>0.70833333333333337</v>
      </c>
      <c r="AF35" s="7">
        <f>ABS(tbl_Fact_Sales[[#This Row],[Required_Stock]] - tbl_Fact_Sales[[#This Row],[Adjusted_SOH]])</f>
        <v>0.29166666666666685</v>
      </c>
      <c r="AG35" s="4" t="str">
        <f>IF(tbl_Fact_Sales[[#This Row],[Recount_Variance]]&lt;=10, "Acceptable", IF(tbl_Fact_Sales[[#This Row],[Recount_Variance]]&lt;=50, "Check", "Problem"))</f>
        <v>Acceptable</v>
      </c>
    </row>
    <row r="36" spans="1:33" x14ac:dyDescent="0.25">
      <c r="A36" s="4">
        <v>6052</v>
      </c>
      <c r="B36" s="4">
        <v>6001130000000</v>
      </c>
      <c r="C36" s="4" t="s">
        <v>78</v>
      </c>
      <c r="D36" s="4" t="s">
        <v>13</v>
      </c>
      <c r="E36" s="4">
        <v>865</v>
      </c>
      <c r="F36" s="5">
        <v>23207.896400000001</v>
      </c>
      <c r="G36" s="4">
        <v>2400</v>
      </c>
      <c r="H36" s="4">
        <v>10.72</v>
      </c>
      <c r="I36" s="4">
        <v>-492</v>
      </c>
      <c r="J36" s="4">
        <v>-82</v>
      </c>
      <c r="K36" s="4" t="s">
        <v>14</v>
      </c>
      <c r="L36" s="6">
        <v>0.1072</v>
      </c>
      <c r="M36" s="4" t="str">
        <f>tbl_Fact_Sales[[#This Row],[Size_Clean]]</f>
        <v>2L</v>
      </c>
      <c r="N36" s="4">
        <f>_xlfn.XLOOKUP(tbl_Fact_Sales[[#This Row],[Pack_Size]], tbl_Size_Map[Size_Clean], tbl_Size_Map[Units_Per_Case])</f>
        <v>6</v>
      </c>
      <c r="O36" s="7">
        <f>tbl_Fact_Sales[[#This Row],[Units_Sold]] / tbl_Fact_Sales[[#This Row],[Units_Per_Pack]]</f>
        <v>-82</v>
      </c>
      <c r="P36" s="7">
        <f>tbl_Fact_Sales[[#This Row],[SOH]] / tbl_Fact_Sales[[#This Row],[Units_Per_Pack]]</f>
        <v>144.16666666666666</v>
      </c>
      <c r="Q36" s="4" t="s">
        <v>94</v>
      </c>
      <c r="R36" s="4">
        <f>SUMIFS(tbl_Fact_Sales[Units_Sold], tbl_Fact_Sales[Parent_Product], tbl_Fact_Sales[[#This Row],[Parent_Product]])</f>
        <v>-426</v>
      </c>
      <c r="S36" s="4" t="str">
        <f>IF(ABS(tbl_Fact_Sales[[#This Row],[Parent_Total_Units]])&lt;0.0001, "Balanced", "Investigate")</f>
        <v>Investigate</v>
      </c>
      <c r="T36" s="4">
        <f>tbl_Fact_Sales[[#This Row],[Parent_Total_Units]]</f>
        <v>-426</v>
      </c>
      <c r="U36" s="4" t="str">
        <f>IF(ABS(tbl_Fact_Sales[[#This Row],[Parent_Total_Units]])&lt;=50, "Acceptable", IF(ABS(tbl_Fact_Sales[[#This Row],[Parent_Total_Units]])&lt;=250, "Check", "Problem"))</f>
        <v>Problem</v>
      </c>
      <c r="V36" s="7">
        <f>tbl_Fact_Sales[[#This Row],[Cases_Sold2]]/7</f>
        <v>-11.714285714285714</v>
      </c>
      <c r="W36" s="7">
        <f>tbl_Fact_Sales[[#This Row],[Daily_Demand]]*2</f>
        <v>-23.428571428571427</v>
      </c>
      <c r="X36" s="4"/>
      <c r="Y36" s="7"/>
      <c r="Z36" s="7">
        <f>tbl_Fact_Sales[[#This Row],[Daily_Demand]]*10 + tbl_Fact_Sales[[#This Row],[Safety_Stock]]</f>
        <v>-140.57142857142856</v>
      </c>
      <c r="AA36" s="7">
        <f>MAX(0, tbl_Fact_Sales[[#This Row],[Required_Stock]] - tbl_Fact_Sales[[#This Row],[Cases_SOH]])</f>
        <v>0</v>
      </c>
      <c r="AB36" s="7">
        <f>tbl_Fact_Sales[[#This Row],[Cases_SOH]] / tbl_Fact_Sales[[#This Row],[Daily_Demand]]</f>
        <v>-12.306910569105691</v>
      </c>
      <c r="AC36" s="7">
        <f>tbl_Fact_Sales[[#This Row],[Suggested_Order]] * tbl_Fact_Sales[[#This Row],[Daily_Demand]]</f>
        <v>0</v>
      </c>
      <c r="AD36" s="7" t="str">
        <f>TRIM(tbl_Fact_Sales[[#This Row],[Parent_Product]])</f>
        <v>SPARLETTA IRON</v>
      </c>
      <c r="AE36" s="7" cm="1">
        <f t="array" ref="AE36">IF(_xlfn.XLOOKUP(tbl_Fact_Sales[[#This Row],[Product_Code]], INDEX(rng_Recount, 0, 3), INDEX(rng_Recount, 0, 4), "") ="", tbl_Fact_Sales[[#This Row],[Cases_SOH]], _xlfn.XLOOKUP(tbl_Fact_Sales[[#This Row],[Product_Code]], INDEX(rng_Recount, 0, 3), INDEX(rng_Recount, 0, 4)))</f>
        <v>144.16666666666666</v>
      </c>
      <c r="AF36" s="7">
        <f>ABS(tbl_Fact_Sales[[#This Row],[Required_Stock]] - tbl_Fact_Sales[[#This Row],[Adjusted_SOH]])</f>
        <v>284.73809523809518</v>
      </c>
      <c r="AG36" s="4" t="str">
        <f>IF(tbl_Fact_Sales[[#This Row],[Recount_Variance]]&lt;=10, "Acceptable", IF(tbl_Fact_Sales[[#This Row],[Recount_Variance]]&lt;=50, "Check", "Problem"))</f>
        <v>Problem</v>
      </c>
    </row>
    <row r="37" spans="1:33" x14ac:dyDescent="0.25">
      <c r="A37" s="4">
        <v>22885</v>
      </c>
      <c r="B37" s="4">
        <v>5449000000000</v>
      </c>
      <c r="C37" s="4" t="s">
        <v>29</v>
      </c>
      <c r="D37" s="4" t="s">
        <v>27</v>
      </c>
      <c r="E37" s="4">
        <v>19</v>
      </c>
      <c r="F37" s="5">
        <v>653.02520000000004</v>
      </c>
      <c r="G37" s="4">
        <v>106</v>
      </c>
      <c r="H37" s="4">
        <v>20.41</v>
      </c>
      <c r="I37" s="4">
        <v>-3</v>
      </c>
      <c r="J37" s="4">
        <v>0</v>
      </c>
      <c r="K37" s="4" t="s">
        <v>27</v>
      </c>
      <c r="L37" s="6">
        <v>0.2041</v>
      </c>
      <c r="M37" s="4" t="str">
        <f>tbl_Fact_Sales[[#This Row],[Size_Clean]]</f>
        <v>330ML</v>
      </c>
      <c r="N37" s="4">
        <f>_xlfn.XLOOKUP(tbl_Fact_Sales[[#This Row],[Pack_Size]], tbl_Size_Map[Size_Clean], tbl_Size_Map[Units_Per_Case])</f>
        <v>24</v>
      </c>
      <c r="O37" s="7">
        <f>tbl_Fact_Sales[[#This Row],[Units_Sold]] / tbl_Fact_Sales[[#This Row],[Units_Per_Pack]]</f>
        <v>-0.125</v>
      </c>
      <c r="P37" s="7">
        <f>tbl_Fact_Sales[[#This Row],[SOH]] / tbl_Fact_Sales[[#This Row],[Units_Per_Pack]]</f>
        <v>0.79166666666666663</v>
      </c>
      <c r="Q37" s="4" t="s">
        <v>95</v>
      </c>
      <c r="R37" s="4">
        <f>SUMIFS(tbl_Fact_Sales[Units_Sold], tbl_Fact_Sales[Parent_Product], tbl_Fact_Sales[[#This Row],[Parent_Product]])</f>
        <v>10</v>
      </c>
      <c r="S37" s="4" t="str">
        <f>IF(ABS(tbl_Fact_Sales[[#This Row],[Parent_Total_Units]])&lt;0.0001, "Balanced", "Investigate")</f>
        <v>Investigate</v>
      </c>
      <c r="T37" s="4">
        <f>tbl_Fact_Sales[[#This Row],[Parent_Total_Units]]</f>
        <v>10</v>
      </c>
      <c r="U37" s="4" t="str">
        <f>IF(ABS(tbl_Fact_Sales[[#This Row],[Parent_Total_Units]])&lt;=50, "Acceptable", IF(ABS(tbl_Fact_Sales[[#This Row],[Parent_Total_Units]])&lt;=250, "Check", "Problem"))</f>
        <v>Acceptable</v>
      </c>
      <c r="V37" s="7">
        <f>tbl_Fact_Sales[[#This Row],[Cases_Sold2]]/7</f>
        <v>-1.7857142857142856E-2</v>
      </c>
      <c r="W37" s="7">
        <f>tbl_Fact_Sales[[#This Row],[Daily_Demand]]*2</f>
        <v>-3.5714285714285712E-2</v>
      </c>
      <c r="X37" s="4"/>
      <c r="Y37" s="7"/>
      <c r="Z37" s="7">
        <f>tbl_Fact_Sales[[#This Row],[Daily_Demand]]*10 + tbl_Fact_Sales[[#This Row],[Safety_Stock]]</f>
        <v>-0.21428571428571425</v>
      </c>
      <c r="AA37" s="7">
        <f>MAX(0, tbl_Fact_Sales[[#This Row],[Required_Stock]] - tbl_Fact_Sales[[#This Row],[Cases_SOH]])</f>
        <v>0</v>
      </c>
      <c r="AB37" s="7">
        <f>tbl_Fact_Sales[[#This Row],[Cases_SOH]] / tbl_Fact_Sales[[#This Row],[Daily_Demand]]</f>
        <v>-44.333333333333336</v>
      </c>
      <c r="AC37" s="7">
        <f>tbl_Fact_Sales[[#This Row],[Suggested_Order]] * tbl_Fact_Sales[[#This Row],[Daily_Demand]]</f>
        <v>0</v>
      </c>
      <c r="AD37" s="7" t="str">
        <f>TRIM(tbl_Fact_Sales[[#This Row],[Parent_Product]])</f>
        <v>JUST JUICE</v>
      </c>
      <c r="AE37" s="7" cm="1">
        <f t="array" ref="AE37">IF(_xlfn.XLOOKUP(tbl_Fact_Sales[[#This Row],[Product_Code]], INDEX(rng_Recount, 0, 3), INDEX(rng_Recount, 0, 4), "") ="", tbl_Fact_Sales[[#This Row],[Cases_SOH]], _xlfn.XLOOKUP(tbl_Fact_Sales[[#This Row],[Product_Code]], INDEX(rng_Recount, 0, 3), INDEX(rng_Recount, 0, 4)))</f>
        <v>0.79166666666666663</v>
      </c>
      <c r="AF37" s="7">
        <f>ABS(tbl_Fact_Sales[[#This Row],[Required_Stock]] - tbl_Fact_Sales[[#This Row],[Adjusted_SOH]])</f>
        <v>1.0059523809523809</v>
      </c>
      <c r="AG37" s="4" t="str">
        <f>IF(tbl_Fact_Sales[[#This Row],[Recount_Variance]]&lt;=10, "Acceptable", IF(tbl_Fact_Sales[[#This Row],[Recount_Variance]]&lt;=50, "Check", "Problem"))</f>
        <v>Acceptable</v>
      </c>
    </row>
    <row r="38" spans="1:33" x14ac:dyDescent="0.25">
      <c r="A38" s="4">
        <v>22887</v>
      </c>
      <c r="B38" s="4">
        <v>5449000000000</v>
      </c>
      <c r="C38" s="4" t="s">
        <v>33</v>
      </c>
      <c r="D38" s="4" t="s">
        <v>27</v>
      </c>
      <c r="E38" s="4">
        <v>16</v>
      </c>
      <c r="F38" s="5">
        <v>1139.7364</v>
      </c>
      <c r="G38" s="4">
        <v>185</v>
      </c>
      <c r="H38" s="4">
        <v>20.12</v>
      </c>
      <c r="I38" s="4">
        <v>13</v>
      </c>
      <c r="J38" s="4">
        <v>1</v>
      </c>
      <c r="K38" s="4" t="s">
        <v>27</v>
      </c>
      <c r="L38" s="6">
        <v>0.20120000000000002</v>
      </c>
      <c r="M38" s="4" t="str">
        <f>tbl_Fact_Sales[[#This Row],[Size_Clean]]</f>
        <v>330ML</v>
      </c>
      <c r="N38" s="4">
        <f>_xlfn.XLOOKUP(tbl_Fact_Sales[[#This Row],[Pack_Size]], tbl_Size_Map[Size_Clean], tbl_Size_Map[Units_Per_Case])</f>
        <v>24</v>
      </c>
      <c r="O38" s="7">
        <f>tbl_Fact_Sales[[#This Row],[Units_Sold]] / tbl_Fact_Sales[[#This Row],[Units_Per_Pack]]</f>
        <v>0.54166666666666663</v>
      </c>
      <c r="P38" s="7">
        <f>tbl_Fact_Sales[[#This Row],[SOH]] / tbl_Fact_Sales[[#This Row],[Units_Per_Pack]]</f>
        <v>0.66666666666666663</v>
      </c>
      <c r="Q38" s="4" t="s">
        <v>95</v>
      </c>
      <c r="R38" s="4">
        <f>SUMIFS(tbl_Fact_Sales[Units_Sold], tbl_Fact_Sales[Parent_Product], tbl_Fact_Sales[[#This Row],[Parent_Product]])</f>
        <v>10</v>
      </c>
      <c r="S38" s="4" t="str">
        <f>IF(ABS(tbl_Fact_Sales[[#This Row],[Parent_Total_Units]])&lt;0.0001, "Balanced", "Investigate")</f>
        <v>Investigate</v>
      </c>
      <c r="T38" s="4">
        <f>tbl_Fact_Sales[[#This Row],[Parent_Total_Units]]</f>
        <v>10</v>
      </c>
      <c r="U38" s="4" t="str">
        <f>IF(ABS(tbl_Fact_Sales[[#This Row],[Parent_Total_Units]])&lt;=50, "Acceptable", IF(ABS(tbl_Fact_Sales[[#This Row],[Parent_Total_Units]])&lt;=250, "Check", "Problem"))</f>
        <v>Acceptable</v>
      </c>
      <c r="V38" s="7">
        <f>tbl_Fact_Sales[[#This Row],[Cases_Sold2]]/7</f>
        <v>7.738095238095237E-2</v>
      </c>
      <c r="W38" s="7">
        <f>tbl_Fact_Sales[[#This Row],[Daily_Demand]]*2</f>
        <v>0.15476190476190474</v>
      </c>
      <c r="X38" s="4"/>
      <c r="Y38" s="7"/>
      <c r="Z38" s="7">
        <f>tbl_Fact_Sales[[#This Row],[Daily_Demand]]*10 + tbl_Fact_Sales[[#This Row],[Safety_Stock]]</f>
        <v>0.92857142857142849</v>
      </c>
      <c r="AA38" s="7">
        <f>MAX(0, tbl_Fact_Sales[[#This Row],[Required_Stock]] - tbl_Fact_Sales[[#This Row],[Cases_SOH]])</f>
        <v>0.26190476190476186</v>
      </c>
      <c r="AB38" s="7">
        <f>tbl_Fact_Sales[[#This Row],[Cases_SOH]] / tbl_Fact_Sales[[#This Row],[Daily_Demand]]</f>
        <v>8.6153846153846168</v>
      </c>
      <c r="AC38" s="7">
        <f>tbl_Fact_Sales[[#This Row],[Suggested_Order]] * tbl_Fact_Sales[[#This Row],[Daily_Demand]]</f>
        <v>2.0266439909297045E-2</v>
      </c>
      <c r="AD38" s="7" t="str">
        <f>TRIM(tbl_Fact_Sales[[#This Row],[Parent_Product]])</f>
        <v>JUST JUICE</v>
      </c>
      <c r="AE38" s="7" cm="1">
        <f t="array" ref="AE38">IF(_xlfn.XLOOKUP(tbl_Fact_Sales[[#This Row],[Product_Code]], INDEX(rng_Recount, 0, 3), INDEX(rng_Recount, 0, 4), "") ="", tbl_Fact_Sales[[#This Row],[Cases_SOH]], _xlfn.XLOOKUP(tbl_Fact_Sales[[#This Row],[Product_Code]], INDEX(rng_Recount, 0, 3), INDEX(rng_Recount, 0, 4)))</f>
        <v>0.66666666666666663</v>
      </c>
      <c r="AF38" s="7">
        <f>ABS(tbl_Fact_Sales[[#This Row],[Required_Stock]] - tbl_Fact_Sales[[#This Row],[Adjusted_SOH]])</f>
        <v>0.26190476190476186</v>
      </c>
      <c r="AG38" s="4" t="str">
        <f>IF(tbl_Fact_Sales[[#This Row],[Recount_Variance]]&lt;=10, "Acceptable", IF(tbl_Fact_Sales[[#This Row],[Recount_Variance]]&lt;=50, "Check", "Problem"))</f>
        <v>Acceptable</v>
      </c>
    </row>
    <row r="39" spans="1:33" x14ac:dyDescent="0.25">
      <c r="A39" s="4">
        <v>22873</v>
      </c>
      <c r="B39" s="4">
        <v>5449000000000</v>
      </c>
      <c r="C39" s="4" t="s">
        <v>42</v>
      </c>
      <c r="D39" s="4" t="s">
        <v>27</v>
      </c>
      <c r="E39" s="4">
        <v>-2</v>
      </c>
      <c r="F39" s="5">
        <v>1629.7289000000001</v>
      </c>
      <c r="G39" s="4">
        <v>291</v>
      </c>
      <c r="H39" s="4">
        <v>21.4</v>
      </c>
      <c r="I39" s="4">
        <v>47</v>
      </c>
      <c r="J39" s="4">
        <v>2</v>
      </c>
      <c r="K39" s="4" t="s">
        <v>27</v>
      </c>
      <c r="L39" s="6">
        <v>0.214</v>
      </c>
      <c r="M39" s="4" t="str">
        <f>tbl_Fact_Sales[[#This Row],[Size_Clean]]</f>
        <v>330ML</v>
      </c>
      <c r="N39" s="4">
        <f>_xlfn.XLOOKUP(tbl_Fact_Sales[[#This Row],[Pack_Size]], tbl_Size_Map[Size_Clean], tbl_Size_Map[Units_Per_Case])</f>
        <v>24</v>
      </c>
      <c r="O39" s="7">
        <f>tbl_Fact_Sales[[#This Row],[Units_Sold]] / tbl_Fact_Sales[[#This Row],[Units_Per_Pack]]</f>
        <v>1.9583333333333333</v>
      </c>
      <c r="P39" s="7">
        <f>tbl_Fact_Sales[[#This Row],[SOH]] / tbl_Fact_Sales[[#This Row],[Units_Per_Pack]]</f>
        <v>-8.3333333333333329E-2</v>
      </c>
      <c r="Q39" s="4" t="s">
        <v>96</v>
      </c>
      <c r="R39" s="4">
        <f>SUMIFS(tbl_Fact_Sales[Units_Sold], tbl_Fact_Sales[Parent_Product], tbl_Fact_Sales[[#This Row],[Parent_Product]])</f>
        <v>47</v>
      </c>
      <c r="S39" s="4" t="str">
        <f>IF(ABS(tbl_Fact_Sales[[#This Row],[Parent_Total_Units]])&lt;0.0001, "Balanced", "Investigate")</f>
        <v>Investigate</v>
      </c>
      <c r="T39" s="4">
        <f>tbl_Fact_Sales[[#This Row],[Parent_Total_Units]]</f>
        <v>47</v>
      </c>
      <c r="U39" s="4" t="str">
        <f>IF(ABS(tbl_Fact_Sales[[#This Row],[Parent_Total_Units]])&lt;=50, "Acceptable", IF(ABS(tbl_Fact_Sales[[#This Row],[Parent_Total_Units]])&lt;=250, "Check", "Problem"))</f>
        <v>Acceptable</v>
      </c>
      <c r="V39" s="7">
        <f>tbl_Fact_Sales[[#This Row],[Cases_Sold2]]/7</f>
        <v>0.27976190476190477</v>
      </c>
      <c r="W39" s="7">
        <f>tbl_Fact_Sales[[#This Row],[Daily_Demand]]*2</f>
        <v>0.55952380952380953</v>
      </c>
      <c r="X39" s="4"/>
      <c r="Y39" s="7"/>
      <c r="Z39" s="7">
        <f>tbl_Fact_Sales[[#This Row],[Daily_Demand]]*10 + tbl_Fact_Sales[[#This Row],[Safety_Stock]]</f>
        <v>3.3571428571428568</v>
      </c>
      <c r="AA39" s="7">
        <f>MAX(0, tbl_Fact_Sales[[#This Row],[Required_Stock]] - tbl_Fact_Sales[[#This Row],[Cases_SOH]])</f>
        <v>3.4404761904761902</v>
      </c>
      <c r="AB39" s="7">
        <f>tbl_Fact_Sales[[#This Row],[Cases_SOH]] / tbl_Fact_Sales[[#This Row],[Daily_Demand]]</f>
        <v>-0.2978723404255319</v>
      </c>
      <c r="AC39" s="7">
        <f>tbl_Fact_Sales[[#This Row],[Suggested_Order]] * tbl_Fact_Sales[[#This Row],[Daily_Demand]]</f>
        <v>0.96251417233560088</v>
      </c>
      <c r="AD39" s="7" t="str">
        <f>TRIM(tbl_Fact_Sales[[#This Row],[Parent_Product]])</f>
        <v>M/MAID BREAKFAST</v>
      </c>
      <c r="AE39" s="7" cm="1">
        <f t="array" ref="AE39">IF(_xlfn.XLOOKUP(tbl_Fact_Sales[[#This Row],[Product_Code]], INDEX(rng_Recount, 0, 3), INDEX(rng_Recount, 0, 4), "") ="", tbl_Fact_Sales[[#This Row],[Cases_SOH]], _xlfn.XLOOKUP(tbl_Fact_Sales[[#This Row],[Product_Code]], INDEX(rng_Recount, 0, 3), INDEX(rng_Recount, 0, 4)))</f>
        <v>-8.3333333333333329E-2</v>
      </c>
      <c r="AF39" s="7">
        <f>ABS(tbl_Fact_Sales[[#This Row],[Required_Stock]] - tbl_Fact_Sales[[#This Row],[Adjusted_SOH]])</f>
        <v>3.4404761904761902</v>
      </c>
      <c r="AG39" s="4" t="str">
        <f>IF(tbl_Fact_Sales[[#This Row],[Recount_Variance]]&lt;=10, "Acceptable", IF(tbl_Fact_Sales[[#This Row],[Recount_Variance]]&lt;=50, "Check", "Problem"))</f>
        <v>Acceptable</v>
      </c>
    </row>
    <row r="40" spans="1:33" x14ac:dyDescent="0.25">
      <c r="A40" s="4">
        <v>47324</v>
      </c>
      <c r="B40" s="4">
        <v>5449000000000</v>
      </c>
      <c r="C40" s="4" t="s">
        <v>46</v>
      </c>
      <c r="D40" s="4" t="s">
        <v>27</v>
      </c>
      <c r="E40" s="4">
        <v>33</v>
      </c>
      <c r="F40" s="5">
        <v>4022.4315000000001</v>
      </c>
      <c r="G40" s="4">
        <v>718</v>
      </c>
      <c r="H40" s="4">
        <v>22.63</v>
      </c>
      <c r="I40" s="4">
        <v>79</v>
      </c>
      <c r="J40" s="4">
        <v>3</v>
      </c>
      <c r="K40" s="4" t="s">
        <v>27</v>
      </c>
      <c r="L40" s="6">
        <v>0.2263</v>
      </c>
      <c r="M40" s="4" t="str">
        <f>tbl_Fact_Sales[[#This Row],[Size_Clean]]</f>
        <v>330ML</v>
      </c>
      <c r="N40" s="4">
        <f>_xlfn.XLOOKUP(tbl_Fact_Sales[[#This Row],[Pack_Size]], tbl_Size_Map[Size_Clean], tbl_Size_Map[Units_Per_Case])</f>
        <v>24</v>
      </c>
      <c r="O40" s="7">
        <f>tbl_Fact_Sales[[#This Row],[Units_Sold]] / tbl_Fact_Sales[[#This Row],[Units_Per_Pack]]</f>
        <v>3.2916666666666665</v>
      </c>
      <c r="P40" s="7">
        <f>tbl_Fact_Sales[[#This Row],[SOH]] / tbl_Fact_Sales[[#This Row],[Units_Per_Pack]]</f>
        <v>1.375</v>
      </c>
      <c r="Q40" s="4" t="s">
        <v>97</v>
      </c>
      <c r="R40" s="4">
        <f>SUMIFS(tbl_Fact_Sales[Units_Sold], tbl_Fact_Sales[Parent_Product], tbl_Fact_Sales[[#This Row],[Parent_Product]])</f>
        <v>79</v>
      </c>
      <c r="S40" s="4" t="str">
        <f>IF(ABS(tbl_Fact_Sales[[#This Row],[Parent_Total_Units]])&lt;0.0001, "Balanced", "Investigate")</f>
        <v>Investigate</v>
      </c>
      <c r="T40" s="4">
        <f>tbl_Fact_Sales[[#This Row],[Parent_Total_Units]]</f>
        <v>79</v>
      </c>
      <c r="U40" s="4" t="str">
        <f>IF(ABS(tbl_Fact_Sales[[#This Row],[Parent_Total_Units]])&lt;=50, "Acceptable", IF(ABS(tbl_Fact_Sales[[#This Row],[Parent_Total_Units]])&lt;=250, "Check", "Problem"))</f>
        <v>Check</v>
      </c>
      <c r="V40" s="7">
        <f>tbl_Fact_Sales[[#This Row],[Cases_Sold2]]/7</f>
        <v>0.47023809523809523</v>
      </c>
      <c r="W40" s="7">
        <f>tbl_Fact_Sales[[#This Row],[Daily_Demand]]*2</f>
        <v>0.94047619047619047</v>
      </c>
      <c r="X40" s="4"/>
      <c r="Y40" s="7"/>
      <c r="Z40" s="7">
        <f>tbl_Fact_Sales[[#This Row],[Daily_Demand]]*10 + tbl_Fact_Sales[[#This Row],[Safety_Stock]]</f>
        <v>5.6428571428571432</v>
      </c>
      <c r="AA40" s="7">
        <f>MAX(0, tbl_Fact_Sales[[#This Row],[Required_Stock]] - tbl_Fact_Sales[[#This Row],[Cases_SOH]])</f>
        <v>4.2678571428571432</v>
      </c>
      <c r="AB40" s="7">
        <f>tbl_Fact_Sales[[#This Row],[Cases_SOH]] / tbl_Fact_Sales[[#This Row],[Daily_Demand]]</f>
        <v>2.9240506329113924</v>
      </c>
      <c r="AC40" s="7">
        <f>tbl_Fact_Sales[[#This Row],[Suggested_Order]] * tbl_Fact_Sales[[#This Row],[Daily_Demand]]</f>
        <v>2.0069090136054424</v>
      </c>
      <c r="AD40" s="7" t="str">
        <f>TRIM(tbl_Fact_Sales[[#This Row],[Parent_Product]])</f>
        <v>M/MAID F/JCE</v>
      </c>
      <c r="AE40" s="7" cm="1">
        <f t="array" ref="AE40">IF(_xlfn.XLOOKUP(tbl_Fact_Sales[[#This Row],[Product_Code]], INDEX(rng_Recount, 0, 3), INDEX(rng_Recount, 0, 4), "") ="", tbl_Fact_Sales[[#This Row],[Cases_SOH]], _xlfn.XLOOKUP(tbl_Fact_Sales[[#This Row],[Product_Code]], INDEX(rng_Recount, 0, 3), INDEX(rng_Recount, 0, 4)))</f>
        <v>1.375</v>
      </c>
      <c r="AF40" s="7">
        <f>ABS(tbl_Fact_Sales[[#This Row],[Required_Stock]] - tbl_Fact_Sales[[#This Row],[Adjusted_SOH]])</f>
        <v>4.2678571428571432</v>
      </c>
      <c r="AG40" s="4" t="str">
        <f>IF(tbl_Fact_Sales[[#This Row],[Recount_Variance]]&lt;=10, "Acceptable", IF(tbl_Fact_Sales[[#This Row],[Recount_Variance]]&lt;=50, "Check", "Problem"))</f>
        <v>Acceptable</v>
      </c>
    </row>
    <row r="41" spans="1:33" x14ac:dyDescent="0.25">
      <c r="A41" s="4">
        <v>22892</v>
      </c>
      <c r="B41" s="4">
        <v>5449000000000</v>
      </c>
      <c r="C41" s="4" t="s">
        <v>39</v>
      </c>
      <c r="D41" s="4" t="s">
        <v>27</v>
      </c>
      <c r="E41" s="4">
        <v>6</v>
      </c>
      <c r="F41" s="5">
        <v>1551.9256</v>
      </c>
      <c r="G41" s="4">
        <v>277</v>
      </c>
      <c r="H41" s="4">
        <v>24.57</v>
      </c>
      <c r="I41" s="4">
        <v>37</v>
      </c>
      <c r="J41" s="4">
        <v>2</v>
      </c>
      <c r="K41" s="4" t="s">
        <v>27</v>
      </c>
      <c r="L41" s="6">
        <v>0.2457</v>
      </c>
      <c r="M41" s="4" t="str">
        <f>tbl_Fact_Sales[[#This Row],[Size_Clean]]</f>
        <v>330ML</v>
      </c>
      <c r="N41" s="4">
        <f>_xlfn.XLOOKUP(tbl_Fact_Sales[[#This Row],[Pack_Size]], tbl_Size_Map[Size_Clean], tbl_Size_Map[Units_Per_Case])</f>
        <v>24</v>
      </c>
      <c r="O41" s="7">
        <f>tbl_Fact_Sales[[#This Row],[Units_Sold]] / tbl_Fact_Sales[[#This Row],[Units_Per_Pack]]</f>
        <v>1.5416666666666667</v>
      </c>
      <c r="P41" s="7">
        <f>tbl_Fact_Sales[[#This Row],[SOH]] / tbl_Fact_Sales[[#This Row],[Units_Per_Pack]]</f>
        <v>0.25</v>
      </c>
      <c r="Q41" s="4" t="s">
        <v>98</v>
      </c>
      <c r="R41" s="4">
        <f>SUMIFS(tbl_Fact_Sales[Units_Sold], tbl_Fact_Sales[Parent_Product], tbl_Fact_Sales[[#This Row],[Parent_Product]])</f>
        <v>37</v>
      </c>
      <c r="S41" s="4" t="str">
        <f>IF(ABS(tbl_Fact_Sales[[#This Row],[Parent_Total_Units]])&lt;0.0001, "Balanced", "Investigate")</f>
        <v>Investigate</v>
      </c>
      <c r="T41" s="4">
        <f>tbl_Fact_Sales[[#This Row],[Parent_Total_Units]]</f>
        <v>37</v>
      </c>
      <c r="U41" s="4" t="str">
        <f>IF(ABS(tbl_Fact_Sales[[#This Row],[Parent_Total_Units]])&lt;=50, "Acceptable", IF(ABS(tbl_Fact_Sales[[#This Row],[Parent_Total_Units]])&lt;=250, "Check", "Problem"))</f>
        <v>Acceptable</v>
      </c>
      <c r="V41" s="7">
        <f>tbl_Fact_Sales[[#This Row],[Cases_Sold2]]/7</f>
        <v>0.22023809523809526</v>
      </c>
      <c r="W41" s="7">
        <f>tbl_Fact_Sales[[#This Row],[Daily_Demand]]*2</f>
        <v>0.44047619047619052</v>
      </c>
      <c r="X41" s="4"/>
      <c r="Y41" s="7"/>
      <c r="Z41" s="7">
        <f>tbl_Fact_Sales[[#This Row],[Daily_Demand]]*10 + tbl_Fact_Sales[[#This Row],[Safety_Stock]]</f>
        <v>2.6428571428571432</v>
      </c>
      <c r="AA41" s="7">
        <f>MAX(0, tbl_Fact_Sales[[#This Row],[Required_Stock]] - tbl_Fact_Sales[[#This Row],[Cases_SOH]])</f>
        <v>2.3928571428571432</v>
      </c>
      <c r="AB41" s="7">
        <f>tbl_Fact_Sales[[#This Row],[Cases_SOH]] / tbl_Fact_Sales[[#This Row],[Daily_Demand]]</f>
        <v>1.1351351351351351</v>
      </c>
      <c r="AC41" s="7">
        <f>tbl_Fact_Sales[[#This Row],[Suggested_Order]] * tbl_Fact_Sales[[#This Row],[Daily_Demand]]</f>
        <v>0.52699829931972808</v>
      </c>
      <c r="AD41" s="7" t="str">
        <f>TRIM(tbl_Fact_Sales[[#This Row],[Parent_Product]])</f>
        <v>M/MAID ORANGE</v>
      </c>
      <c r="AE41" s="7" cm="1">
        <f t="array" ref="AE41">IF(_xlfn.XLOOKUP(tbl_Fact_Sales[[#This Row],[Product_Code]], INDEX(rng_Recount, 0, 3), INDEX(rng_Recount, 0, 4), "") ="", tbl_Fact_Sales[[#This Row],[Cases_SOH]], _xlfn.XLOOKUP(tbl_Fact_Sales[[#This Row],[Product_Code]], INDEX(rng_Recount, 0, 3), INDEX(rng_Recount, 0, 4)))</f>
        <v>0.25</v>
      </c>
      <c r="AF41" s="7">
        <f>ABS(tbl_Fact_Sales[[#This Row],[Required_Stock]] - tbl_Fact_Sales[[#This Row],[Adjusted_SOH]])</f>
        <v>2.3928571428571432</v>
      </c>
      <c r="AG41" s="4" t="str">
        <f>IF(tbl_Fact_Sales[[#This Row],[Recount_Variance]]&lt;=10, "Acceptable", IF(tbl_Fact_Sales[[#This Row],[Recount_Variance]]&lt;=50, "Check", "Problem"))</f>
        <v>Acceptable</v>
      </c>
    </row>
    <row r="42" spans="1:33" x14ac:dyDescent="0.25">
      <c r="A42" s="4">
        <v>5161</v>
      </c>
      <c r="B42" s="4">
        <v>5449000000000</v>
      </c>
      <c r="C42" s="4" t="s">
        <v>60</v>
      </c>
      <c r="D42" s="4" t="s">
        <v>61</v>
      </c>
      <c r="E42" s="4">
        <v>-129</v>
      </c>
      <c r="F42" s="5">
        <v>4477.3386</v>
      </c>
      <c r="G42" s="4">
        <v>593</v>
      </c>
      <c r="H42" s="4">
        <v>26.95</v>
      </c>
      <c r="I42" s="4">
        <v>221</v>
      </c>
      <c r="J42" s="4">
        <v>9</v>
      </c>
      <c r="K42" s="4" t="s">
        <v>61</v>
      </c>
      <c r="L42" s="6">
        <v>0.26950000000000002</v>
      </c>
      <c r="M42" s="4" t="str">
        <f>tbl_Fact_Sales[[#This Row],[Size_Clean]]</f>
        <v>250ML</v>
      </c>
      <c r="N42" s="4">
        <f>_xlfn.XLOOKUP(tbl_Fact_Sales[[#This Row],[Pack_Size]], tbl_Size_Map[Size_Clean], tbl_Size_Map[Units_Per_Case])</f>
        <v>24</v>
      </c>
      <c r="O42" s="7">
        <f>tbl_Fact_Sales[[#This Row],[Units_Sold]] / tbl_Fact_Sales[[#This Row],[Units_Per_Pack]]</f>
        <v>9.2083333333333339</v>
      </c>
      <c r="P42" s="7">
        <f>tbl_Fact_Sales[[#This Row],[SOH]] / tbl_Fact_Sales[[#This Row],[Units_Per_Pack]]</f>
        <v>-5.375</v>
      </c>
      <c r="Q42" s="4" t="s">
        <v>99</v>
      </c>
      <c r="R42" s="4">
        <f>SUMIFS(tbl_Fact_Sales[Units_Sold], tbl_Fact_Sales[Parent_Product], tbl_Fact_Sales[[#This Row],[Parent_Product]])</f>
        <v>309</v>
      </c>
      <c r="S42" s="4" t="str">
        <f>IF(ABS(tbl_Fact_Sales[[#This Row],[Parent_Total_Units]])&lt;0.0001, "Balanced", "Investigate")</f>
        <v>Investigate</v>
      </c>
      <c r="T42" s="4">
        <f>tbl_Fact_Sales[[#This Row],[Parent_Total_Units]]</f>
        <v>309</v>
      </c>
      <c r="U42" s="4" t="str">
        <f>IF(ABS(tbl_Fact_Sales[[#This Row],[Parent_Total_Units]])&lt;=50, "Acceptable", IF(ABS(tbl_Fact_Sales[[#This Row],[Parent_Total_Units]])&lt;=250, "Check", "Problem"))</f>
        <v>Problem</v>
      </c>
      <c r="V42" s="7">
        <f>tbl_Fact_Sales[[#This Row],[Cases_Sold2]]/7</f>
        <v>1.3154761904761905</v>
      </c>
      <c r="W42" s="7">
        <f>tbl_Fact_Sales[[#This Row],[Daily_Demand]]*2</f>
        <v>2.6309523809523809</v>
      </c>
      <c r="X42" s="4"/>
      <c r="Y42" s="7"/>
      <c r="Z42" s="7">
        <f>tbl_Fact_Sales[[#This Row],[Daily_Demand]]*10 + tbl_Fact_Sales[[#This Row],[Safety_Stock]]</f>
        <v>15.785714285714286</v>
      </c>
      <c r="AA42" s="7">
        <f>MAX(0, tbl_Fact_Sales[[#This Row],[Required_Stock]] - tbl_Fact_Sales[[#This Row],[Cases_SOH]])</f>
        <v>21.160714285714285</v>
      </c>
      <c r="AB42" s="7">
        <f>tbl_Fact_Sales[[#This Row],[Cases_SOH]] / tbl_Fact_Sales[[#This Row],[Daily_Demand]]</f>
        <v>-4.0859728506787327</v>
      </c>
      <c r="AC42" s="7">
        <f>tbl_Fact_Sales[[#This Row],[Suggested_Order]] * tbl_Fact_Sales[[#This Row],[Daily_Demand]]</f>
        <v>27.836415816326529</v>
      </c>
      <c r="AD42" s="7" t="str">
        <f>TRIM(tbl_Fact_Sales[[#This Row],[Parent_Product]])</f>
        <v>PLAY ENERGY</v>
      </c>
      <c r="AE42" s="7" cm="1">
        <f t="array" ref="AE42">IF(_xlfn.XLOOKUP(tbl_Fact_Sales[[#This Row],[Product_Code]], INDEX(rng_Recount, 0, 3), INDEX(rng_Recount, 0, 4), "") ="", tbl_Fact_Sales[[#This Row],[Cases_SOH]], _xlfn.XLOOKUP(tbl_Fact_Sales[[#This Row],[Product_Code]], INDEX(rng_Recount, 0, 3), INDEX(rng_Recount, 0, 4)))</f>
        <v>-5.375</v>
      </c>
      <c r="AF42" s="7">
        <f>ABS(tbl_Fact_Sales[[#This Row],[Required_Stock]] - tbl_Fact_Sales[[#This Row],[Adjusted_SOH]])</f>
        <v>21.160714285714285</v>
      </c>
      <c r="AG42" s="4" t="str">
        <f>IF(tbl_Fact_Sales[[#This Row],[Recount_Variance]]&lt;=10, "Acceptable", IF(tbl_Fact_Sales[[#This Row],[Recount_Variance]]&lt;=50, "Check", "Problem"))</f>
        <v>Check</v>
      </c>
    </row>
    <row r="43" spans="1:33" x14ac:dyDescent="0.25">
      <c r="A43" s="4">
        <v>25842</v>
      </c>
      <c r="B43" s="4">
        <v>5449000000000</v>
      </c>
      <c r="C43" s="4" t="s">
        <v>60</v>
      </c>
      <c r="D43" s="4" t="s">
        <v>49</v>
      </c>
      <c r="E43" s="4">
        <v>48</v>
      </c>
      <c r="F43" s="5">
        <v>8437.2412000000004</v>
      </c>
      <c r="G43" s="4">
        <v>875</v>
      </c>
      <c r="H43" s="4">
        <v>25.13</v>
      </c>
      <c r="I43" s="4">
        <v>88</v>
      </c>
      <c r="J43" s="4">
        <v>4</v>
      </c>
      <c r="K43" s="4" t="s">
        <v>49</v>
      </c>
      <c r="L43" s="6">
        <v>0.25129999999999997</v>
      </c>
      <c r="M43" s="4" t="str">
        <f>tbl_Fact_Sales[[#This Row],[Size_Clean]]</f>
        <v>440ML</v>
      </c>
      <c r="N43" s="4">
        <f>_xlfn.XLOOKUP(tbl_Fact_Sales[[#This Row],[Pack_Size]], tbl_Size_Map[Size_Clean], tbl_Size_Map[Units_Per_Case])</f>
        <v>24</v>
      </c>
      <c r="O43" s="7">
        <f>tbl_Fact_Sales[[#This Row],[Units_Sold]] / tbl_Fact_Sales[[#This Row],[Units_Per_Pack]]</f>
        <v>3.6666666666666665</v>
      </c>
      <c r="P43" s="7">
        <f>tbl_Fact_Sales[[#This Row],[SOH]] / tbl_Fact_Sales[[#This Row],[Units_Per_Pack]]</f>
        <v>2</v>
      </c>
      <c r="Q43" s="4" t="s">
        <v>99</v>
      </c>
      <c r="R43" s="4">
        <f>SUMIFS(tbl_Fact_Sales[Units_Sold], tbl_Fact_Sales[Parent_Product], tbl_Fact_Sales[[#This Row],[Parent_Product]])</f>
        <v>309</v>
      </c>
      <c r="S43" s="4" t="str">
        <f>IF(ABS(tbl_Fact_Sales[[#This Row],[Parent_Total_Units]])&lt;0.0001, "Balanced", "Investigate")</f>
        <v>Investigate</v>
      </c>
      <c r="T43" s="4">
        <f>tbl_Fact_Sales[[#This Row],[Parent_Total_Units]]</f>
        <v>309</v>
      </c>
      <c r="U43" s="4" t="str">
        <f>IF(ABS(tbl_Fact_Sales[[#This Row],[Parent_Total_Units]])&lt;=50, "Acceptable", IF(ABS(tbl_Fact_Sales[[#This Row],[Parent_Total_Units]])&lt;=250, "Check", "Problem"))</f>
        <v>Problem</v>
      </c>
      <c r="V43" s="7">
        <f>tbl_Fact_Sales[[#This Row],[Cases_Sold2]]/7</f>
        <v>0.52380952380952384</v>
      </c>
      <c r="W43" s="7">
        <f>tbl_Fact_Sales[[#This Row],[Daily_Demand]]*2</f>
        <v>1.0476190476190477</v>
      </c>
      <c r="X43" s="4"/>
      <c r="Y43" s="7"/>
      <c r="Z43" s="7">
        <f>tbl_Fact_Sales[[#This Row],[Daily_Demand]]*10 + tbl_Fact_Sales[[#This Row],[Safety_Stock]]</f>
        <v>6.2857142857142856</v>
      </c>
      <c r="AA43" s="7">
        <f>MAX(0, tbl_Fact_Sales[[#This Row],[Required_Stock]] - tbl_Fact_Sales[[#This Row],[Cases_SOH]])</f>
        <v>4.2857142857142856</v>
      </c>
      <c r="AB43" s="7">
        <f>tbl_Fact_Sales[[#This Row],[Cases_SOH]] / tbl_Fact_Sales[[#This Row],[Daily_Demand]]</f>
        <v>3.8181818181818179</v>
      </c>
      <c r="AC43" s="7">
        <f>tbl_Fact_Sales[[#This Row],[Suggested_Order]] * tbl_Fact_Sales[[#This Row],[Daily_Demand]]</f>
        <v>2.2448979591836733</v>
      </c>
      <c r="AD43" s="7" t="str">
        <f>TRIM(tbl_Fact_Sales[[#This Row],[Parent_Product]])</f>
        <v>PLAY ENERGY</v>
      </c>
      <c r="AE43" s="7" cm="1">
        <f t="array" ref="AE43">IF(_xlfn.XLOOKUP(tbl_Fact_Sales[[#This Row],[Product_Code]], INDEX(rng_Recount, 0, 3), INDEX(rng_Recount, 0, 4), "") ="", tbl_Fact_Sales[[#This Row],[Cases_SOH]], _xlfn.XLOOKUP(tbl_Fact_Sales[[#This Row],[Product_Code]], INDEX(rng_Recount, 0, 3), INDEX(rng_Recount, 0, 4)))</f>
        <v>2</v>
      </c>
      <c r="AF43" s="7">
        <f>ABS(tbl_Fact_Sales[[#This Row],[Required_Stock]] - tbl_Fact_Sales[[#This Row],[Adjusted_SOH]])</f>
        <v>4.2857142857142856</v>
      </c>
      <c r="AG43" s="4" t="str">
        <f>IF(tbl_Fact_Sales[[#This Row],[Recount_Variance]]&lt;=10, "Acceptable", IF(tbl_Fact_Sales[[#This Row],[Recount_Variance]]&lt;=50, "Check", "Problem"))</f>
        <v>Acceptable</v>
      </c>
    </row>
    <row r="44" spans="1:33" x14ac:dyDescent="0.25">
      <c r="A44" s="4">
        <v>11881</v>
      </c>
      <c r="B44" s="4">
        <v>90331725</v>
      </c>
      <c r="C44" s="4" t="s">
        <v>41</v>
      </c>
      <c r="D44" s="4" t="s">
        <v>19</v>
      </c>
      <c r="E44" s="4">
        <v>27</v>
      </c>
      <c r="F44" s="5">
        <v>3178.1660000000002</v>
      </c>
      <c r="G44" s="4">
        <v>476</v>
      </c>
      <c r="H44" s="4">
        <v>19.760000000000002</v>
      </c>
      <c r="I44" s="4">
        <v>47</v>
      </c>
      <c r="J44" s="4">
        <v>2</v>
      </c>
      <c r="K44" s="4" t="s">
        <v>19</v>
      </c>
      <c r="L44" s="6">
        <v>0.19760000000000003</v>
      </c>
      <c r="M44" s="4" t="str">
        <f>tbl_Fact_Sales[[#This Row],[Size_Clean]]</f>
        <v>500ML</v>
      </c>
      <c r="N44" s="4">
        <f>_xlfn.XLOOKUP(tbl_Fact_Sales[[#This Row],[Pack_Size]], tbl_Size_Map[Size_Clean], tbl_Size_Map[Units_Per_Case])</f>
        <v>12</v>
      </c>
      <c r="O44" s="7">
        <f>tbl_Fact_Sales[[#This Row],[Units_Sold]] / tbl_Fact_Sales[[#This Row],[Units_Per_Pack]]</f>
        <v>3.9166666666666665</v>
      </c>
      <c r="P44" s="7">
        <f>tbl_Fact_Sales[[#This Row],[SOH]] / tbl_Fact_Sales[[#This Row],[Units_Per_Pack]]</f>
        <v>2.25</v>
      </c>
      <c r="Q44" s="4" t="s">
        <v>100</v>
      </c>
      <c r="R44" s="4">
        <f>SUMIFS(tbl_Fact_Sales[Units_Sold], tbl_Fact_Sales[Parent_Product], tbl_Fact_Sales[[#This Row],[Parent_Product]])</f>
        <v>47</v>
      </c>
      <c r="S44" s="4" t="str">
        <f>IF(ABS(tbl_Fact_Sales[[#This Row],[Parent_Total_Units]])&lt;0.0001, "Balanced", "Investigate")</f>
        <v>Investigate</v>
      </c>
      <c r="T44" s="4">
        <f>tbl_Fact_Sales[[#This Row],[Parent_Total_Units]]</f>
        <v>47</v>
      </c>
      <c r="U44" s="4" t="str">
        <f>IF(ABS(tbl_Fact_Sales[[#This Row],[Parent_Total_Units]])&lt;=50, "Acceptable", IF(ABS(tbl_Fact_Sales[[#This Row],[Parent_Total_Units]])&lt;=250, "Check", "Problem"))</f>
        <v>Acceptable</v>
      </c>
      <c r="V44" s="7">
        <f>tbl_Fact_Sales[[#This Row],[Cases_Sold2]]/7</f>
        <v>0.55952380952380953</v>
      </c>
      <c r="W44" s="7">
        <f>tbl_Fact_Sales[[#This Row],[Daily_Demand]]*2</f>
        <v>1.1190476190476191</v>
      </c>
      <c r="X44" s="4"/>
      <c r="Y44" s="7"/>
      <c r="Z44" s="7">
        <f>tbl_Fact_Sales[[#This Row],[Daily_Demand]]*10 + tbl_Fact_Sales[[#This Row],[Safety_Stock]]</f>
        <v>6.7142857142857135</v>
      </c>
      <c r="AA44" s="7">
        <f>MAX(0, tbl_Fact_Sales[[#This Row],[Required_Stock]] - tbl_Fact_Sales[[#This Row],[Cases_SOH]])</f>
        <v>4.4642857142857135</v>
      </c>
      <c r="AB44" s="7">
        <f>tbl_Fact_Sales[[#This Row],[Cases_SOH]] / tbl_Fact_Sales[[#This Row],[Daily_Demand]]</f>
        <v>4.0212765957446805</v>
      </c>
      <c r="AC44" s="7">
        <f>tbl_Fact_Sales[[#This Row],[Suggested_Order]] * tbl_Fact_Sales[[#This Row],[Daily_Demand]]</f>
        <v>2.4978741496598635</v>
      </c>
      <c r="AD44" s="7" t="str">
        <f>TRIM(tbl_Fact_Sales[[#This Row],[Parent_Product]])</f>
        <v>POWERADE ISLAND</v>
      </c>
      <c r="AE44" s="7" cm="1">
        <f t="array" ref="AE44">IF(_xlfn.XLOOKUP(tbl_Fact_Sales[[#This Row],[Product_Code]], INDEX(rng_Recount, 0, 3), INDEX(rng_Recount, 0, 4), "") ="", tbl_Fact_Sales[[#This Row],[Cases_SOH]], _xlfn.XLOOKUP(tbl_Fact_Sales[[#This Row],[Product_Code]], INDEX(rng_Recount, 0, 3), INDEX(rng_Recount, 0, 4)))</f>
        <v>2.25</v>
      </c>
      <c r="AF44" s="7">
        <f>ABS(tbl_Fact_Sales[[#This Row],[Required_Stock]] - tbl_Fact_Sales[[#This Row],[Adjusted_SOH]])</f>
        <v>4.4642857142857135</v>
      </c>
      <c r="AG44" s="4" t="str">
        <f>IF(tbl_Fact_Sales[[#This Row],[Recount_Variance]]&lt;=10, "Acceptable", IF(tbl_Fact_Sales[[#This Row],[Recount_Variance]]&lt;=50, "Check", "Problem"))</f>
        <v>Acceptable</v>
      </c>
    </row>
    <row r="45" spans="1:33" x14ac:dyDescent="0.25">
      <c r="A45" s="4">
        <v>5408</v>
      </c>
      <c r="B45" s="4">
        <v>90492488</v>
      </c>
      <c r="C45" s="4" t="s">
        <v>48</v>
      </c>
      <c r="D45" s="4" t="s">
        <v>19</v>
      </c>
      <c r="E45" s="4">
        <v>8</v>
      </c>
      <c r="F45" s="5">
        <v>3803.5187999999998</v>
      </c>
      <c r="G45" s="4">
        <v>587</v>
      </c>
      <c r="H45" s="4">
        <v>21.94</v>
      </c>
      <c r="I45" s="4">
        <v>83</v>
      </c>
      <c r="J45" s="4">
        <v>3</v>
      </c>
      <c r="K45" s="4" t="s">
        <v>19</v>
      </c>
      <c r="L45" s="6">
        <v>0.21940000000000001</v>
      </c>
      <c r="M45" s="4" t="str">
        <f>tbl_Fact_Sales[[#This Row],[Size_Clean]]</f>
        <v>500ML</v>
      </c>
      <c r="N45" s="4">
        <f>_xlfn.XLOOKUP(tbl_Fact_Sales[[#This Row],[Pack_Size]], tbl_Size_Map[Size_Clean], tbl_Size_Map[Units_Per_Case])</f>
        <v>12</v>
      </c>
      <c r="O45" s="7">
        <f>tbl_Fact_Sales[[#This Row],[Units_Sold]] / tbl_Fact_Sales[[#This Row],[Units_Per_Pack]]</f>
        <v>6.916666666666667</v>
      </c>
      <c r="P45" s="7">
        <f>tbl_Fact_Sales[[#This Row],[SOH]] / tbl_Fact_Sales[[#This Row],[Units_Per_Pack]]</f>
        <v>0.66666666666666663</v>
      </c>
      <c r="Q45" s="4" t="s">
        <v>101</v>
      </c>
      <c r="R45" s="4">
        <f>SUMIFS(tbl_Fact_Sales[Units_Sold], tbl_Fact_Sales[Parent_Product], tbl_Fact_Sales[[#This Row],[Parent_Product]])</f>
        <v>83</v>
      </c>
      <c r="S45" s="4" t="str">
        <f>IF(ABS(tbl_Fact_Sales[[#This Row],[Parent_Total_Units]])&lt;0.0001, "Balanced", "Investigate")</f>
        <v>Investigate</v>
      </c>
      <c r="T45" s="4">
        <f>tbl_Fact_Sales[[#This Row],[Parent_Total_Units]]</f>
        <v>83</v>
      </c>
      <c r="U45" s="4" t="str">
        <f>IF(ABS(tbl_Fact_Sales[[#This Row],[Parent_Total_Units]])&lt;=50, "Acceptable", IF(ABS(tbl_Fact_Sales[[#This Row],[Parent_Total_Units]])&lt;=250, "Check", "Problem"))</f>
        <v>Check</v>
      </c>
      <c r="V45" s="7">
        <f>tbl_Fact_Sales[[#This Row],[Cases_Sold2]]/7</f>
        <v>0.98809523809523814</v>
      </c>
      <c r="W45" s="7">
        <f>tbl_Fact_Sales[[#This Row],[Daily_Demand]]*2</f>
        <v>1.9761904761904763</v>
      </c>
      <c r="X45" s="4"/>
      <c r="Y45" s="7"/>
      <c r="Z45" s="7">
        <f>tbl_Fact_Sales[[#This Row],[Daily_Demand]]*10 + tbl_Fact_Sales[[#This Row],[Safety_Stock]]</f>
        <v>11.857142857142858</v>
      </c>
      <c r="AA45" s="7">
        <f>MAX(0, tbl_Fact_Sales[[#This Row],[Required_Stock]] - tbl_Fact_Sales[[#This Row],[Cases_SOH]])</f>
        <v>11.190476190476192</v>
      </c>
      <c r="AB45" s="7">
        <f>tbl_Fact_Sales[[#This Row],[Cases_SOH]] / tbl_Fact_Sales[[#This Row],[Daily_Demand]]</f>
        <v>0.67469879518072284</v>
      </c>
      <c r="AC45" s="7">
        <f>tbl_Fact_Sales[[#This Row],[Suggested_Order]] * tbl_Fact_Sales[[#This Row],[Daily_Demand]]</f>
        <v>11.057256235827666</v>
      </c>
      <c r="AD45" s="7" t="str">
        <f>TRIM(tbl_Fact_Sales[[#This Row],[Parent_Product]])</f>
        <v>POWERADE JAGGED</v>
      </c>
      <c r="AE45" s="7" cm="1">
        <f t="array" ref="AE45">IF(_xlfn.XLOOKUP(tbl_Fact_Sales[[#This Row],[Product_Code]], INDEX(rng_Recount, 0, 3), INDEX(rng_Recount, 0, 4), "") ="", tbl_Fact_Sales[[#This Row],[Cases_SOH]], _xlfn.XLOOKUP(tbl_Fact_Sales[[#This Row],[Product_Code]], INDEX(rng_Recount, 0, 3), INDEX(rng_Recount, 0, 4)))</f>
        <v>0.66666666666666663</v>
      </c>
      <c r="AF45" s="7">
        <f>ABS(tbl_Fact_Sales[[#This Row],[Required_Stock]] - tbl_Fact_Sales[[#This Row],[Adjusted_SOH]])</f>
        <v>11.190476190476192</v>
      </c>
      <c r="AG45" s="4" t="str">
        <f>IF(tbl_Fact_Sales[[#This Row],[Recount_Variance]]&lt;=10, "Acceptable", IF(tbl_Fact_Sales[[#This Row],[Recount_Variance]]&lt;=50, "Check", "Problem"))</f>
        <v>Check</v>
      </c>
    </row>
    <row r="46" spans="1:33" x14ac:dyDescent="0.25">
      <c r="A46" s="4">
        <v>5409</v>
      </c>
      <c r="B46" s="4">
        <v>54490482</v>
      </c>
      <c r="C46" s="4" t="s">
        <v>44</v>
      </c>
      <c r="D46" s="4" t="s">
        <v>19</v>
      </c>
      <c r="E46" s="4">
        <v>24</v>
      </c>
      <c r="F46" s="5">
        <v>3581.5405000000001</v>
      </c>
      <c r="G46" s="4">
        <v>543</v>
      </c>
      <c r="H46" s="4">
        <v>20.059999999999999</v>
      </c>
      <c r="I46" s="4">
        <v>60</v>
      </c>
      <c r="J46" s="4">
        <v>3</v>
      </c>
      <c r="K46" s="4" t="s">
        <v>19</v>
      </c>
      <c r="L46" s="6">
        <v>0.2006</v>
      </c>
      <c r="M46" s="4" t="str">
        <f>tbl_Fact_Sales[[#This Row],[Size_Clean]]</f>
        <v>500ML</v>
      </c>
      <c r="N46" s="4">
        <f>_xlfn.XLOOKUP(tbl_Fact_Sales[[#This Row],[Pack_Size]], tbl_Size_Map[Size_Clean], tbl_Size_Map[Units_Per_Case])</f>
        <v>12</v>
      </c>
      <c r="O46" s="7">
        <f>tbl_Fact_Sales[[#This Row],[Units_Sold]] / tbl_Fact_Sales[[#This Row],[Units_Per_Pack]]</f>
        <v>5</v>
      </c>
      <c r="P46" s="7">
        <f>tbl_Fact_Sales[[#This Row],[SOH]] / tbl_Fact_Sales[[#This Row],[Units_Per_Pack]]</f>
        <v>2</v>
      </c>
      <c r="Q46" s="4" t="s">
        <v>44</v>
      </c>
      <c r="R46" s="4">
        <f>SUMIFS(tbl_Fact_Sales[Units_Sold], tbl_Fact_Sales[Parent_Product], tbl_Fact_Sales[[#This Row],[Parent_Product]])</f>
        <v>60</v>
      </c>
      <c r="S46" s="4" t="str">
        <f>IF(ABS(tbl_Fact_Sales[[#This Row],[Parent_Total_Units]])&lt;0.0001, "Balanced", "Investigate")</f>
        <v>Investigate</v>
      </c>
      <c r="T46" s="4">
        <f>tbl_Fact_Sales[[#This Row],[Parent_Total_Units]]</f>
        <v>60</v>
      </c>
      <c r="U46" s="4" t="str">
        <f>IF(ABS(tbl_Fact_Sales[[#This Row],[Parent_Total_Units]])&lt;=50, "Acceptable", IF(ABS(tbl_Fact_Sales[[#This Row],[Parent_Total_Units]])&lt;=250, "Check", "Problem"))</f>
        <v>Check</v>
      </c>
      <c r="V46" s="7">
        <f>tbl_Fact_Sales[[#This Row],[Cases_Sold2]]/7</f>
        <v>0.7142857142857143</v>
      </c>
      <c r="W46" s="7">
        <f>tbl_Fact_Sales[[#This Row],[Daily_Demand]]*2</f>
        <v>1.4285714285714286</v>
      </c>
      <c r="X46" s="4"/>
      <c r="Y46" s="7"/>
      <c r="Z46" s="7">
        <f>tbl_Fact_Sales[[#This Row],[Daily_Demand]]*10 + tbl_Fact_Sales[[#This Row],[Safety_Stock]]</f>
        <v>8.5714285714285712</v>
      </c>
      <c r="AA46" s="7">
        <f>MAX(0, tbl_Fact_Sales[[#This Row],[Required_Stock]] - tbl_Fact_Sales[[#This Row],[Cases_SOH]])</f>
        <v>6.5714285714285712</v>
      </c>
      <c r="AB46" s="7">
        <f>tbl_Fact_Sales[[#This Row],[Cases_SOH]] / tbl_Fact_Sales[[#This Row],[Daily_Demand]]</f>
        <v>2.8</v>
      </c>
      <c r="AC46" s="7">
        <f>tbl_Fact_Sales[[#This Row],[Suggested_Order]] * tbl_Fact_Sales[[#This Row],[Daily_Demand]]</f>
        <v>4.6938775510204085</v>
      </c>
      <c r="AD46" s="7" t="str">
        <f>TRIM(tbl_Fact_Sales[[#This Row],[Parent_Product]])</f>
        <v>POWERADE M/BLAST</v>
      </c>
      <c r="AE46" s="7" cm="1">
        <f t="array" ref="AE46">IF(_xlfn.XLOOKUP(tbl_Fact_Sales[[#This Row],[Product_Code]], INDEX(rng_Recount, 0, 3), INDEX(rng_Recount, 0, 4), "") ="", tbl_Fact_Sales[[#This Row],[Cases_SOH]], _xlfn.XLOOKUP(tbl_Fact_Sales[[#This Row],[Product_Code]], INDEX(rng_Recount, 0, 3), INDEX(rng_Recount, 0, 4)))</f>
        <v>2</v>
      </c>
      <c r="AF46" s="7">
        <f>ABS(tbl_Fact_Sales[[#This Row],[Required_Stock]] - tbl_Fact_Sales[[#This Row],[Adjusted_SOH]])</f>
        <v>6.5714285714285712</v>
      </c>
      <c r="AG46" s="4" t="str">
        <f>IF(tbl_Fact_Sales[[#This Row],[Recount_Variance]]&lt;=10, "Acceptable", IF(tbl_Fact_Sales[[#This Row],[Recount_Variance]]&lt;=50, "Check", "Problem"))</f>
        <v>Acceptable</v>
      </c>
    </row>
    <row r="47" spans="1:33" x14ac:dyDescent="0.25">
      <c r="A47" s="4">
        <v>5791</v>
      </c>
      <c r="B47" s="4">
        <v>90492501</v>
      </c>
      <c r="C47" s="4" t="s">
        <v>45</v>
      </c>
      <c r="D47" s="4" t="s">
        <v>19</v>
      </c>
      <c r="E47" s="4">
        <v>31</v>
      </c>
      <c r="F47" s="5">
        <v>4130.9621999999999</v>
      </c>
      <c r="G47" s="4">
        <v>630</v>
      </c>
      <c r="H47" s="4">
        <v>21.13</v>
      </c>
      <c r="I47" s="4">
        <v>67</v>
      </c>
      <c r="J47" s="4">
        <v>3</v>
      </c>
      <c r="K47" s="4" t="s">
        <v>19</v>
      </c>
      <c r="L47" s="6">
        <v>0.21129999999999999</v>
      </c>
      <c r="M47" s="4" t="str">
        <f>tbl_Fact_Sales[[#This Row],[Size_Clean]]</f>
        <v>500ML</v>
      </c>
      <c r="N47" s="4">
        <f>_xlfn.XLOOKUP(tbl_Fact_Sales[[#This Row],[Pack_Size]], tbl_Size_Map[Size_Clean], tbl_Size_Map[Units_Per_Case])</f>
        <v>12</v>
      </c>
      <c r="O47" s="7">
        <f>tbl_Fact_Sales[[#This Row],[Units_Sold]] / tbl_Fact_Sales[[#This Row],[Units_Per_Pack]]</f>
        <v>5.583333333333333</v>
      </c>
      <c r="P47" s="7">
        <f>tbl_Fact_Sales[[#This Row],[SOH]] / tbl_Fact_Sales[[#This Row],[Units_Per_Pack]]</f>
        <v>2.5833333333333335</v>
      </c>
      <c r="Q47" s="4" t="s">
        <v>45</v>
      </c>
      <c r="R47" s="4">
        <f>SUMIFS(tbl_Fact_Sales[Units_Sold], tbl_Fact_Sales[Parent_Product], tbl_Fact_Sales[[#This Row],[Parent_Product]])</f>
        <v>67</v>
      </c>
      <c r="S47" s="4" t="str">
        <f>IF(ABS(tbl_Fact_Sales[[#This Row],[Parent_Total_Units]])&lt;0.0001, "Balanced", "Investigate")</f>
        <v>Investigate</v>
      </c>
      <c r="T47" s="4">
        <f>tbl_Fact_Sales[[#This Row],[Parent_Total_Units]]</f>
        <v>67</v>
      </c>
      <c r="U47" s="4" t="str">
        <f>IF(ABS(tbl_Fact_Sales[[#This Row],[Parent_Total_Units]])&lt;=50, "Acceptable", IF(ABS(tbl_Fact_Sales[[#This Row],[Parent_Total_Units]])&lt;=250, "Check", "Problem"))</f>
        <v>Check</v>
      </c>
      <c r="V47" s="7">
        <f>tbl_Fact_Sales[[#This Row],[Cases_Sold2]]/7</f>
        <v>0.79761904761904756</v>
      </c>
      <c r="W47" s="7">
        <f>tbl_Fact_Sales[[#This Row],[Daily_Demand]]*2</f>
        <v>1.5952380952380951</v>
      </c>
      <c r="X47" s="4"/>
      <c r="Y47" s="7"/>
      <c r="Z47" s="7">
        <f>tbl_Fact_Sales[[#This Row],[Daily_Demand]]*10 + tbl_Fact_Sales[[#This Row],[Safety_Stock]]</f>
        <v>9.5714285714285712</v>
      </c>
      <c r="AA47" s="7">
        <f>MAX(0, tbl_Fact_Sales[[#This Row],[Required_Stock]] - tbl_Fact_Sales[[#This Row],[Cases_SOH]])</f>
        <v>6.9880952380952372</v>
      </c>
      <c r="AB47" s="7">
        <f>tbl_Fact_Sales[[#This Row],[Cases_SOH]] / tbl_Fact_Sales[[#This Row],[Daily_Demand]]</f>
        <v>3.238805970149254</v>
      </c>
      <c r="AC47" s="7">
        <f>tbl_Fact_Sales[[#This Row],[Suggested_Order]] * tbl_Fact_Sales[[#This Row],[Daily_Demand]]</f>
        <v>5.5738378684807248</v>
      </c>
      <c r="AD47" s="7" t="str">
        <f>TRIM(tbl_Fact_Sales[[#This Row],[Parent_Product]])</f>
        <v>POWERADE NAARTJIE</v>
      </c>
      <c r="AE47" s="7" cm="1">
        <f t="array" ref="AE47">IF(_xlfn.XLOOKUP(tbl_Fact_Sales[[#This Row],[Product_Code]], INDEX(rng_Recount, 0, 3), INDEX(rng_Recount, 0, 4), "") ="", tbl_Fact_Sales[[#This Row],[Cases_SOH]], _xlfn.XLOOKUP(tbl_Fact_Sales[[#This Row],[Product_Code]], INDEX(rng_Recount, 0, 3), INDEX(rng_Recount, 0, 4)))</f>
        <v>2.5833333333333335</v>
      </c>
      <c r="AF47" s="7">
        <f>ABS(tbl_Fact_Sales[[#This Row],[Required_Stock]] - tbl_Fact_Sales[[#This Row],[Adjusted_SOH]])</f>
        <v>6.9880952380952372</v>
      </c>
      <c r="AG47" s="4" t="str">
        <f>IF(tbl_Fact_Sales[[#This Row],[Recount_Variance]]&lt;=10, "Acceptable", IF(tbl_Fact_Sales[[#This Row],[Recount_Variance]]&lt;=50, "Check", "Problem"))</f>
        <v>Acceptable</v>
      </c>
    </row>
    <row r="48" spans="1:33" x14ac:dyDescent="0.25">
      <c r="A48" s="4">
        <v>5410</v>
      </c>
      <c r="B48" s="4">
        <v>54490345</v>
      </c>
      <c r="C48" s="4" t="s">
        <v>50</v>
      </c>
      <c r="D48" s="4" t="s">
        <v>19</v>
      </c>
      <c r="E48" s="4">
        <v>-10</v>
      </c>
      <c r="F48" s="5">
        <v>3503.3123000000001</v>
      </c>
      <c r="G48" s="4">
        <v>545</v>
      </c>
      <c r="H48" s="4">
        <v>22.15</v>
      </c>
      <c r="I48" s="4">
        <v>95</v>
      </c>
      <c r="J48" s="4">
        <v>4</v>
      </c>
      <c r="K48" s="4" t="s">
        <v>19</v>
      </c>
      <c r="L48" s="6">
        <v>0.22149999999999997</v>
      </c>
      <c r="M48" s="4" t="str">
        <f>tbl_Fact_Sales[[#This Row],[Size_Clean]]</f>
        <v>500ML</v>
      </c>
      <c r="N48" s="4">
        <f>_xlfn.XLOOKUP(tbl_Fact_Sales[[#This Row],[Pack_Size]], tbl_Size_Map[Size_Clean], tbl_Size_Map[Units_Per_Case])</f>
        <v>12</v>
      </c>
      <c r="O48" s="7">
        <f>tbl_Fact_Sales[[#This Row],[Units_Sold]] / tbl_Fact_Sales[[#This Row],[Units_Per_Pack]]</f>
        <v>7.916666666666667</v>
      </c>
      <c r="P48" s="7">
        <f>tbl_Fact_Sales[[#This Row],[SOH]] / tbl_Fact_Sales[[#This Row],[Units_Per_Pack]]</f>
        <v>-0.83333333333333337</v>
      </c>
      <c r="Q48" s="4" t="s">
        <v>50</v>
      </c>
      <c r="R48" s="4">
        <f>SUMIFS(tbl_Fact_Sales[Units_Sold], tbl_Fact_Sales[Parent_Product], tbl_Fact_Sales[[#This Row],[Parent_Product]])</f>
        <v>95</v>
      </c>
      <c r="S48" s="4" t="str">
        <f>IF(ABS(tbl_Fact_Sales[[#This Row],[Parent_Total_Units]])&lt;0.0001, "Balanced", "Investigate")</f>
        <v>Investigate</v>
      </c>
      <c r="T48" s="4">
        <f>tbl_Fact_Sales[[#This Row],[Parent_Total_Units]]</f>
        <v>95</v>
      </c>
      <c r="U48" s="4" t="str">
        <f>IF(ABS(tbl_Fact_Sales[[#This Row],[Parent_Total_Units]])&lt;=50, "Acceptable", IF(ABS(tbl_Fact_Sales[[#This Row],[Parent_Total_Units]])&lt;=250, "Check", "Problem"))</f>
        <v>Check</v>
      </c>
      <c r="V48" s="7">
        <f>tbl_Fact_Sales[[#This Row],[Cases_Sold2]]/7</f>
        <v>1.1309523809523809</v>
      </c>
      <c r="W48" s="7">
        <f>tbl_Fact_Sales[[#This Row],[Daily_Demand]]*2</f>
        <v>2.2619047619047619</v>
      </c>
      <c r="X48" s="4"/>
      <c r="Y48" s="7"/>
      <c r="Z48" s="7">
        <f>tbl_Fact_Sales[[#This Row],[Daily_Demand]]*10 + tbl_Fact_Sales[[#This Row],[Safety_Stock]]</f>
        <v>13.571428571428573</v>
      </c>
      <c r="AA48" s="7">
        <f>MAX(0, tbl_Fact_Sales[[#This Row],[Required_Stock]] - tbl_Fact_Sales[[#This Row],[Cases_SOH]])</f>
        <v>14.404761904761907</v>
      </c>
      <c r="AB48" s="7">
        <f>tbl_Fact_Sales[[#This Row],[Cases_SOH]] / tbl_Fact_Sales[[#This Row],[Daily_Demand]]</f>
        <v>-0.73684210526315796</v>
      </c>
      <c r="AC48" s="7">
        <f>tbl_Fact_Sales[[#This Row],[Suggested_Order]] * tbl_Fact_Sales[[#This Row],[Daily_Demand]]</f>
        <v>16.291099773242632</v>
      </c>
      <c r="AD48" s="7" t="str">
        <f>TRIM(tbl_Fact_Sales[[#This Row],[Parent_Product]])</f>
        <v>POWERADE ORANGE</v>
      </c>
      <c r="AE48" s="7" cm="1">
        <f t="array" ref="AE48">IF(_xlfn.XLOOKUP(tbl_Fact_Sales[[#This Row],[Product_Code]], INDEX(rng_Recount, 0, 3), INDEX(rng_Recount, 0, 4), "") ="", tbl_Fact_Sales[[#This Row],[Cases_SOH]], _xlfn.XLOOKUP(tbl_Fact_Sales[[#This Row],[Product_Code]], INDEX(rng_Recount, 0, 3), INDEX(rng_Recount, 0, 4)))</f>
        <v>-0.83333333333333337</v>
      </c>
      <c r="AF48" s="7">
        <f>ABS(tbl_Fact_Sales[[#This Row],[Required_Stock]] - tbl_Fact_Sales[[#This Row],[Adjusted_SOH]])</f>
        <v>14.404761904761907</v>
      </c>
      <c r="AG48" s="4" t="str">
        <f>IF(tbl_Fact_Sales[[#This Row],[Recount_Variance]]&lt;=10, "Acceptable", IF(tbl_Fact_Sales[[#This Row],[Recount_Variance]]&lt;=50, "Check", "Problem"))</f>
        <v>Check</v>
      </c>
    </row>
    <row r="49" spans="1:33" x14ac:dyDescent="0.25">
      <c r="A49" s="4">
        <v>22912</v>
      </c>
      <c r="B49" s="4">
        <v>5449000000000</v>
      </c>
      <c r="C49" s="4" t="s">
        <v>47</v>
      </c>
      <c r="D49" s="4" t="s">
        <v>27</v>
      </c>
      <c r="E49" s="4">
        <v>3</v>
      </c>
      <c r="F49" s="5">
        <v>2723.0767000000001</v>
      </c>
      <c r="G49" s="4">
        <v>543</v>
      </c>
      <c r="H49" s="4">
        <v>23.71</v>
      </c>
      <c r="I49" s="4">
        <v>81</v>
      </c>
      <c r="J49" s="4">
        <v>3</v>
      </c>
      <c r="K49" s="4" t="s">
        <v>27</v>
      </c>
      <c r="L49" s="6">
        <v>0.23710000000000001</v>
      </c>
      <c r="M49" s="4" t="str">
        <f>tbl_Fact_Sales[[#This Row],[Size_Clean]]</f>
        <v>330ML</v>
      </c>
      <c r="N49" s="4">
        <f>_xlfn.XLOOKUP(tbl_Fact_Sales[[#This Row],[Pack_Size]], tbl_Size_Map[Size_Clean], tbl_Size_Map[Units_Per_Case])</f>
        <v>24</v>
      </c>
      <c r="O49" s="7">
        <f>tbl_Fact_Sales[[#This Row],[Units_Sold]] / tbl_Fact_Sales[[#This Row],[Units_Per_Pack]]</f>
        <v>3.375</v>
      </c>
      <c r="P49" s="7">
        <f>tbl_Fact_Sales[[#This Row],[SOH]] / tbl_Fact_Sales[[#This Row],[Units_Per_Pack]]</f>
        <v>0.125</v>
      </c>
      <c r="Q49" s="4" t="s">
        <v>102</v>
      </c>
      <c r="R49" s="4">
        <f>SUMIFS(tbl_Fact_Sales[Units_Sold], tbl_Fact_Sales[Parent_Product], tbl_Fact_Sales[[#This Row],[Parent_Product]])</f>
        <v>81</v>
      </c>
      <c r="S49" s="4" t="str">
        <f>IF(ABS(tbl_Fact_Sales[[#This Row],[Parent_Total_Units]])&lt;0.0001, "Balanced", "Investigate")</f>
        <v>Investigate</v>
      </c>
      <c r="T49" s="4">
        <f>tbl_Fact_Sales[[#This Row],[Parent_Total_Units]]</f>
        <v>81</v>
      </c>
      <c r="U49" s="4" t="str">
        <f>IF(ABS(tbl_Fact_Sales[[#This Row],[Parent_Total_Units]])&lt;=50, "Acceptable", IF(ABS(tbl_Fact_Sales[[#This Row],[Parent_Total_Units]])&lt;=250, "Check", "Problem"))</f>
        <v>Check</v>
      </c>
      <c r="V49" s="7">
        <f>tbl_Fact_Sales[[#This Row],[Cases_Sold2]]/7</f>
        <v>0.48214285714285715</v>
      </c>
      <c r="W49" s="7">
        <f>tbl_Fact_Sales[[#This Row],[Daily_Demand]]*2</f>
        <v>0.9642857142857143</v>
      </c>
      <c r="X49" s="4"/>
      <c r="Y49" s="7"/>
      <c r="Z49" s="7">
        <f>tbl_Fact_Sales[[#This Row],[Daily_Demand]]*10 + tbl_Fact_Sales[[#This Row],[Safety_Stock]]</f>
        <v>5.7857142857142856</v>
      </c>
      <c r="AA49" s="7">
        <f>MAX(0, tbl_Fact_Sales[[#This Row],[Required_Stock]] - tbl_Fact_Sales[[#This Row],[Cases_SOH]])</f>
        <v>5.6607142857142856</v>
      </c>
      <c r="AB49" s="7">
        <f>tbl_Fact_Sales[[#This Row],[Cases_SOH]] / tbl_Fact_Sales[[#This Row],[Daily_Demand]]</f>
        <v>0.25925925925925924</v>
      </c>
      <c r="AC49" s="7">
        <f>tbl_Fact_Sales[[#This Row],[Suggested_Order]] * tbl_Fact_Sales[[#This Row],[Daily_Demand]]</f>
        <v>2.7292729591836733</v>
      </c>
      <c r="AD49" s="7" t="str">
        <f>TRIM(tbl_Fact_Sales[[#This Row],[Parent_Product]])</f>
        <v>SCHWEPPES DRY</v>
      </c>
      <c r="AE49" s="7" cm="1">
        <f t="array" ref="AE49">IF(_xlfn.XLOOKUP(tbl_Fact_Sales[[#This Row],[Product_Code]], INDEX(rng_Recount, 0, 3), INDEX(rng_Recount, 0, 4), "") ="", tbl_Fact_Sales[[#This Row],[Cases_SOH]], _xlfn.XLOOKUP(tbl_Fact_Sales[[#This Row],[Product_Code]], INDEX(rng_Recount, 0, 3), INDEX(rng_Recount, 0, 4)))</f>
        <v>0.125</v>
      </c>
      <c r="AF49" s="7">
        <f>ABS(tbl_Fact_Sales[[#This Row],[Required_Stock]] - tbl_Fact_Sales[[#This Row],[Adjusted_SOH]])</f>
        <v>5.6607142857142856</v>
      </c>
      <c r="AG49" s="4" t="str">
        <f>IF(tbl_Fact_Sales[[#This Row],[Recount_Variance]]&lt;=10, "Acceptable", IF(tbl_Fact_Sales[[#This Row],[Recount_Variance]]&lt;=50, "Check", "Problem"))</f>
        <v>Acceptable</v>
      </c>
    </row>
    <row r="50" spans="1:33" x14ac:dyDescent="0.25">
      <c r="A50" s="4">
        <v>5162</v>
      </c>
      <c r="B50" s="4">
        <v>5449000000000</v>
      </c>
      <c r="C50" s="4" t="s">
        <v>74</v>
      </c>
      <c r="D50" s="4" t="s">
        <v>24</v>
      </c>
      <c r="E50" s="4">
        <v>64</v>
      </c>
      <c r="F50" s="5">
        <v>984.97559999999999</v>
      </c>
      <c r="G50" s="4">
        <v>214</v>
      </c>
      <c r="H50" s="4">
        <v>18.989999999999998</v>
      </c>
      <c r="I50" s="4">
        <v>-31</v>
      </c>
      <c r="J50" s="4">
        <v>-1</v>
      </c>
      <c r="K50" s="4" t="s">
        <v>24</v>
      </c>
      <c r="L50" s="6">
        <v>0.18989999999999999</v>
      </c>
      <c r="M50" s="4" t="str">
        <f>tbl_Fact_Sales[[#This Row],[Size_Clean]]</f>
        <v>200ML</v>
      </c>
      <c r="N50" s="4">
        <f>_xlfn.XLOOKUP(tbl_Fact_Sales[[#This Row],[Pack_Size]], tbl_Size_Map[Size_Clean], tbl_Size_Map[Units_Per_Case])</f>
        <v>24</v>
      </c>
      <c r="O50" s="7">
        <f>tbl_Fact_Sales[[#This Row],[Units_Sold]] / tbl_Fact_Sales[[#This Row],[Units_Per_Pack]]</f>
        <v>-1.2916666666666667</v>
      </c>
      <c r="P50" s="7">
        <f>tbl_Fact_Sales[[#This Row],[SOH]] / tbl_Fact_Sales[[#This Row],[Units_Per_Pack]]</f>
        <v>2.6666666666666665</v>
      </c>
      <c r="Q50" s="4" t="s">
        <v>103</v>
      </c>
      <c r="R50" s="4">
        <f>SUMIFS(tbl_Fact_Sales[Units_Sold], tbl_Fact_Sales[Parent_Product], tbl_Fact_Sales[[#This Row],[Parent_Product]])</f>
        <v>20</v>
      </c>
      <c r="S50" s="4" t="str">
        <f>IF(ABS(tbl_Fact_Sales[[#This Row],[Parent_Total_Units]])&lt;0.0001, "Balanced", "Investigate")</f>
        <v>Investigate</v>
      </c>
      <c r="T50" s="4">
        <f>tbl_Fact_Sales[[#This Row],[Parent_Total_Units]]</f>
        <v>20</v>
      </c>
      <c r="U50" s="4" t="str">
        <f>IF(ABS(tbl_Fact_Sales[[#This Row],[Parent_Total_Units]])&lt;=50, "Acceptable", IF(ABS(tbl_Fact_Sales[[#This Row],[Parent_Total_Units]])&lt;=250, "Check", "Problem"))</f>
        <v>Acceptable</v>
      </c>
      <c r="V50" s="7">
        <f>tbl_Fact_Sales[[#This Row],[Cases_Sold2]]/7</f>
        <v>-0.18452380952380953</v>
      </c>
      <c r="W50" s="7">
        <f>tbl_Fact_Sales[[#This Row],[Daily_Demand]]*2</f>
        <v>-0.36904761904761907</v>
      </c>
      <c r="X50" s="4"/>
      <c r="Y50" s="7"/>
      <c r="Z50" s="7">
        <f>tbl_Fact_Sales[[#This Row],[Daily_Demand]]*10 + tbl_Fact_Sales[[#This Row],[Safety_Stock]]</f>
        <v>-2.2142857142857144</v>
      </c>
      <c r="AA50" s="7">
        <f>MAX(0, tbl_Fact_Sales[[#This Row],[Required_Stock]] - tbl_Fact_Sales[[#This Row],[Cases_SOH]])</f>
        <v>0</v>
      </c>
      <c r="AB50" s="7">
        <f>tbl_Fact_Sales[[#This Row],[Cases_SOH]] / tbl_Fact_Sales[[#This Row],[Daily_Demand]]</f>
        <v>-14.451612903225804</v>
      </c>
      <c r="AC50" s="7">
        <f>tbl_Fact_Sales[[#This Row],[Suggested_Order]] * tbl_Fact_Sales[[#This Row],[Daily_Demand]]</f>
        <v>0</v>
      </c>
      <c r="AD50" s="7" t="str">
        <f>TRIM(tbl_Fact_Sales[[#This Row],[Parent_Product]])</f>
        <v>SCHWEPPES GINGER</v>
      </c>
      <c r="AE50" s="7" cm="1">
        <f t="array" ref="AE50">IF(_xlfn.XLOOKUP(tbl_Fact_Sales[[#This Row],[Product_Code]], INDEX(rng_Recount, 0, 3), INDEX(rng_Recount, 0, 4), "") ="", tbl_Fact_Sales[[#This Row],[Cases_SOH]], _xlfn.XLOOKUP(tbl_Fact_Sales[[#This Row],[Product_Code]], INDEX(rng_Recount, 0, 3), INDEX(rng_Recount, 0, 4)))</f>
        <v>2.6666666666666665</v>
      </c>
      <c r="AF50" s="7">
        <f>ABS(tbl_Fact_Sales[[#This Row],[Required_Stock]] - tbl_Fact_Sales[[#This Row],[Adjusted_SOH]])</f>
        <v>4.8809523809523814</v>
      </c>
      <c r="AG50" s="4" t="str">
        <f>IF(tbl_Fact_Sales[[#This Row],[Recount_Variance]]&lt;=10, "Acceptable", IF(tbl_Fact_Sales[[#This Row],[Recount_Variance]]&lt;=50, "Check", "Problem"))</f>
        <v>Acceptable</v>
      </c>
    </row>
    <row r="51" spans="1:33" x14ac:dyDescent="0.25">
      <c r="A51" s="4">
        <v>9755</v>
      </c>
      <c r="B51" s="4">
        <v>5449000000000</v>
      </c>
      <c r="C51" s="4" t="s">
        <v>74</v>
      </c>
      <c r="D51" s="4" t="s">
        <v>22</v>
      </c>
      <c r="E51" s="4">
        <v>36</v>
      </c>
      <c r="F51" s="5">
        <v>4892.7006000000001</v>
      </c>
      <c r="G51" s="4">
        <v>559</v>
      </c>
      <c r="H51" s="4">
        <v>20.05</v>
      </c>
      <c r="I51" s="4">
        <v>51</v>
      </c>
      <c r="J51" s="4">
        <v>4</v>
      </c>
      <c r="K51" s="4" t="s">
        <v>23</v>
      </c>
      <c r="L51" s="6">
        <v>0.20050000000000001</v>
      </c>
      <c r="M51" s="4" t="str">
        <f>tbl_Fact_Sales[[#This Row],[Size_Clean]]</f>
        <v>1L</v>
      </c>
      <c r="N51" s="4">
        <f>_xlfn.XLOOKUP(tbl_Fact_Sales[[#This Row],[Pack_Size]], tbl_Size_Map[Size_Clean], tbl_Size_Map[Units_Per_Case])</f>
        <v>12</v>
      </c>
      <c r="O51" s="7">
        <f>tbl_Fact_Sales[[#This Row],[Units_Sold]] / tbl_Fact_Sales[[#This Row],[Units_Per_Pack]]</f>
        <v>4.25</v>
      </c>
      <c r="P51" s="7">
        <f>tbl_Fact_Sales[[#This Row],[SOH]] / tbl_Fact_Sales[[#This Row],[Units_Per_Pack]]</f>
        <v>3</v>
      </c>
      <c r="Q51" s="4" t="s">
        <v>103</v>
      </c>
      <c r="R51" s="4">
        <f>SUMIFS(tbl_Fact_Sales[Units_Sold], tbl_Fact_Sales[Parent_Product], tbl_Fact_Sales[[#This Row],[Parent_Product]])</f>
        <v>20</v>
      </c>
      <c r="S51" s="4" t="str">
        <f>IF(ABS(tbl_Fact_Sales[[#This Row],[Parent_Total_Units]])&lt;0.0001, "Balanced", "Investigate")</f>
        <v>Investigate</v>
      </c>
      <c r="T51" s="4">
        <f>tbl_Fact_Sales[[#This Row],[Parent_Total_Units]]</f>
        <v>20</v>
      </c>
      <c r="U51" s="4" t="str">
        <f>IF(ABS(tbl_Fact_Sales[[#This Row],[Parent_Total_Units]])&lt;=50, "Acceptable", IF(ABS(tbl_Fact_Sales[[#This Row],[Parent_Total_Units]])&lt;=250, "Check", "Problem"))</f>
        <v>Acceptable</v>
      </c>
      <c r="V51" s="7">
        <f>tbl_Fact_Sales[[#This Row],[Cases_Sold2]]/7</f>
        <v>0.6071428571428571</v>
      </c>
      <c r="W51" s="7">
        <f>tbl_Fact_Sales[[#This Row],[Daily_Demand]]*2</f>
        <v>1.2142857142857142</v>
      </c>
      <c r="X51" s="4"/>
      <c r="Y51" s="7"/>
      <c r="Z51" s="7">
        <f>tbl_Fact_Sales[[#This Row],[Daily_Demand]]*10 + tbl_Fact_Sales[[#This Row],[Safety_Stock]]</f>
        <v>7.2857142857142856</v>
      </c>
      <c r="AA51" s="7">
        <f>MAX(0, tbl_Fact_Sales[[#This Row],[Required_Stock]] - tbl_Fact_Sales[[#This Row],[Cases_SOH]])</f>
        <v>4.2857142857142856</v>
      </c>
      <c r="AB51" s="7">
        <f>tbl_Fact_Sales[[#This Row],[Cases_SOH]] / tbl_Fact_Sales[[#This Row],[Daily_Demand]]</f>
        <v>4.9411764705882355</v>
      </c>
      <c r="AC51" s="7">
        <f>tbl_Fact_Sales[[#This Row],[Suggested_Order]] * tbl_Fact_Sales[[#This Row],[Daily_Demand]]</f>
        <v>2.6020408163265305</v>
      </c>
      <c r="AD51" s="7" t="str">
        <f>TRIM(tbl_Fact_Sales[[#This Row],[Parent_Product]])</f>
        <v>SCHWEPPES GINGER</v>
      </c>
      <c r="AE51" s="7" cm="1">
        <f t="array" ref="AE51">IF(_xlfn.XLOOKUP(tbl_Fact_Sales[[#This Row],[Product_Code]], INDEX(rng_Recount, 0, 3), INDEX(rng_Recount, 0, 4), "") ="", tbl_Fact_Sales[[#This Row],[Cases_SOH]], _xlfn.XLOOKUP(tbl_Fact_Sales[[#This Row],[Product_Code]], INDEX(rng_Recount, 0, 3), INDEX(rng_Recount, 0, 4)))</f>
        <v>3</v>
      </c>
      <c r="AF51" s="7">
        <f>ABS(tbl_Fact_Sales[[#This Row],[Required_Stock]] - tbl_Fact_Sales[[#This Row],[Adjusted_SOH]])</f>
        <v>4.2857142857142856</v>
      </c>
      <c r="AG51" s="4" t="str">
        <f>IF(tbl_Fact_Sales[[#This Row],[Recount_Variance]]&lt;=10, "Acceptable", IF(tbl_Fact_Sales[[#This Row],[Recount_Variance]]&lt;=50, "Check", "Problem"))</f>
        <v>Acceptable</v>
      </c>
    </row>
    <row r="52" spans="1:33" x14ac:dyDescent="0.25">
      <c r="A52" s="4">
        <v>5163</v>
      </c>
      <c r="B52" s="4">
        <v>5449000000000</v>
      </c>
      <c r="C52" s="4" t="s">
        <v>75</v>
      </c>
      <c r="D52" s="4" t="s">
        <v>24</v>
      </c>
      <c r="E52" s="4">
        <v>95</v>
      </c>
      <c r="F52" s="5">
        <v>662.56979999999999</v>
      </c>
      <c r="G52" s="4">
        <v>144</v>
      </c>
      <c r="H52" s="4">
        <v>19.11</v>
      </c>
      <c r="I52" s="4">
        <v>-73</v>
      </c>
      <c r="J52" s="4">
        <v>-3</v>
      </c>
      <c r="K52" s="4" t="s">
        <v>24</v>
      </c>
      <c r="L52" s="6">
        <v>0.19109999999999999</v>
      </c>
      <c r="M52" s="4" t="str">
        <f>tbl_Fact_Sales[[#This Row],[Size_Clean]]</f>
        <v>200ML</v>
      </c>
      <c r="N52" s="4">
        <f>_xlfn.XLOOKUP(tbl_Fact_Sales[[#This Row],[Pack_Size]], tbl_Size_Map[Size_Clean], tbl_Size_Map[Units_Per_Case])</f>
        <v>24</v>
      </c>
      <c r="O52" s="7">
        <f>tbl_Fact_Sales[[#This Row],[Units_Sold]] / tbl_Fact_Sales[[#This Row],[Units_Per_Pack]]</f>
        <v>-3.0416666666666665</v>
      </c>
      <c r="P52" s="7">
        <f>tbl_Fact_Sales[[#This Row],[SOH]] / tbl_Fact_Sales[[#This Row],[Units_Per_Pack]]</f>
        <v>3.9583333333333335</v>
      </c>
      <c r="Q52" s="4" t="s">
        <v>75</v>
      </c>
      <c r="R52" s="4">
        <f>SUMIFS(tbl_Fact_Sales[Units_Sold], tbl_Fact_Sales[Parent_Product], tbl_Fact_Sales[[#This Row],[Parent_Product]])</f>
        <v>-73</v>
      </c>
      <c r="S52" s="4" t="str">
        <f>IF(ABS(tbl_Fact_Sales[[#This Row],[Parent_Total_Units]])&lt;0.0001, "Balanced", "Investigate")</f>
        <v>Investigate</v>
      </c>
      <c r="T52" s="4">
        <f>tbl_Fact_Sales[[#This Row],[Parent_Total_Units]]</f>
        <v>-73</v>
      </c>
      <c r="U52" s="4" t="str">
        <f>IF(ABS(tbl_Fact_Sales[[#This Row],[Parent_Total_Units]])&lt;=50, "Acceptable", IF(ABS(tbl_Fact_Sales[[#This Row],[Parent_Total_Units]])&lt;=250, "Check", "Problem"))</f>
        <v>Check</v>
      </c>
      <c r="V52" s="7">
        <f>tbl_Fact_Sales[[#This Row],[Cases_Sold2]]/7</f>
        <v>-0.43452380952380948</v>
      </c>
      <c r="W52" s="7">
        <f>tbl_Fact_Sales[[#This Row],[Daily_Demand]]*2</f>
        <v>-0.86904761904761896</v>
      </c>
      <c r="X52" s="4"/>
      <c r="Y52" s="7"/>
      <c r="Z52" s="7">
        <f>tbl_Fact_Sales[[#This Row],[Daily_Demand]]*10 + tbl_Fact_Sales[[#This Row],[Safety_Stock]]</f>
        <v>-5.2142857142857135</v>
      </c>
      <c r="AA52" s="7">
        <f>MAX(0, tbl_Fact_Sales[[#This Row],[Required_Stock]] - tbl_Fact_Sales[[#This Row],[Cases_SOH]])</f>
        <v>0</v>
      </c>
      <c r="AB52" s="7">
        <f>tbl_Fact_Sales[[#This Row],[Cases_SOH]] / tbl_Fact_Sales[[#This Row],[Daily_Demand]]</f>
        <v>-9.1095890410958908</v>
      </c>
      <c r="AC52" s="7">
        <f>tbl_Fact_Sales[[#This Row],[Suggested_Order]] * tbl_Fact_Sales[[#This Row],[Daily_Demand]]</f>
        <v>0</v>
      </c>
      <c r="AD52" s="7" t="str">
        <f>TRIM(tbl_Fact_Sales[[#This Row],[Parent_Product]])</f>
        <v>SCHWEPPES LEMONADE</v>
      </c>
      <c r="AE52" s="7" cm="1">
        <f t="array" ref="AE52">IF(_xlfn.XLOOKUP(tbl_Fact_Sales[[#This Row],[Product_Code]], INDEX(rng_Recount, 0, 3), INDEX(rng_Recount, 0, 4), "") ="", tbl_Fact_Sales[[#This Row],[Cases_SOH]], _xlfn.XLOOKUP(tbl_Fact_Sales[[#This Row],[Product_Code]], INDEX(rng_Recount, 0, 3), INDEX(rng_Recount, 0, 4)))</f>
        <v>3.9583333333333335</v>
      </c>
      <c r="AF52" s="7">
        <f>ABS(tbl_Fact_Sales[[#This Row],[Required_Stock]] - tbl_Fact_Sales[[#This Row],[Adjusted_SOH]])</f>
        <v>9.1726190476190474</v>
      </c>
      <c r="AG52" s="4" t="str">
        <f>IF(tbl_Fact_Sales[[#This Row],[Recount_Variance]]&lt;=10, "Acceptable", IF(tbl_Fact_Sales[[#This Row],[Recount_Variance]]&lt;=50, "Check", "Problem"))</f>
        <v>Acceptable</v>
      </c>
    </row>
    <row r="53" spans="1:33" x14ac:dyDescent="0.25">
      <c r="A53" s="4">
        <v>6063</v>
      </c>
      <c r="B53" s="4">
        <v>5449000000000</v>
      </c>
      <c r="C53" s="4" t="s">
        <v>53</v>
      </c>
      <c r="D53" s="4" t="s">
        <v>22</v>
      </c>
      <c r="E53" s="4">
        <v>12</v>
      </c>
      <c r="F53" s="5">
        <v>3820.5367000000001</v>
      </c>
      <c r="G53" s="4">
        <v>434</v>
      </c>
      <c r="H53" s="4">
        <v>19.579999999999998</v>
      </c>
      <c r="I53" s="4">
        <v>56</v>
      </c>
      <c r="J53" s="4">
        <v>5</v>
      </c>
      <c r="K53" s="4" t="s">
        <v>23</v>
      </c>
      <c r="L53" s="6">
        <v>0.19579999999999997</v>
      </c>
      <c r="M53" s="4" t="str">
        <f>tbl_Fact_Sales[[#This Row],[Size_Clean]]</f>
        <v>1L</v>
      </c>
      <c r="N53" s="4">
        <f>_xlfn.XLOOKUP(tbl_Fact_Sales[[#This Row],[Pack_Size]], tbl_Size_Map[Size_Clean], tbl_Size_Map[Units_Per_Case])</f>
        <v>12</v>
      </c>
      <c r="O53" s="7">
        <f>tbl_Fact_Sales[[#This Row],[Units_Sold]] / tbl_Fact_Sales[[#This Row],[Units_Per_Pack]]</f>
        <v>4.666666666666667</v>
      </c>
      <c r="P53" s="7">
        <f>tbl_Fact_Sales[[#This Row],[SOH]] / tbl_Fact_Sales[[#This Row],[Units_Per_Pack]]</f>
        <v>1</v>
      </c>
      <c r="Q53" s="4" t="s">
        <v>104</v>
      </c>
      <c r="R53" s="4">
        <f>SUMIFS(tbl_Fact_Sales[Units_Sold], tbl_Fact_Sales[Parent_Product], tbl_Fact_Sales[[#This Row],[Parent_Product]])</f>
        <v>-24</v>
      </c>
      <c r="S53" s="4" t="str">
        <f>IF(ABS(tbl_Fact_Sales[[#This Row],[Parent_Total_Units]])&lt;0.0001, "Balanced", "Investigate")</f>
        <v>Investigate</v>
      </c>
      <c r="T53" s="4">
        <f>tbl_Fact_Sales[[#This Row],[Parent_Total_Units]]</f>
        <v>-24</v>
      </c>
      <c r="U53" s="4" t="str">
        <f>IF(ABS(tbl_Fact_Sales[[#This Row],[Parent_Total_Units]])&lt;=50, "Acceptable", IF(ABS(tbl_Fact_Sales[[#This Row],[Parent_Total_Units]])&lt;=250, "Check", "Problem"))</f>
        <v>Acceptable</v>
      </c>
      <c r="V53" s="7">
        <f>tbl_Fact_Sales[[#This Row],[Cases_Sold2]]/7</f>
        <v>0.66666666666666674</v>
      </c>
      <c r="W53" s="7">
        <f>tbl_Fact_Sales[[#This Row],[Daily_Demand]]*2</f>
        <v>1.3333333333333335</v>
      </c>
      <c r="X53" s="4"/>
      <c r="Y53" s="7"/>
      <c r="Z53" s="7">
        <f>tbl_Fact_Sales[[#This Row],[Daily_Demand]]*10 + tbl_Fact_Sales[[#This Row],[Safety_Stock]]</f>
        <v>8.0000000000000018</v>
      </c>
      <c r="AA53" s="7">
        <f>MAX(0, tbl_Fact_Sales[[#This Row],[Required_Stock]] - tbl_Fact_Sales[[#This Row],[Cases_SOH]])</f>
        <v>7.0000000000000018</v>
      </c>
      <c r="AB53" s="7">
        <f>tbl_Fact_Sales[[#This Row],[Cases_SOH]] / tbl_Fact_Sales[[#This Row],[Daily_Demand]]</f>
        <v>1.4999999999999998</v>
      </c>
      <c r="AC53" s="7">
        <f>tbl_Fact_Sales[[#This Row],[Suggested_Order]] * tbl_Fact_Sales[[#This Row],[Daily_Demand]]</f>
        <v>4.6666666666666687</v>
      </c>
      <c r="AD53" s="7" t="str">
        <f>TRIM(tbl_Fact_Sales[[#This Row],[Parent_Product]])</f>
        <v>SCHWEPPES SODA</v>
      </c>
      <c r="AE53" s="7" cm="1">
        <f t="array" ref="AE53">IF(_xlfn.XLOOKUP(tbl_Fact_Sales[[#This Row],[Product_Code]], INDEX(rng_Recount, 0, 3), INDEX(rng_Recount, 0, 4), "") ="", tbl_Fact_Sales[[#This Row],[Cases_SOH]], _xlfn.XLOOKUP(tbl_Fact_Sales[[#This Row],[Product_Code]], INDEX(rng_Recount, 0, 3), INDEX(rng_Recount, 0, 4)))</f>
        <v>1</v>
      </c>
      <c r="AF53" s="7">
        <f>ABS(tbl_Fact_Sales[[#This Row],[Required_Stock]] - tbl_Fact_Sales[[#This Row],[Adjusted_SOH]])</f>
        <v>7.0000000000000018</v>
      </c>
      <c r="AG53" s="4" t="str">
        <f>IF(tbl_Fact_Sales[[#This Row],[Recount_Variance]]&lt;=10, "Acceptable", IF(tbl_Fact_Sales[[#This Row],[Recount_Variance]]&lt;=50, "Check", "Problem"))</f>
        <v>Acceptable</v>
      </c>
    </row>
    <row r="54" spans="1:33" x14ac:dyDescent="0.25">
      <c r="A54" s="4">
        <v>1220</v>
      </c>
      <c r="B54" s="4">
        <v>5449000000000</v>
      </c>
      <c r="C54" s="4" t="s">
        <v>53</v>
      </c>
      <c r="D54" s="4" t="s">
        <v>24</v>
      </c>
      <c r="E54" s="4">
        <v>97</v>
      </c>
      <c r="F54" s="5">
        <v>515.3913</v>
      </c>
      <c r="G54" s="4">
        <v>112</v>
      </c>
      <c r="H54" s="4">
        <v>19.18</v>
      </c>
      <c r="I54" s="4">
        <v>-80</v>
      </c>
      <c r="J54" s="4">
        <v>-3</v>
      </c>
      <c r="K54" s="4" t="s">
        <v>24</v>
      </c>
      <c r="L54" s="6">
        <v>0.1918</v>
      </c>
      <c r="M54" s="4" t="str">
        <f>tbl_Fact_Sales[[#This Row],[Size_Clean]]</f>
        <v>200ML</v>
      </c>
      <c r="N54" s="4">
        <f>_xlfn.XLOOKUP(tbl_Fact_Sales[[#This Row],[Pack_Size]], tbl_Size_Map[Size_Clean], tbl_Size_Map[Units_Per_Case])</f>
        <v>24</v>
      </c>
      <c r="O54" s="7">
        <f>tbl_Fact_Sales[[#This Row],[Units_Sold]] / tbl_Fact_Sales[[#This Row],[Units_Per_Pack]]</f>
        <v>-3.3333333333333335</v>
      </c>
      <c r="P54" s="7">
        <f>tbl_Fact_Sales[[#This Row],[SOH]] / tbl_Fact_Sales[[#This Row],[Units_Per_Pack]]</f>
        <v>4.041666666666667</v>
      </c>
      <c r="Q54" s="4" t="s">
        <v>104</v>
      </c>
      <c r="R54" s="4">
        <f>SUMIFS(tbl_Fact_Sales[Units_Sold], tbl_Fact_Sales[Parent_Product], tbl_Fact_Sales[[#This Row],[Parent_Product]])</f>
        <v>-24</v>
      </c>
      <c r="S54" s="4" t="str">
        <f>IF(ABS(tbl_Fact_Sales[[#This Row],[Parent_Total_Units]])&lt;0.0001, "Balanced", "Investigate")</f>
        <v>Investigate</v>
      </c>
      <c r="T54" s="4">
        <f>tbl_Fact_Sales[[#This Row],[Parent_Total_Units]]</f>
        <v>-24</v>
      </c>
      <c r="U54" s="4" t="str">
        <f>IF(ABS(tbl_Fact_Sales[[#This Row],[Parent_Total_Units]])&lt;=50, "Acceptable", IF(ABS(tbl_Fact_Sales[[#This Row],[Parent_Total_Units]])&lt;=250, "Check", "Problem"))</f>
        <v>Acceptable</v>
      </c>
      <c r="V54" s="7">
        <f>tbl_Fact_Sales[[#This Row],[Cases_Sold2]]/7</f>
        <v>-0.47619047619047622</v>
      </c>
      <c r="W54" s="7">
        <f>tbl_Fact_Sales[[#This Row],[Daily_Demand]]*2</f>
        <v>-0.95238095238095244</v>
      </c>
      <c r="X54" s="4"/>
      <c r="Y54" s="7"/>
      <c r="Z54" s="7">
        <f>tbl_Fact_Sales[[#This Row],[Daily_Demand]]*10 + tbl_Fact_Sales[[#This Row],[Safety_Stock]]</f>
        <v>-5.7142857142857144</v>
      </c>
      <c r="AA54" s="7">
        <f>MAX(0, tbl_Fact_Sales[[#This Row],[Required_Stock]] - tbl_Fact_Sales[[#This Row],[Cases_SOH]])</f>
        <v>0</v>
      </c>
      <c r="AB54" s="7">
        <f>tbl_Fact_Sales[[#This Row],[Cases_SOH]] / tbl_Fact_Sales[[#This Row],[Daily_Demand]]</f>
        <v>-8.4875000000000007</v>
      </c>
      <c r="AC54" s="7">
        <f>tbl_Fact_Sales[[#This Row],[Suggested_Order]] * tbl_Fact_Sales[[#This Row],[Daily_Demand]]</f>
        <v>0</v>
      </c>
      <c r="AD54" s="7" t="str">
        <f>TRIM(tbl_Fact_Sales[[#This Row],[Parent_Product]])</f>
        <v>SCHWEPPES SODA</v>
      </c>
      <c r="AE54" s="7" cm="1">
        <f t="array" ref="AE54">IF(_xlfn.XLOOKUP(tbl_Fact_Sales[[#This Row],[Product_Code]], INDEX(rng_Recount, 0, 3), INDEX(rng_Recount, 0, 4), "") ="", tbl_Fact_Sales[[#This Row],[Cases_SOH]], _xlfn.XLOOKUP(tbl_Fact_Sales[[#This Row],[Product_Code]], INDEX(rng_Recount, 0, 3), INDEX(rng_Recount, 0, 4)))</f>
        <v>4.041666666666667</v>
      </c>
      <c r="AF54" s="7">
        <f>ABS(tbl_Fact_Sales[[#This Row],[Required_Stock]] - tbl_Fact_Sales[[#This Row],[Adjusted_SOH]])</f>
        <v>9.7559523809523814</v>
      </c>
      <c r="AG54" s="4" t="str">
        <f>IF(tbl_Fact_Sales[[#This Row],[Recount_Variance]]&lt;=10, "Acceptable", IF(tbl_Fact_Sales[[#This Row],[Recount_Variance]]&lt;=50, "Check", "Problem"))</f>
        <v>Acceptable</v>
      </c>
    </row>
    <row r="55" spans="1:33" x14ac:dyDescent="0.25">
      <c r="A55" s="4">
        <v>6064</v>
      </c>
      <c r="B55" s="4">
        <v>5449000000000</v>
      </c>
      <c r="C55" s="4" t="s">
        <v>51</v>
      </c>
      <c r="D55" s="4" t="s">
        <v>22</v>
      </c>
      <c r="E55" s="4">
        <v>42</v>
      </c>
      <c r="F55" s="5">
        <v>5179.7977000000001</v>
      </c>
      <c r="G55" s="4">
        <v>591</v>
      </c>
      <c r="H55" s="4">
        <v>19.940000000000001</v>
      </c>
      <c r="I55" s="4">
        <v>50</v>
      </c>
      <c r="J55" s="4">
        <v>4</v>
      </c>
      <c r="K55" s="4" t="s">
        <v>23</v>
      </c>
      <c r="L55" s="6">
        <v>0.19940000000000002</v>
      </c>
      <c r="M55" s="4" t="str">
        <f>tbl_Fact_Sales[[#This Row],[Size_Clean]]</f>
        <v>1L</v>
      </c>
      <c r="N55" s="4">
        <f>_xlfn.XLOOKUP(tbl_Fact_Sales[[#This Row],[Pack_Size]], tbl_Size_Map[Size_Clean], tbl_Size_Map[Units_Per_Case])</f>
        <v>12</v>
      </c>
      <c r="O55" s="7">
        <f>tbl_Fact_Sales[[#This Row],[Units_Sold]] / tbl_Fact_Sales[[#This Row],[Units_Per_Pack]]</f>
        <v>4.166666666666667</v>
      </c>
      <c r="P55" s="7">
        <f>tbl_Fact_Sales[[#This Row],[SOH]] / tbl_Fact_Sales[[#This Row],[Units_Per_Pack]]</f>
        <v>3.5</v>
      </c>
      <c r="Q55" s="4" t="s">
        <v>105</v>
      </c>
      <c r="R55" s="4">
        <f>SUMIFS(tbl_Fact_Sales[Units_Sold], tbl_Fact_Sales[Parent_Product], tbl_Fact_Sales[[#This Row],[Parent_Product]])</f>
        <v>-22</v>
      </c>
      <c r="S55" s="4" t="str">
        <f>IF(ABS(tbl_Fact_Sales[[#This Row],[Parent_Total_Units]])&lt;0.0001, "Balanced", "Investigate")</f>
        <v>Investigate</v>
      </c>
      <c r="T55" s="4">
        <f>tbl_Fact_Sales[[#This Row],[Parent_Total_Units]]</f>
        <v>-22</v>
      </c>
      <c r="U55" s="4" t="str">
        <f>IF(ABS(tbl_Fact_Sales[[#This Row],[Parent_Total_Units]])&lt;=50, "Acceptable", IF(ABS(tbl_Fact_Sales[[#This Row],[Parent_Total_Units]])&lt;=250, "Check", "Problem"))</f>
        <v>Acceptable</v>
      </c>
      <c r="V55" s="7">
        <f>tbl_Fact_Sales[[#This Row],[Cases_Sold2]]/7</f>
        <v>0.59523809523809523</v>
      </c>
      <c r="W55" s="7">
        <f>tbl_Fact_Sales[[#This Row],[Daily_Demand]]*2</f>
        <v>1.1904761904761905</v>
      </c>
      <c r="X55" s="4"/>
      <c r="Y55" s="7"/>
      <c r="Z55" s="7">
        <f>tbl_Fact_Sales[[#This Row],[Daily_Demand]]*10 + tbl_Fact_Sales[[#This Row],[Safety_Stock]]</f>
        <v>7.1428571428571432</v>
      </c>
      <c r="AA55" s="7">
        <f>MAX(0, tbl_Fact_Sales[[#This Row],[Required_Stock]] - tbl_Fact_Sales[[#This Row],[Cases_SOH]])</f>
        <v>3.6428571428571432</v>
      </c>
      <c r="AB55" s="7">
        <f>tbl_Fact_Sales[[#This Row],[Cases_SOH]] / tbl_Fact_Sales[[#This Row],[Daily_Demand]]</f>
        <v>5.88</v>
      </c>
      <c r="AC55" s="7">
        <f>tbl_Fact_Sales[[#This Row],[Suggested_Order]] * tbl_Fact_Sales[[#This Row],[Daily_Demand]]</f>
        <v>2.1683673469387759</v>
      </c>
      <c r="AD55" s="7" t="str">
        <f>TRIM(tbl_Fact_Sales[[#This Row],[Parent_Product]])</f>
        <v>SCHWEPPES TONIC</v>
      </c>
      <c r="AE55" s="7" cm="1">
        <f t="array" ref="AE55">IF(_xlfn.XLOOKUP(tbl_Fact_Sales[[#This Row],[Product_Code]], INDEX(rng_Recount, 0, 3), INDEX(rng_Recount, 0, 4), "") ="", tbl_Fact_Sales[[#This Row],[Cases_SOH]], _xlfn.XLOOKUP(tbl_Fact_Sales[[#This Row],[Product_Code]], INDEX(rng_Recount, 0, 3), INDEX(rng_Recount, 0, 4)))</f>
        <v>3.5</v>
      </c>
      <c r="AF55" s="7">
        <f>ABS(tbl_Fact_Sales[[#This Row],[Required_Stock]] - tbl_Fact_Sales[[#This Row],[Adjusted_SOH]])</f>
        <v>3.6428571428571432</v>
      </c>
      <c r="AG55" s="4" t="str">
        <f>IF(tbl_Fact_Sales[[#This Row],[Recount_Variance]]&lt;=10, "Acceptable", IF(tbl_Fact_Sales[[#This Row],[Recount_Variance]]&lt;=50, "Check", "Problem"))</f>
        <v>Acceptable</v>
      </c>
    </row>
    <row r="56" spans="1:33" x14ac:dyDescent="0.25">
      <c r="A56" s="4">
        <v>1221</v>
      </c>
      <c r="B56" s="4">
        <v>5449000000000</v>
      </c>
      <c r="C56" s="4" t="s">
        <v>51</v>
      </c>
      <c r="D56" s="4" t="s">
        <v>24</v>
      </c>
      <c r="E56" s="4">
        <v>97</v>
      </c>
      <c r="F56" s="5">
        <v>745.39260000000002</v>
      </c>
      <c r="G56" s="4">
        <v>162</v>
      </c>
      <c r="H56" s="4">
        <v>19.13</v>
      </c>
      <c r="I56" s="4">
        <v>-72</v>
      </c>
      <c r="J56" s="4">
        <v>-3</v>
      </c>
      <c r="K56" s="4" t="s">
        <v>24</v>
      </c>
      <c r="L56" s="6">
        <v>0.1913</v>
      </c>
      <c r="M56" s="4" t="str">
        <f>tbl_Fact_Sales[[#This Row],[Size_Clean]]</f>
        <v>200ML</v>
      </c>
      <c r="N56" s="4">
        <f>_xlfn.XLOOKUP(tbl_Fact_Sales[[#This Row],[Pack_Size]], tbl_Size_Map[Size_Clean], tbl_Size_Map[Units_Per_Case])</f>
        <v>24</v>
      </c>
      <c r="O56" s="7">
        <f>tbl_Fact_Sales[[#This Row],[Units_Sold]] / tbl_Fact_Sales[[#This Row],[Units_Per_Pack]]</f>
        <v>-3</v>
      </c>
      <c r="P56" s="7">
        <f>tbl_Fact_Sales[[#This Row],[SOH]] / tbl_Fact_Sales[[#This Row],[Units_Per_Pack]]</f>
        <v>4.041666666666667</v>
      </c>
      <c r="Q56" s="4" t="s">
        <v>105</v>
      </c>
      <c r="R56" s="4">
        <f>SUMIFS(tbl_Fact_Sales[Units_Sold], tbl_Fact_Sales[Parent_Product], tbl_Fact_Sales[[#This Row],[Parent_Product]])</f>
        <v>-22</v>
      </c>
      <c r="S56" s="4" t="str">
        <f>IF(ABS(tbl_Fact_Sales[[#This Row],[Parent_Total_Units]])&lt;0.0001, "Balanced", "Investigate")</f>
        <v>Investigate</v>
      </c>
      <c r="T56" s="4">
        <f>tbl_Fact_Sales[[#This Row],[Parent_Total_Units]]</f>
        <v>-22</v>
      </c>
      <c r="U56" s="4" t="str">
        <f>IF(ABS(tbl_Fact_Sales[[#This Row],[Parent_Total_Units]])&lt;=50, "Acceptable", IF(ABS(tbl_Fact_Sales[[#This Row],[Parent_Total_Units]])&lt;=250, "Check", "Problem"))</f>
        <v>Acceptable</v>
      </c>
      <c r="V56" s="7">
        <f>tbl_Fact_Sales[[#This Row],[Cases_Sold2]]/7</f>
        <v>-0.42857142857142855</v>
      </c>
      <c r="W56" s="7">
        <f>tbl_Fact_Sales[[#This Row],[Daily_Demand]]*2</f>
        <v>-0.8571428571428571</v>
      </c>
      <c r="X56" s="4"/>
      <c r="Y56" s="7"/>
      <c r="Z56" s="7">
        <f>tbl_Fact_Sales[[#This Row],[Daily_Demand]]*10 + tbl_Fact_Sales[[#This Row],[Safety_Stock]]</f>
        <v>-5.1428571428571423</v>
      </c>
      <c r="AA56" s="7">
        <f>MAX(0, tbl_Fact_Sales[[#This Row],[Required_Stock]] - tbl_Fact_Sales[[#This Row],[Cases_SOH]])</f>
        <v>0</v>
      </c>
      <c r="AB56" s="7">
        <f>tbl_Fact_Sales[[#This Row],[Cases_SOH]] / tbl_Fact_Sales[[#This Row],[Daily_Demand]]</f>
        <v>-9.4305555555555571</v>
      </c>
      <c r="AC56" s="7">
        <f>tbl_Fact_Sales[[#This Row],[Suggested_Order]] * tbl_Fact_Sales[[#This Row],[Daily_Demand]]</f>
        <v>0</v>
      </c>
      <c r="AD56" s="7" t="str">
        <f>TRIM(tbl_Fact_Sales[[#This Row],[Parent_Product]])</f>
        <v>SCHWEPPES TONIC</v>
      </c>
      <c r="AE56" s="7" cm="1">
        <f t="array" ref="AE56">IF(_xlfn.XLOOKUP(tbl_Fact_Sales[[#This Row],[Product_Code]], INDEX(rng_Recount, 0, 3), INDEX(rng_Recount, 0, 4), "") ="", tbl_Fact_Sales[[#This Row],[Cases_SOH]], _xlfn.XLOOKUP(tbl_Fact_Sales[[#This Row],[Product_Code]], INDEX(rng_Recount, 0, 3), INDEX(rng_Recount, 0, 4)))</f>
        <v>4.041666666666667</v>
      </c>
      <c r="AF56" s="7">
        <f>ABS(tbl_Fact_Sales[[#This Row],[Required_Stock]] - tbl_Fact_Sales[[#This Row],[Adjusted_SOH]])</f>
        <v>9.1845238095238102</v>
      </c>
      <c r="AG56" s="4" t="str">
        <f>IF(tbl_Fact_Sales[[#This Row],[Recount_Variance]]&lt;=10, "Acceptable", IF(tbl_Fact_Sales[[#This Row],[Recount_Variance]]&lt;=50, "Check", "Problem"))</f>
        <v>Acceptable</v>
      </c>
    </row>
    <row r="57" spans="1:33" x14ac:dyDescent="0.25">
      <c r="A57" s="4">
        <v>1228</v>
      </c>
      <c r="B57" s="4">
        <v>6001130000000</v>
      </c>
      <c r="C57" s="4" t="s">
        <v>76</v>
      </c>
      <c r="D57" s="4" t="s">
        <v>13</v>
      </c>
      <c r="E57" s="4">
        <v>68</v>
      </c>
      <c r="F57" s="5">
        <v>5017.4589999999998</v>
      </c>
      <c r="G57" s="4">
        <v>475</v>
      </c>
      <c r="H57" s="4">
        <v>13.81</v>
      </c>
      <c r="I57" s="4">
        <v>6</v>
      </c>
      <c r="J57" s="4">
        <v>1</v>
      </c>
      <c r="K57" s="4" t="s">
        <v>14</v>
      </c>
      <c r="L57" s="6">
        <v>0.1381</v>
      </c>
      <c r="M57" s="4" t="str">
        <f>tbl_Fact_Sales[[#This Row],[Size_Clean]]</f>
        <v>2L</v>
      </c>
      <c r="N57" s="4">
        <f>_xlfn.XLOOKUP(tbl_Fact_Sales[[#This Row],[Pack_Size]], tbl_Size_Map[Size_Clean], tbl_Size_Map[Units_Per_Case])</f>
        <v>6</v>
      </c>
      <c r="O57" s="7">
        <f>tbl_Fact_Sales[[#This Row],[Units_Sold]] / tbl_Fact_Sales[[#This Row],[Units_Per_Pack]]</f>
        <v>1</v>
      </c>
      <c r="P57" s="7">
        <f>tbl_Fact_Sales[[#This Row],[SOH]] / tbl_Fact_Sales[[#This Row],[Units_Per_Pack]]</f>
        <v>11.333333333333334</v>
      </c>
      <c r="Q57" s="4" t="s">
        <v>76</v>
      </c>
      <c r="R57" s="4">
        <f>SUMIFS(tbl_Fact_Sales[Units_Sold], tbl_Fact_Sales[Parent_Product], tbl_Fact_Sales[[#This Row],[Parent_Product]])</f>
        <v>6</v>
      </c>
      <c r="S57" s="4" t="str">
        <f>IF(ABS(tbl_Fact_Sales[[#This Row],[Parent_Total_Units]])&lt;0.0001, "Balanced", "Investigate")</f>
        <v>Investigate</v>
      </c>
      <c r="T57" s="4">
        <f>tbl_Fact_Sales[[#This Row],[Parent_Total_Units]]</f>
        <v>6</v>
      </c>
      <c r="U57" s="4" t="str">
        <f>IF(ABS(tbl_Fact_Sales[[#This Row],[Parent_Total_Units]])&lt;=50, "Acceptable", IF(ABS(tbl_Fact_Sales[[#This Row],[Parent_Total_Units]])&lt;=250, "Check", "Problem"))</f>
        <v>Acceptable</v>
      </c>
      <c r="V57" s="7">
        <f>tbl_Fact_Sales[[#This Row],[Cases_Sold2]]/7</f>
        <v>0.14285714285714285</v>
      </c>
      <c r="W57" s="7">
        <f>tbl_Fact_Sales[[#This Row],[Daily_Demand]]*2</f>
        <v>0.2857142857142857</v>
      </c>
      <c r="X57" s="4"/>
      <c r="Y57" s="7"/>
      <c r="Z57" s="7">
        <f>tbl_Fact_Sales[[#This Row],[Daily_Demand]]*10 + tbl_Fact_Sales[[#This Row],[Safety_Stock]]</f>
        <v>1.714285714285714</v>
      </c>
      <c r="AA57" s="7">
        <f>MAX(0, tbl_Fact_Sales[[#This Row],[Required_Stock]] - tbl_Fact_Sales[[#This Row],[Cases_SOH]])</f>
        <v>0</v>
      </c>
      <c r="AB57" s="7">
        <f>tbl_Fact_Sales[[#This Row],[Cases_SOH]] / tbl_Fact_Sales[[#This Row],[Daily_Demand]]</f>
        <v>79.333333333333343</v>
      </c>
      <c r="AC57" s="7">
        <f>tbl_Fact_Sales[[#This Row],[Suggested_Order]] * tbl_Fact_Sales[[#This Row],[Daily_Demand]]</f>
        <v>0</v>
      </c>
      <c r="AD57" s="7" t="str">
        <f>TRIM(tbl_Fact_Sales[[#This Row],[Parent_Product]])</f>
        <v>SODA WATER</v>
      </c>
      <c r="AE57" s="7" cm="1">
        <f t="array" ref="AE57">IF(_xlfn.XLOOKUP(tbl_Fact_Sales[[#This Row],[Product_Code]], INDEX(rng_Recount, 0, 3), INDEX(rng_Recount, 0, 4), "") ="", tbl_Fact_Sales[[#This Row],[Cases_SOH]], _xlfn.XLOOKUP(tbl_Fact_Sales[[#This Row],[Product_Code]], INDEX(rng_Recount, 0, 3), INDEX(rng_Recount, 0, 4)))</f>
        <v>11.333333333333334</v>
      </c>
      <c r="AF57" s="7">
        <f>ABS(tbl_Fact_Sales[[#This Row],[Required_Stock]] - tbl_Fact_Sales[[#This Row],[Adjusted_SOH]])</f>
        <v>9.6190476190476204</v>
      </c>
      <c r="AG57" s="4" t="str">
        <f>IF(tbl_Fact_Sales[[#This Row],[Recount_Variance]]&lt;=10, "Acceptable", IF(tbl_Fact_Sales[[#This Row],[Recount_Variance]]&lt;=50, "Check", "Problem"))</f>
        <v>Acceptable</v>
      </c>
    </row>
    <row r="58" spans="1:33" x14ac:dyDescent="0.25">
      <c r="A58" s="4">
        <v>26260</v>
      </c>
      <c r="B58" s="4">
        <v>5449000000000</v>
      </c>
      <c r="C58" s="4" t="s">
        <v>12</v>
      </c>
      <c r="D58" s="4" t="s">
        <v>13</v>
      </c>
      <c r="E58" s="4">
        <v>930</v>
      </c>
      <c r="F58" s="5">
        <v>15248.026099999999</v>
      </c>
      <c r="G58" s="4">
        <v>1584</v>
      </c>
      <c r="H58" s="4">
        <v>12.56</v>
      </c>
      <c r="I58" s="4">
        <v>-684</v>
      </c>
      <c r="J58" s="4">
        <v>-114</v>
      </c>
      <c r="K58" s="4" t="s">
        <v>14</v>
      </c>
      <c r="L58" s="6">
        <v>0.12560000000000002</v>
      </c>
      <c r="M58" s="4" t="str">
        <f>tbl_Fact_Sales[[#This Row],[Size_Clean]]</f>
        <v>2L</v>
      </c>
      <c r="N58" s="4">
        <f>_xlfn.XLOOKUP(tbl_Fact_Sales[[#This Row],[Pack_Size]], tbl_Size_Map[Size_Clean], tbl_Size_Map[Units_Per_Case])</f>
        <v>6</v>
      </c>
      <c r="O58" s="7">
        <f>tbl_Fact_Sales[[#This Row],[Units_Sold]] / tbl_Fact_Sales[[#This Row],[Units_Per_Pack]]</f>
        <v>-114</v>
      </c>
      <c r="P58" s="7">
        <f>tbl_Fact_Sales[[#This Row],[SOH]] / tbl_Fact_Sales[[#This Row],[Units_Per_Pack]]</f>
        <v>155</v>
      </c>
      <c r="Q58" s="4" t="s">
        <v>12</v>
      </c>
      <c r="R58" s="4">
        <f>SUMIFS(tbl_Fact_Sales[Units_Sold], tbl_Fact_Sales[Parent_Product], tbl_Fact_Sales[[#This Row],[Parent_Product]])</f>
        <v>-684</v>
      </c>
      <c r="S58" s="4" t="str">
        <f>IF(ABS(tbl_Fact_Sales[[#This Row],[Parent_Total_Units]])&lt;0.0001, "Balanced", "Investigate")</f>
        <v>Investigate</v>
      </c>
      <c r="T58" s="4">
        <f>tbl_Fact_Sales[[#This Row],[Parent_Total_Units]]</f>
        <v>-684</v>
      </c>
      <c r="U58" s="4" t="str">
        <f>IF(ABS(tbl_Fact_Sales[[#This Row],[Parent_Total_Units]])&lt;=50, "Acceptable", IF(ABS(tbl_Fact_Sales[[#This Row],[Parent_Total_Units]])&lt;=250, "Check", "Problem"))</f>
        <v>Problem</v>
      </c>
      <c r="V58" s="7">
        <f>tbl_Fact_Sales[[#This Row],[Cases_Sold2]]/7</f>
        <v>-16.285714285714285</v>
      </c>
      <c r="W58" s="7">
        <f>tbl_Fact_Sales[[#This Row],[Daily_Demand]]*2</f>
        <v>-32.571428571428569</v>
      </c>
      <c r="X58" s="4"/>
      <c r="Y58" s="7"/>
      <c r="Z58" s="7">
        <f>tbl_Fact_Sales[[#This Row],[Daily_Demand]]*10 + tbl_Fact_Sales[[#This Row],[Safety_Stock]]</f>
        <v>-195.42857142857139</v>
      </c>
      <c r="AA58" s="7">
        <f>MAX(0, tbl_Fact_Sales[[#This Row],[Required_Stock]] - tbl_Fact_Sales[[#This Row],[Cases_SOH]])</f>
        <v>0</v>
      </c>
      <c r="AB58" s="7">
        <f>tbl_Fact_Sales[[#This Row],[Cases_SOH]] / tbl_Fact_Sales[[#This Row],[Daily_Demand]]</f>
        <v>-9.5175438596491233</v>
      </c>
      <c r="AC58" s="7">
        <f>tbl_Fact_Sales[[#This Row],[Suggested_Order]] * tbl_Fact_Sales[[#This Row],[Daily_Demand]]</f>
        <v>0</v>
      </c>
      <c r="AD58" s="7" t="str">
        <f>TRIM(tbl_Fact_Sales[[#This Row],[Parent_Product]])</f>
        <v>SPARLETTA BLACKCURRANT</v>
      </c>
      <c r="AE58" s="7" cm="1">
        <f t="array" ref="AE58">IF(_xlfn.XLOOKUP(tbl_Fact_Sales[[#This Row],[Product_Code]], INDEX(rng_Recount, 0, 3), INDEX(rng_Recount, 0, 4), "") ="", tbl_Fact_Sales[[#This Row],[Cases_SOH]], _xlfn.XLOOKUP(tbl_Fact_Sales[[#This Row],[Product_Code]], INDEX(rng_Recount, 0, 3), INDEX(rng_Recount, 0, 4)))</f>
        <v>155</v>
      </c>
      <c r="AF58" s="7">
        <f>ABS(tbl_Fact_Sales[[#This Row],[Required_Stock]] - tbl_Fact_Sales[[#This Row],[Adjusted_SOH]])</f>
        <v>350.42857142857139</v>
      </c>
      <c r="AG58" s="4" t="str">
        <f>IF(tbl_Fact_Sales[[#This Row],[Recount_Variance]]&lt;=10, "Acceptable", IF(tbl_Fact_Sales[[#This Row],[Recount_Variance]]&lt;=50, "Check", "Problem"))</f>
        <v>Problem</v>
      </c>
    </row>
    <row r="59" spans="1:33" x14ac:dyDescent="0.25">
      <c r="A59" s="4">
        <v>1229</v>
      </c>
      <c r="B59" s="4">
        <v>6001130000000</v>
      </c>
      <c r="C59" s="4" t="s">
        <v>16</v>
      </c>
      <c r="D59" s="4" t="s">
        <v>13</v>
      </c>
      <c r="E59" s="4">
        <v>631</v>
      </c>
      <c r="F59" s="5">
        <v>15096.437</v>
      </c>
      <c r="G59" s="4">
        <v>1563</v>
      </c>
      <c r="H59" s="4">
        <v>9.9</v>
      </c>
      <c r="I59" s="4">
        <v>-388</v>
      </c>
      <c r="J59" s="4">
        <v>-65</v>
      </c>
      <c r="K59" s="4" t="s">
        <v>14</v>
      </c>
      <c r="L59" s="6">
        <v>9.9000000000000005E-2</v>
      </c>
      <c r="M59" s="4" t="str">
        <f>tbl_Fact_Sales[[#This Row],[Size_Clean]]</f>
        <v>2L</v>
      </c>
      <c r="N59" s="4">
        <f>_xlfn.XLOOKUP(tbl_Fact_Sales[[#This Row],[Pack_Size]], tbl_Size_Map[Size_Clean], tbl_Size_Map[Units_Per_Case])</f>
        <v>6</v>
      </c>
      <c r="O59" s="7">
        <f>tbl_Fact_Sales[[#This Row],[Units_Sold]] / tbl_Fact_Sales[[#This Row],[Units_Per_Pack]]</f>
        <v>-64.666666666666671</v>
      </c>
      <c r="P59" s="7">
        <f>tbl_Fact_Sales[[#This Row],[SOH]] / tbl_Fact_Sales[[#This Row],[Units_Per_Pack]]</f>
        <v>105.16666666666667</v>
      </c>
      <c r="Q59" s="4" t="s">
        <v>106</v>
      </c>
      <c r="R59" s="4">
        <f>SUMIFS(tbl_Fact_Sales[Units_Sold], tbl_Fact_Sales[Parent_Product], tbl_Fact_Sales[[#This Row],[Parent_Product]])</f>
        <v>-388</v>
      </c>
      <c r="S59" s="4" t="str">
        <f>IF(ABS(tbl_Fact_Sales[[#This Row],[Parent_Total_Units]])&lt;0.0001, "Balanced", "Investigate")</f>
        <v>Investigate</v>
      </c>
      <c r="T59" s="4">
        <f>tbl_Fact_Sales[[#This Row],[Parent_Total_Units]]</f>
        <v>-388</v>
      </c>
      <c r="U59" s="4" t="str">
        <f>IF(ABS(tbl_Fact_Sales[[#This Row],[Parent_Total_Units]])&lt;=50, "Acceptable", IF(ABS(tbl_Fact_Sales[[#This Row],[Parent_Total_Units]])&lt;=250, "Check", "Problem"))</f>
        <v>Problem</v>
      </c>
      <c r="V59" s="7">
        <f>tbl_Fact_Sales[[#This Row],[Cases_Sold2]]/7</f>
        <v>-9.238095238095239</v>
      </c>
      <c r="W59" s="7">
        <f>tbl_Fact_Sales[[#This Row],[Daily_Demand]]*2</f>
        <v>-18.476190476190478</v>
      </c>
      <c r="X59" s="4"/>
      <c r="Y59" s="7"/>
      <c r="Z59" s="7">
        <f>tbl_Fact_Sales[[#This Row],[Daily_Demand]]*10 + tbl_Fact_Sales[[#This Row],[Safety_Stock]]</f>
        <v>-110.85714285714288</v>
      </c>
      <c r="AA59" s="7">
        <f>MAX(0, tbl_Fact_Sales[[#This Row],[Required_Stock]] - tbl_Fact_Sales[[#This Row],[Cases_SOH]])</f>
        <v>0</v>
      </c>
      <c r="AB59" s="7">
        <f>tbl_Fact_Sales[[#This Row],[Cases_SOH]] / tbl_Fact_Sales[[#This Row],[Daily_Demand]]</f>
        <v>-11.384020618556701</v>
      </c>
      <c r="AC59" s="7">
        <f>tbl_Fact_Sales[[#This Row],[Suggested_Order]] * tbl_Fact_Sales[[#This Row],[Daily_Demand]]</f>
        <v>0</v>
      </c>
      <c r="AD59" s="7" t="str">
        <f>TRIM(tbl_Fact_Sales[[#This Row],[Parent_Product]])</f>
        <v>SPARLETTA CREAM</v>
      </c>
      <c r="AE59" s="7" cm="1">
        <f t="array" ref="AE59">IF(_xlfn.XLOOKUP(tbl_Fact_Sales[[#This Row],[Product_Code]], INDEX(rng_Recount, 0, 3), INDEX(rng_Recount, 0, 4), "") ="", tbl_Fact_Sales[[#This Row],[Cases_SOH]], _xlfn.XLOOKUP(tbl_Fact_Sales[[#This Row],[Product_Code]], INDEX(rng_Recount, 0, 3), INDEX(rng_Recount, 0, 4)))</f>
        <v>105.16666666666667</v>
      </c>
      <c r="AF59" s="7">
        <f>ABS(tbl_Fact_Sales[[#This Row],[Required_Stock]] - tbl_Fact_Sales[[#This Row],[Adjusted_SOH]])</f>
        <v>216.02380952380955</v>
      </c>
      <c r="AG59" s="4" t="str">
        <f>IF(tbl_Fact_Sales[[#This Row],[Recount_Variance]]&lt;=10, "Acceptable", IF(tbl_Fact_Sales[[#This Row],[Recount_Variance]]&lt;=50, "Check", "Problem"))</f>
        <v>Problem</v>
      </c>
    </row>
    <row r="60" spans="1:33" x14ac:dyDescent="0.25">
      <c r="A60" s="4">
        <v>2152</v>
      </c>
      <c r="B60" s="4">
        <v>6001130000000</v>
      </c>
      <c r="C60" s="4" t="s">
        <v>77</v>
      </c>
      <c r="D60" s="4" t="s">
        <v>19</v>
      </c>
      <c r="E60" s="4">
        <v>60</v>
      </c>
      <c r="F60" s="5">
        <v>4940.1601000000001</v>
      </c>
      <c r="G60" s="4">
        <v>795</v>
      </c>
      <c r="H60" s="4">
        <v>21.14</v>
      </c>
      <c r="I60" s="4">
        <v>64</v>
      </c>
      <c r="J60" s="4">
        <v>3</v>
      </c>
      <c r="K60" s="4" t="s">
        <v>19</v>
      </c>
      <c r="L60" s="6">
        <v>0.2114</v>
      </c>
      <c r="M60" s="4" t="str">
        <f>tbl_Fact_Sales[[#This Row],[Size_Clean]]</f>
        <v>500ML</v>
      </c>
      <c r="N60" s="4">
        <f>_xlfn.XLOOKUP(tbl_Fact_Sales[[#This Row],[Pack_Size]], tbl_Size_Map[Size_Clean], tbl_Size_Map[Units_Per_Case])</f>
        <v>12</v>
      </c>
      <c r="O60" s="7">
        <f>tbl_Fact_Sales[[#This Row],[Units_Sold]] / tbl_Fact_Sales[[#This Row],[Units_Per_Pack]]</f>
        <v>5.333333333333333</v>
      </c>
      <c r="P60" s="7">
        <f>tbl_Fact_Sales[[#This Row],[SOH]] / tbl_Fact_Sales[[#This Row],[Units_Per_Pack]]</f>
        <v>5</v>
      </c>
      <c r="Q60" s="4" t="s">
        <v>107</v>
      </c>
      <c r="R60" s="4">
        <f>SUMIFS(tbl_Fact_Sales[Units_Sold], tbl_Fact_Sales[Parent_Product], tbl_Fact_Sales[[#This Row],[Parent_Product]])</f>
        <v>87</v>
      </c>
      <c r="S60" s="4" t="str">
        <f>IF(ABS(tbl_Fact_Sales[[#This Row],[Parent_Total_Units]])&lt;0.0001, "Balanced", "Investigate")</f>
        <v>Investigate</v>
      </c>
      <c r="T60" s="4">
        <f>tbl_Fact_Sales[[#This Row],[Parent_Total_Units]]</f>
        <v>87</v>
      </c>
      <c r="U60" s="4" t="str">
        <f>IF(ABS(tbl_Fact_Sales[[#This Row],[Parent_Total_Units]])&lt;=50, "Acceptable", IF(ABS(tbl_Fact_Sales[[#This Row],[Parent_Total_Units]])&lt;=250, "Check", "Problem"))</f>
        <v>Check</v>
      </c>
      <c r="V60" s="7">
        <f>tbl_Fact_Sales[[#This Row],[Cases_Sold2]]/7</f>
        <v>0.76190476190476186</v>
      </c>
      <c r="W60" s="7">
        <f>tbl_Fact_Sales[[#This Row],[Daily_Demand]]*2</f>
        <v>1.5238095238095237</v>
      </c>
      <c r="X60" s="4"/>
      <c r="Y60" s="7"/>
      <c r="Z60" s="7">
        <f>tbl_Fact_Sales[[#This Row],[Daily_Demand]]*10 + tbl_Fact_Sales[[#This Row],[Safety_Stock]]</f>
        <v>9.1428571428571423</v>
      </c>
      <c r="AA60" s="7">
        <f>MAX(0, tbl_Fact_Sales[[#This Row],[Required_Stock]] - tbl_Fact_Sales[[#This Row],[Cases_SOH]])</f>
        <v>4.1428571428571423</v>
      </c>
      <c r="AB60" s="7">
        <f>tbl_Fact_Sales[[#This Row],[Cases_SOH]] / tbl_Fact_Sales[[#This Row],[Daily_Demand]]</f>
        <v>6.5625</v>
      </c>
      <c r="AC60" s="7">
        <f>tbl_Fact_Sales[[#This Row],[Suggested_Order]] * tbl_Fact_Sales[[#This Row],[Daily_Demand]]</f>
        <v>3.1564625850340131</v>
      </c>
      <c r="AD60" s="7" t="str">
        <f>TRIM(tbl_Fact_Sales[[#This Row],[Parent_Product]])</f>
        <v>SPARLETTA CREME</v>
      </c>
      <c r="AE60" s="7" cm="1">
        <f t="array" ref="AE60">IF(_xlfn.XLOOKUP(tbl_Fact_Sales[[#This Row],[Product_Code]], INDEX(rng_Recount, 0, 3), INDEX(rng_Recount, 0, 4), "") ="", tbl_Fact_Sales[[#This Row],[Cases_SOH]], _xlfn.XLOOKUP(tbl_Fact_Sales[[#This Row],[Product_Code]], INDEX(rng_Recount, 0, 3), INDEX(rng_Recount, 0, 4)))</f>
        <v>5</v>
      </c>
      <c r="AF60" s="7">
        <f>ABS(tbl_Fact_Sales[[#This Row],[Required_Stock]] - tbl_Fact_Sales[[#This Row],[Adjusted_SOH]])</f>
        <v>4.1428571428571423</v>
      </c>
      <c r="AG60" s="4" t="str">
        <f>IF(tbl_Fact_Sales[[#This Row],[Recount_Variance]]&lt;=10, "Acceptable", IF(tbl_Fact_Sales[[#This Row],[Recount_Variance]]&lt;=50, "Check", "Problem"))</f>
        <v>Acceptable</v>
      </c>
    </row>
    <row r="61" spans="1:33" x14ac:dyDescent="0.25">
      <c r="A61" s="4">
        <v>22902</v>
      </c>
      <c r="B61" s="4">
        <v>5449000000000</v>
      </c>
      <c r="C61" s="4" t="s">
        <v>77</v>
      </c>
      <c r="D61" s="4" t="s">
        <v>27</v>
      </c>
      <c r="E61" s="4">
        <v>22</v>
      </c>
      <c r="F61" s="5">
        <v>1461.5447999999999</v>
      </c>
      <c r="G61" s="4">
        <v>288</v>
      </c>
      <c r="H61" s="4">
        <v>22.01</v>
      </c>
      <c r="I61" s="4">
        <v>23</v>
      </c>
      <c r="J61" s="4">
        <v>1</v>
      </c>
      <c r="K61" s="4" t="s">
        <v>27</v>
      </c>
      <c r="L61" s="6">
        <v>0.22010000000000002</v>
      </c>
      <c r="M61" s="4" t="str">
        <f>tbl_Fact_Sales[[#This Row],[Size_Clean]]</f>
        <v>330ML</v>
      </c>
      <c r="N61" s="4">
        <f>_xlfn.XLOOKUP(tbl_Fact_Sales[[#This Row],[Pack_Size]], tbl_Size_Map[Size_Clean], tbl_Size_Map[Units_Per_Case])</f>
        <v>24</v>
      </c>
      <c r="O61" s="7">
        <f>tbl_Fact_Sales[[#This Row],[Units_Sold]] / tbl_Fact_Sales[[#This Row],[Units_Per_Pack]]</f>
        <v>0.95833333333333337</v>
      </c>
      <c r="P61" s="7">
        <f>tbl_Fact_Sales[[#This Row],[SOH]] / tbl_Fact_Sales[[#This Row],[Units_Per_Pack]]</f>
        <v>0.91666666666666663</v>
      </c>
      <c r="Q61" s="4" t="s">
        <v>107</v>
      </c>
      <c r="R61" s="4">
        <f>SUMIFS(tbl_Fact_Sales[Units_Sold], tbl_Fact_Sales[Parent_Product], tbl_Fact_Sales[[#This Row],[Parent_Product]])</f>
        <v>87</v>
      </c>
      <c r="S61" s="4" t="str">
        <f>IF(ABS(tbl_Fact_Sales[[#This Row],[Parent_Total_Units]])&lt;0.0001, "Balanced", "Investigate")</f>
        <v>Investigate</v>
      </c>
      <c r="T61" s="4">
        <f>tbl_Fact_Sales[[#This Row],[Parent_Total_Units]]</f>
        <v>87</v>
      </c>
      <c r="U61" s="4" t="str">
        <f>IF(ABS(tbl_Fact_Sales[[#This Row],[Parent_Total_Units]])&lt;=50, "Acceptable", IF(ABS(tbl_Fact_Sales[[#This Row],[Parent_Total_Units]])&lt;=250, "Check", "Problem"))</f>
        <v>Check</v>
      </c>
      <c r="V61" s="7">
        <f>tbl_Fact_Sales[[#This Row],[Cases_Sold2]]/7</f>
        <v>0.13690476190476192</v>
      </c>
      <c r="W61" s="7">
        <f>tbl_Fact_Sales[[#This Row],[Daily_Demand]]*2</f>
        <v>0.27380952380952384</v>
      </c>
      <c r="X61" s="4"/>
      <c r="Y61" s="7"/>
      <c r="Z61" s="7">
        <f>tbl_Fact_Sales[[#This Row],[Daily_Demand]]*10 + tbl_Fact_Sales[[#This Row],[Safety_Stock]]</f>
        <v>1.6428571428571428</v>
      </c>
      <c r="AA61" s="7">
        <f>MAX(0, tbl_Fact_Sales[[#This Row],[Required_Stock]] - tbl_Fact_Sales[[#This Row],[Cases_SOH]])</f>
        <v>0.72619047619047616</v>
      </c>
      <c r="AB61" s="7">
        <f>tbl_Fact_Sales[[#This Row],[Cases_SOH]] / tbl_Fact_Sales[[#This Row],[Daily_Demand]]</f>
        <v>6.6956521739130421</v>
      </c>
      <c r="AC61" s="7">
        <f>tbl_Fact_Sales[[#This Row],[Suggested_Order]] * tbl_Fact_Sales[[#This Row],[Daily_Demand]]</f>
        <v>9.9418934240362813E-2</v>
      </c>
      <c r="AD61" s="7" t="str">
        <f>TRIM(tbl_Fact_Sales[[#This Row],[Parent_Product]])</f>
        <v>SPARLETTA CREME</v>
      </c>
      <c r="AE61" s="7" cm="1">
        <f t="array" ref="AE61">IF(_xlfn.XLOOKUP(tbl_Fact_Sales[[#This Row],[Product_Code]], INDEX(rng_Recount, 0, 3), INDEX(rng_Recount, 0, 4), "") ="", tbl_Fact_Sales[[#This Row],[Cases_SOH]], _xlfn.XLOOKUP(tbl_Fact_Sales[[#This Row],[Product_Code]], INDEX(rng_Recount, 0, 3), INDEX(rng_Recount, 0, 4)))</f>
        <v>0.91666666666666663</v>
      </c>
      <c r="AF61" s="7">
        <f>ABS(tbl_Fact_Sales[[#This Row],[Required_Stock]] - tbl_Fact_Sales[[#This Row],[Adjusted_SOH]])</f>
        <v>0.72619047619047616</v>
      </c>
      <c r="AG61" s="4" t="str">
        <f>IF(tbl_Fact_Sales[[#This Row],[Recount_Variance]]&lt;=10, "Acceptable", IF(tbl_Fact_Sales[[#This Row],[Recount_Variance]]&lt;=50, "Check", "Problem"))</f>
        <v>Acceptable</v>
      </c>
    </row>
    <row r="62" spans="1:33" x14ac:dyDescent="0.25">
      <c r="A62" s="4">
        <v>22906</v>
      </c>
      <c r="B62" s="4">
        <v>5449000000000</v>
      </c>
      <c r="C62" s="4" t="s">
        <v>78</v>
      </c>
      <c r="D62" s="4" t="s">
        <v>27</v>
      </c>
      <c r="E62" s="4">
        <v>41</v>
      </c>
      <c r="F62" s="5">
        <v>3564.4906999999998</v>
      </c>
      <c r="G62" s="4">
        <v>688</v>
      </c>
      <c r="H62" s="4">
        <v>20.93</v>
      </c>
      <c r="I62" s="4">
        <v>66</v>
      </c>
      <c r="J62" s="4">
        <v>3</v>
      </c>
      <c r="K62" s="4" t="s">
        <v>27</v>
      </c>
      <c r="L62" s="6">
        <v>0.20929999999999999</v>
      </c>
      <c r="M62" s="4" t="str">
        <f>tbl_Fact_Sales[[#This Row],[Size_Clean]]</f>
        <v>330ML</v>
      </c>
      <c r="N62" s="4">
        <f>_xlfn.XLOOKUP(tbl_Fact_Sales[[#This Row],[Pack_Size]], tbl_Size_Map[Size_Clean], tbl_Size_Map[Units_Per_Case])</f>
        <v>24</v>
      </c>
      <c r="O62" s="7">
        <f>tbl_Fact_Sales[[#This Row],[Units_Sold]] / tbl_Fact_Sales[[#This Row],[Units_Per_Pack]]</f>
        <v>2.75</v>
      </c>
      <c r="P62" s="7">
        <f>tbl_Fact_Sales[[#This Row],[SOH]] / tbl_Fact_Sales[[#This Row],[Units_Per_Pack]]</f>
        <v>1.7083333333333333</v>
      </c>
      <c r="Q62" s="4" t="s">
        <v>94</v>
      </c>
      <c r="R62" s="4">
        <f>SUMIFS(tbl_Fact_Sales[Units_Sold], tbl_Fact_Sales[Parent_Product], tbl_Fact_Sales[[#This Row],[Parent_Product]])</f>
        <v>-426</v>
      </c>
      <c r="S62" s="4" t="str">
        <f>IF(ABS(tbl_Fact_Sales[[#This Row],[Parent_Total_Units]])&lt;0.0001, "Balanced", "Investigate")</f>
        <v>Investigate</v>
      </c>
      <c r="T62" s="4">
        <f>tbl_Fact_Sales[[#This Row],[Parent_Total_Units]]</f>
        <v>-426</v>
      </c>
      <c r="U62" s="4" t="str">
        <f>IF(ABS(tbl_Fact_Sales[[#This Row],[Parent_Total_Units]])&lt;=50, "Acceptable", IF(ABS(tbl_Fact_Sales[[#This Row],[Parent_Total_Units]])&lt;=250, "Check", "Problem"))</f>
        <v>Problem</v>
      </c>
      <c r="V62" s="7">
        <f>tbl_Fact_Sales[[#This Row],[Cases_Sold2]]/7</f>
        <v>0.39285714285714285</v>
      </c>
      <c r="W62" s="7">
        <f>tbl_Fact_Sales[[#This Row],[Daily_Demand]]*2</f>
        <v>0.7857142857142857</v>
      </c>
      <c r="X62" s="4"/>
      <c r="Y62" s="7"/>
      <c r="Z62" s="7">
        <f>tbl_Fact_Sales[[#This Row],[Daily_Demand]]*10 + tbl_Fact_Sales[[#This Row],[Safety_Stock]]</f>
        <v>4.7142857142857144</v>
      </c>
      <c r="AA62" s="7">
        <f>MAX(0, tbl_Fact_Sales[[#This Row],[Required_Stock]] - tbl_Fact_Sales[[#This Row],[Cases_SOH]])</f>
        <v>3.0059523809523814</v>
      </c>
      <c r="AB62" s="7">
        <f>tbl_Fact_Sales[[#This Row],[Cases_SOH]] / tbl_Fact_Sales[[#This Row],[Daily_Demand]]</f>
        <v>4.3484848484848486</v>
      </c>
      <c r="AC62" s="7">
        <f>tbl_Fact_Sales[[#This Row],[Suggested_Order]] * tbl_Fact_Sales[[#This Row],[Daily_Demand]]</f>
        <v>1.1809098639455784</v>
      </c>
      <c r="AD62" s="7" t="str">
        <f>TRIM(tbl_Fact_Sales[[#This Row],[Parent_Product]])</f>
        <v>SPARLETTA IRON</v>
      </c>
      <c r="AE62" s="7" cm="1">
        <f t="array" ref="AE62">IF(_xlfn.XLOOKUP(tbl_Fact_Sales[[#This Row],[Product_Code]], INDEX(rng_Recount, 0, 3), INDEX(rng_Recount, 0, 4), "") ="", tbl_Fact_Sales[[#This Row],[Cases_SOH]], _xlfn.XLOOKUP(tbl_Fact_Sales[[#This Row],[Product_Code]], INDEX(rng_Recount, 0, 3), INDEX(rng_Recount, 0, 4)))</f>
        <v>1.7083333333333333</v>
      </c>
      <c r="AF62" s="7">
        <f>ABS(tbl_Fact_Sales[[#This Row],[Required_Stock]] - tbl_Fact_Sales[[#This Row],[Adjusted_SOH]])</f>
        <v>3.0059523809523814</v>
      </c>
      <c r="AG62" s="4" t="str">
        <f>IF(tbl_Fact_Sales[[#This Row],[Recount_Variance]]&lt;=10, "Acceptable", IF(tbl_Fact_Sales[[#This Row],[Recount_Variance]]&lt;=50, "Check", "Problem"))</f>
        <v>Acceptable</v>
      </c>
    </row>
    <row r="63" spans="1:33" x14ac:dyDescent="0.25">
      <c r="A63" s="4">
        <v>1230</v>
      </c>
      <c r="B63" s="4">
        <v>5449000000000</v>
      </c>
      <c r="C63" s="4" t="s">
        <v>63</v>
      </c>
      <c r="D63" s="4" t="s">
        <v>14</v>
      </c>
      <c r="E63" s="4">
        <v>1</v>
      </c>
      <c r="F63" s="5">
        <v>24464.044999999998</v>
      </c>
      <c r="G63" s="4">
        <v>2540</v>
      </c>
      <c r="H63" s="4">
        <v>11.37</v>
      </c>
      <c r="I63" s="4">
        <v>394</v>
      </c>
      <c r="J63" s="4">
        <v>66</v>
      </c>
      <c r="K63" s="4" t="s">
        <v>14</v>
      </c>
      <c r="L63" s="6">
        <v>0.1137</v>
      </c>
      <c r="M63" s="4" t="str">
        <f>tbl_Fact_Sales[[#This Row],[Size_Clean]]</f>
        <v>2L</v>
      </c>
      <c r="N63" s="4">
        <f>_xlfn.XLOOKUP(tbl_Fact_Sales[[#This Row],[Pack_Size]], tbl_Size_Map[Size_Clean], tbl_Size_Map[Units_Per_Case])</f>
        <v>6</v>
      </c>
      <c r="O63" s="7">
        <f>tbl_Fact_Sales[[#This Row],[Units_Sold]] / tbl_Fact_Sales[[#This Row],[Units_Per_Pack]]</f>
        <v>65.666666666666671</v>
      </c>
      <c r="P63" s="7">
        <f>tbl_Fact_Sales[[#This Row],[SOH]] / tbl_Fact_Sales[[#This Row],[Units_Per_Pack]]</f>
        <v>0.16666666666666666</v>
      </c>
      <c r="Q63" s="4" t="s">
        <v>108</v>
      </c>
      <c r="R63" s="4">
        <f>SUMIFS(tbl_Fact_Sales[Units_Sold], tbl_Fact_Sales[Parent_Product], tbl_Fact_Sales[[#This Row],[Parent_Product]])</f>
        <v>394</v>
      </c>
      <c r="S63" s="4" t="str">
        <f>IF(ABS(tbl_Fact_Sales[[#This Row],[Parent_Total_Units]])&lt;0.0001, "Balanced", "Investigate")</f>
        <v>Investigate</v>
      </c>
      <c r="T63" s="4">
        <f>tbl_Fact_Sales[[#This Row],[Parent_Total_Units]]</f>
        <v>394</v>
      </c>
      <c r="U63" s="4" t="str">
        <f>IF(ABS(tbl_Fact_Sales[[#This Row],[Parent_Total_Units]])&lt;=50, "Acceptable", IF(ABS(tbl_Fact_Sales[[#This Row],[Parent_Total_Units]])&lt;=250, "Check", "Problem"))</f>
        <v>Problem</v>
      </c>
      <c r="V63" s="7">
        <f>tbl_Fact_Sales[[#This Row],[Cases_Sold2]]/7</f>
        <v>9.3809523809523814</v>
      </c>
      <c r="W63" s="7">
        <f>tbl_Fact_Sales[[#This Row],[Daily_Demand]]*2</f>
        <v>18.761904761904763</v>
      </c>
      <c r="X63" s="4"/>
      <c r="Y63" s="7"/>
      <c r="Z63" s="7">
        <f>tbl_Fact_Sales[[#This Row],[Daily_Demand]]*10 + tbl_Fact_Sales[[#This Row],[Safety_Stock]]</f>
        <v>112.57142857142857</v>
      </c>
      <c r="AA63" s="7">
        <f>MAX(0, tbl_Fact_Sales[[#This Row],[Required_Stock]] - tbl_Fact_Sales[[#This Row],[Cases_SOH]])</f>
        <v>112.4047619047619</v>
      </c>
      <c r="AB63" s="7">
        <f>tbl_Fact_Sales[[#This Row],[Cases_SOH]] / tbl_Fact_Sales[[#This Row],[Daily_Demand]]</f>
        <v>1.7766497461928932E-2</v>
      </c>
      <c r="AC63" s="7">
        <f>tbl_Fact_Sales[[#This Row],[Suggested_Order]] * tbl_Fact_Sales[[#This Row],[Daily_Demand]]</f>
        <v>1054.4637188208617</v>
      </c>
      <c r="AD63" s="7" t="str">
        <f>TRIM(tbl_Fact_Sales[[#This Row],[Parent_Product]])</f>
        <v>SPARLETTA PINE</v>
      </c>
      <c r="AE63" s="7" cm="1">
        <f t="array" ref="AE63">IF(_xlfn.XLOOKUP(tbl_Fact_Sales[[#This Row],[Product_Code]], INDEX(rng_Recount, 0, 3), INDEX(rng_Recount, 0, 4), "") ="", tbl_Fact_Sales[[#This Row],[Cases_SOH]], _xlfn.XLOOKUP(tbl_Fact_Sales[[#This Row],[Product_Code]], INDEX(rng_Recount, 0, 3), INDEX(rng_Recount, 0, 4)))</f>
        <v>0.16666666666666666</v>
      </c>
      <c r="AF63" s="7">
        <f>ABS(tbl_Fact_Sales[[#This Row],[Required_Stock]] - tbl_Fact_Sales[[#This Row],[Adjusted_SOH]])</f>
        <v>112.4047619047619</v>
      </c>
      <c r="AG63" s="4" t="str">
        <f>IF(tbl_Fact_Sales[[#This Row],[Recount_Variance]]&lt;=10, "Acceptable", IF(tbl_Fact_Sales[[#This Row],[Recount_Variance]]&lt;=50, "Check", "Problem"))</f>
        <v>Problem</v>
      </c>
    </row>
    <row r="64" spans="1:33" x14ac:dyDescent="0.25">
      <c r="A64" s="4">
        <v>33115</v>
      </c>
      <c r="B64" s="4">
        <v>5449000000000</v>
      </c>
      <c r="C64" s="4" t="s">
        <v>79</v>
      </c>
      <c r="D64" s="4" t="s">
        <v>13</v>
      </c>
      <c r="E64" s="4">
        <v>576</v>
      </c>
      <c r="F64" s="5">
        <v>13135.647000000001</v>
      </c>
      <c r="G64" s="4">
        <v>1359</v>
      </c>
      <c r="H64" s="4">
        <v>11.94</v>
      </c>
      <c r="I64" s="4">
        <v>-365</v>
      </c>
      <c r="J64" s="4">
        <v>-61</v>
      </c>
      <c r="K64" s="4" t="s">
        <v>14</v>
      </c>
      <c r="L64" s="6">
        <v>0.11939999999999999</v>
      </c>
      <c r="M64" s="4" t="str">
        <f>tbl_Fact_Sales[[#This Row],[Size_Clean]]</f>
        <v>2L</v>
      </c>
      <c r="N64" s="4">
        <f>_xlfn.XLOOKUP(tbl_Fact_Sales[[#This Row],[Pack_Size]], tbl_Size_Map[Size_Clean], tbl_Size_Map[Units_Per_Case])</f>
        <v>6</v>
      </c>
      <c r="O64" s="7">
        <f>tbl_Fact_Sales[[#This Row],[Units_Sold]] / tbl_Fact_Sales[[#This Row],[Units_Per_Pack]]</f>
        <v>-60.833333333333336</v>
      </c>
      <c r="P64" s="7">
        <f>tbl_Fact_Sales[[#This Row],[SOH]] / tbl_Fact_Sales[[#This Row],[Units_Per_Pack]]</f>
        <v>96</v>
      </c>
      <c r="Q64" s="4" t="s">
        <v>79</v>
      </c>
      <c r="R64" s="4">
        <f>SUMIFS(tbl_Fact_Sales[Units_Sold], tbl_Fact_Sales[Parent_Product], tbl_Fact_Sales[[#This Row],[Parent_Product]])</f>
        <v>-365</v>
      </c>
      <c r="S64" s="4" t="str">
        <f>IF(ABS(tbl_Fact_Sales[[#This Row],[Parent_Total_Units]])&lt;0.0001, "Balanced", "Investigate")</f>
        <v>Investigate</v>
      </c>
      <c r="T64" s="4">
        <f>tbl_Fact_Sales[[#This Row],[Parent_Total_Units]]</f>
        <v>-365</v>
      </c>
      <c r="U64" s="4" t="str">
        <f>IF(ABS(tbl_Fact_Sales[[#This Row],[Parent_Total_Units]])&lt;=50, "Acceptable", IF(ABS(tbl_Fact_Sales[[#This Row],[Parent_Total_Units]])&lt;=250, "Check", "Problem"))</f>
        <v>Problem</v>
      </c>
      <c r="V64" s="7">
        <f>tbl_Fact_Sales[[#This Row],[Cases_Sold2]]/7</f>
        <v>-8.6904761904761916</v>
      </c>
      <c r="W64" s="7">
        <f>tbl_Fact_Sales[[#This Row],[Daily_Demand]]*2</f>
        <v>-17.380952380952383</v>
      </c>
      <c r="X64" s="4"/>
      <c r="Y64" s="7"/>
      <c r="Z64" s="7">
        <f>tbl_Fact_Sales[[#This Row],[Daily_Demand]]*10 + tbl_Fact_Sales[[#This Row],[Safety_Stock]]</f>
        <v>-104.28571428571429</v>
      </c>
      <c r="AA64" s="7">
        <f>MAX(0, tbl_Fact_Sales[[#This Row],[Required_Stock]] - tbl_Fact_Sales[[#This Row],[Cases_SOH]])</f>
        <v>0</v>
      </c>
      <c r="AB64" s="7">
        <f>tbl_Fact_Sales[[#This Row],[Cases_SOH]] / tbl_Fact_Sales[[#This Row],[Daily_Demand]]</f>
        <v>-11.046575342465752</v>
      </c>
      <c r="AC64" s="7">
        <f>tbl_Fact_Sales[[#This Row],[Suggested_Order]] * tbl_Fact_Sales[[#This Row],[Daily_Demand]]</f>
        <v>0</v>
      </c>
      <c r="AD64" s="7" t="str">
        <f>TRIM(tbl_Fact_Sales[[#This Row],[Parent_Product]])</f>
        <v>SPARLETTA APPLE</v>
      </c>
      <c r="AE64" s="7" cm="1">
        <f t="array" ref="AE64">IF(_xlfn.XLOOKUP(tbl_Fact_Sales[[#This Row],[Product_Code]], INDEX(rng_Recount, 0, 3), INDEX(rng_Recount, 0, 4), "") ="", tbl_Fact_Sales[[#This Row],[Cases_SOH]], _xlfn.XLOOKUP(tbl_Fact_Sales[[#This Row],[Product_Code]], INDEX(rng_Recount, 0, 3), INDEX(rng_Recount, 0, 4)))</f>
        <v>96</v>
      </c>
      <c r="AF64" s="7">
        <f>ABS(tbl_Fact_Sales[[#This Row],[Required_Stock]] - tbl_Fact_Sales[[#This Row],[Adjusted_SOH]])</f>
        <v>200.28571428571428</v>
      </c>
      <c r="AG64" s="4" t="str">
        <f>IF(tbl_Fact_Sales[[#This Row],[Recount_Variance]]&lt;=10, "Acceptable", IF(tbl_Fact_Sales[[#This Row],[Recount_Variance]]&lt;=50, "Check", "Problem"))</f>
        <v>Problem</v>
      </c>
    </row>
    <row r="65" spans="1:33" x14ac:dyDescent="0.25">
      <c r="A65" s="4">
        <v>5164</v>
      </c>
      <c r="B65" s="4">
        <v>6001130000000</v>
      </c>
      <c r="C65" s="4" t="s">
        <v>15</v>
      </c>
      <c r="D65" s="4" t="s">
        <v>13</v>
      </c>
      <c r="E65" s="4">
        <v>656</v>
      </c>
      <c r="F65" s="5">
        <v>6808.3940000000002</v>
      </c>
      <c r="G65" s="4">
        <v>709</v>
      </c>
      <c r="H65" s="4">
        <v>10.99</v>
      </c>
      <c r="I65" s="4">
        <v>-546</v>
      </c>
      <c r="J65" s="4">
        <v>-91</v>
      </c>
      <c r="K65" s="4" t="s">
        <v>14</v>
      </c>
      <c r="L65" s="6">
        <v>0.1099</v>
      </c>
      <c r="M65" s="4" t="str">
        <f>tbl_Fact_Sales[[#This Row],[Size_Clean]]</f>
        <v>2L</v>
      </c>
      <c r="N65" s="4">
        <f>_xlfn.XLOOKUP(tbl_Fact_Sales[[#This Row],[Pack_Size]], tbl_Size_Map[Size_Clean], tbl_Size_Map[Units_Per_Case])</f>
        <v>6</v>
      </c>
      <c r="O65" s="7">
        <f>tbl_Fact_Sales[[#This Row],[Units_Sold]] / tbl_Fact_Sales[[#This Row],[Units_Per_Pack]]</f>
        <v>-91</v>
      </c>
      <c r="P65" s="7">
        <f>tbl_Fact_Sales[[#This Row],[SOH]] / tbl_Fact_Sales[[#This Row],[Units_Per_Pack]]</f>
        <v>109.33333333333333</v>
      </c>
      <c r="Q65" s="4" t="s">
        <v>15</v>
      </c>
      <c r="R65" s="4">
        <f>SUMIFS(tbl_Fact_Sales[Units_Sold], tbl_Fact_Sales[Parent_Product], tbl_Fact_Sales[[#This Row],[Parent_Product]])</f>
        <v>-560</v>
      </c>
      <c r="S65" s="4" t="str">
        <f>IF(ABS(tbl_Fact_Sales[[#This Row],[Parent_Total_Units]])&lt;0.0001, "Balanced", "Investigate")</f>
        <v>Investigate</v>
      </c>
      <c r="T65" s="4">
        <f>tbl_Fact_Sales[[#This Row],[Parent_Total_Units]]</f>
        <v>-560</v>
      </c>
      <c r="U65" s="4" t="str">
        <f>IF(ABS(tbl_Fact_Sales[[#This Row],[Parent_Total_Units]])&lt;=50, "Acceptable", IF(ABS(tbl_Fact_Sales[[#This Row],[Parent_Total_Units]])&lt;=250, "Check", "Problem"))</f>
        <v>Problem</v>
      </c>
      <c r="V65" s="7">
        <f>tbl_Fact_Sales[[#This Row],[Cases_Sold2]]/7</f>
        <v>-13</v>
      </c>
      <c r="W65" s="7">
        <f>tbl_Fact_Sales[[#This Row],[Daily_Demand]]*2</f>
        <v>-26</v>
      </c>
      <c r="X65" s="4"/>
      <c r="Y65" s="7"/>
      <c r="Z65" s="7">
        <f>tbl_Fact_Sales[[#This Row],[Daily_Demand]]*10 + tbl_Fact_Sales[[#This Row],[Safety_Stock]]</f>
        <v>-156</v>
      </c>
      <c r="AA65" s="7">
        <f>MAX(0, tbl_Fact_Sales[[#This Row],[Required_Stock]] - tbl_Fact_Sales[[#This Row],[Cases_SOH]])</f>
        <v>0</v>
      </c>
      <c r="AB65" s="7">
        <f>tbl_Fact_Sales[[#This Row],[Cases_SOH]] / tbl_Fact_Sales[[#This Row],[Daily_Demand]]</f>
        <v>-8.4102564102564106</v>
      </c>
      <c r="AC65" s="7">
        <f>tbl_Fact_Sales[[#This Row],[Suggested_Order]] * tbl_Fact_Sales[[#This Row],[Daily_Demand]]</f>
        <v>0</v>
      </c>
      <c r="AD65" s="7" t="str">
        <f>TRIM(tbl_Fact_Sales[[#This Row],[Parent_Product]])</f>
        <v>SPARLETTA SPARBERRY</v>
      </c>
      <c r="AE65" s="7" cm="1">
        <f t="array" ref="AE65">IF(_xlfn.XLOOKUP(tbl_Fact_Sales[[#This Row],[Product_Code]], INDEX(rng_Recount, 0, 3), INDEX(rng_Recount, 0, 4), "") ="", tbl_Fact_Sales[[#This Row],[Cases_SOH]], _xlfn.XLOOKUP(tbl_Fact_Sales[[#This Row],[Product_Code]], INDEX(rng_Recount, 0, 3), INDEX(rng_Recount, 0, 4)))</f>
        <v>109.33333333333333</v>
      </c>
      <c r="AF65" s="7">
        <f>ABS(tbl_Fact_Sales[[#This Row],[Required_Stock]] - tbl_Fact_Sales[[#This Row],[Adjusted_SOH]])</f>
        <v>265.33333333333331</v>
      </c>
      <c r="AG65" s="4" t="str">
        <f>IF(tbl_Fact_Sales[[#This Row],[Recount_Variance]]&lt;=10, "Acceptable", IF(tbl_Fact_Sales[[#This Row],[Recount_Variance]]&lt;=50, "Check", "Problem"))</f>
        <v>Problem</v>
      </c>
    </row>
    <row r="66" spans="1:33" x14ac:dyDescent="0.25">
      <c r="A66" s="4">
        <v>22900</v>
      </c>
      <c r="B66" s="4">
        <v>5449000000000</v>
      </c>
      <c r="C66" s="4" t="s">
        <v>15</v>
      </c>
      <c r="D66" s="4" t="s">
        <v>27</v>
      </c>
      <c r="E66" s="4">
        <v>31</v>
      </c>
      <c r="F66" s="5">
        <v>574.41399999999999</v>
      </c>
      <c r="G66" s="4">
        <v>109</v>
      </c>
      <c r="H66" s="4">
        <v>19.53</v>
      </c>
      <c r="I66" s="4">
        <v>-14</v>
      </c>
      <c r="J66" s="4">
        <v>-1</v>
      </c>
      <c r="K66" s="4" t="s">
        <v>27</v>
      </c>
      <c r="L66" s="6">
        <v>0.1953</v>
      </c>
      <c r="M66" s="4" t="str">
        <f>tbl_Fact_Sales[[#This Row],[Size_Clean]]</f>
        <v>330ML</v>
      </c>
      <c r="N66" s="4">
        <f>_xlfn.XLOOKUP(tbl_Fact_Sales[[#This Row],[Pack_Size]], tbl_Size_Map[Size_Clean], tbl_Size_Map[Units_Per_Case])</f>
        <v>24</v>
      </c>
      <c r="O66" s="7">
        <f>tbl_Fact_Sales[[#This Row],[Units_Sold]] / tbl_Fact_Sales[[#This Row],[Units_Per_Pack]]</f>
        <v>-0.58333333333333337</v>
      </c>
      <c r="P66" s="7">
        <f>tbl_Fact_Sales[[#This Row],[SOH]] / tbl_Fact_Sales[[#This Row],[Units_Per_Pack]]</f>
        <v>1.2916666666666667</v>
      </c>
      <c r="Q66" s="4" t="s">
        <v>15</v>
      </c>
      <c r="R66" s="4">
        <f>SUMIFS(tbl_Fact_Sales[Units_Sold], tbl_Fact_Sales[Parent_Product], tbl_Fact_Sales[[#This Row],[Parent_Product]])</f>
        <v>-560</v>
      </c>
      <c r="S66" s="4" t="str">
        <f>IF(ABS(tbl_Fact_Sales[[#This Row],[Parent_Total_Units]])&lt;0.0001, "Balanced", "Investigate")</f>
        <v>Investigate</v>
      </c>
      <c r="T66" s="4">
        <f>tbl_Fact_Sales[[#This Row],[Parent_Total_Units]]</f>
        <v>-560</v>
      </c>
      <c r="U66" s="4" t="str">
        <f>IF(ABS(tbl_Fact_Sales[[#This Row],[Parent_Total_Units]])&lt;=50, "Acceptable", IF(ABS(tbl_Fact_Sales[[#This Row],[Parent_Total_Units]])&lt;=250, "Check", "Problem"))</f>
        <v>Problem</v>
      </c>
      <c r="V66" s="7">
        <f>tbl_Fact_Sales[[#This Row],[Cases_Sold2]]/7</f>
        <v>-8.3333333333333343E-2</v>
      </c>
      <c r="W66" s="7">
        <f>tbl_Fact_Sales[[#This Row],[Daily_Demand]]*2</f>
        <v>-0.16666666666666669</v>
      </c>
      <c r="X66" s="4"/>
      <c r="Y66" s="7"/>
      <c r="Z66" s="7">
        <f>tbl_Fact_Sales[[#This Row],[Daily_Demand]]*10 + tbl_Fact_Sales[[#This Row],[Safety_Stock]]</f>
        <v>-1.0000000000000002</v>
      </c>
      <c r="AA66" s="7">
        <f>MAX(0, tbl_Fact_Sales[[#This Row],[Required_Stock]] - tbl_Fact_Sales[[#This Row],[Cases_SOH]])</f>
        <v>0</v>
      </c>
      <c r="AB66" s="7">
        <f>tbl_Fact_Sales[[#This Row],[Cases_SOH]] / tbl_Fact_Sales[[#This Row],[Daily_Demand]]</f>
        <v>-15.5</v>
      </c>
      <c r="AC66" s="7">
        <f>tbl_Fact_Sales[[#This Row],[Suggested_Order]] * tbl_Fact_Sales[[#This Row],[Daily_Demand]]</f>
        <v>0</v>
      </c>
      <c r="AD66" s="7" t="str">
        <f>TRIM(tbl_Fact_Sales[[#This Row],[Parent_Product]])</f>
        <v>SPARLETTA SPARBERRY</v>
      </c>
      <c r="AE66" s="7" cm="1">
        <f t="array" ref="AE66">IF(_xlfn.XLOOKUP(tbl_Fact_Sales[[#This Row],[Product_Code]], INDEX(rng_Recount, 0, 3), INDEX(rng_Recount, 0, 4), "") ="", tbl_Fact_Sales[[#This Row],[Cases_SOH]], _xlfn.XLOOKUP(tbl_Fact_Sales[[#This Row],[Product_Code]], INDEX(rng_Recount, 0, 3), INDEX(rng_Recount, 0, 4)))</f>
        <v>1.2916666666666667</v>
      </c>
      <c r="AF66" s="7">
        <f>ABS(tbl_Fact_Sales[[#This Row],[Required_Stock]] - tbl_Fact_Sales[[#This Row],[Adjusted_SOH]])</f>
        <v>2.291666666666667</v>
      </c>
      <c r="AG66" s="4" t="str">
        <f>IF(tbl_Fact_Sales[[#This Row],[Recount_Variance]]&lt;=10, "Acceptable", IF(tbl_Fact_Sales[[#This Row],[Recount_Variance]]&lt;=50, "Check", "Problem"))</f>
        <v>Acceptable</v>
      </c>
    </row>
    <row r="67" spans="1:33" x14ac:dyDescent="0.25">
      <c r="A67" s="4">
        <v>22904</v>
      </c>
      <c r="B67" s="4">
        <v>5449000000000</v>
      </c>
      <c r="C67" s="4" t="s">
        <v>21</v>
      </c>
      <c r="D67" s="4" t="s">
        <v>27</v>
      </c>
      <c r="E67" s="4">
        <v>2</v>
      </c>
      <c r="F67" s="5">
        <v>4558.6307999999999</v>
      </c>
      <c r="G67" s="4">
        <v>893</v>
      </c>
      <c r="H67" s="4">
        <v>21.24</v>
      </c>
      <c r="I67" s="4">
        <v>137</v>
      </c>
      <c r="J67" s="4">
        <v>6</v>
      </c>
      <c r="K67" s="4" t="s">
        <v>27</v>
      </c>
      <c r="L67" s="6">
        <v>0.21239999999999998</v>
      </c>
      <c r="M67" s="4" t="str">
        <f>tbl_Fact_Sales[[#This Row],[Size_Clean]]</f>
        <v>330ML</v>
      </c>
      <c r="N67" s="4">
        <f>_xlfn.XLOOKUP(tbl_Fact_Sales[[#This Row],[Pack_Size]], tbl_Size_Map[Size_Clean], tbl_Size_Map[Units_Per_Case])</f>
        <v>24</v>
      </c>
      <c r="O67" s="7">
        <f>tbl_Fact_Sales[[#This Row],[Units_Sold]] / tbl_Fact_Sales[[#This Row],[Units_Per_Pack]]</f>
        <v>5.708333333333333</v>
      </c>
      <c r="P67" s="7">
        <f>tbl_Fact_Sales[[#This Row],[SOH]] / tbl_Fact_Sales[[#This Row],[Units_Per_Pack]]</f>
        <v>8.3333333333333329E-2</v>
      </c>
      <c r="Q67" s="4" t="s">
        <v>109</v>
      </c>
      <c r="R67" s="4">
        <f>SUMIFS(tbl_Fact_Sales[Units_Sold], tbl_Fact_Sales[Parent_Product], tbl_Fact_Sales[[#This Row],[Parent_Product]])</f>
        <v>199</v>
      </c>
      <c r="S67" s="4" t="str">
        <f>IF(ABS(tbl_Fact_Sales[[#This Row],[Parent_Total_Units]])&lt;0.0001, "Balanced", "Investigate")</f>
        <v>Investigate</v>
      </c>
      <c r="T67" s="4">
        <f>tbl_Fact_Sales[[#This Row],[Parent_Total_Units]]</f>
        <v>199</v>
      </c>
      <c r="U67" s="4" t="str">
        <f>IF(ABS(tbl_Fact_Sales[[#This Row],[Parent_Total_Units]])&lt;=50, "Acceptable", IF(ABS(tbl_Fact_Sales[[#This Row],[Parent_Total_Units]])&lt;=250, "Check", "Problem"))</f>
        <v>Check</v>
      </c>
      <c r="V67" s="7">
        <f>tbl_Fact_Sales[[#This Row],[Cases_Sold2]]/7</f>
        <v>0.81547619047619047</v>
      </c>
      <c r="W67" s="7">
        <f>tbl_Fact_Sales[[#This Row],[Daily_Demand]]*2</f>
        <v>1.6309523809523809</v>
      </c>
      <c r="X67" s="4"/>
      <c r="Y67" s="7"/>
      <c r="Z67" s="7">
        <f>tbl_Fact_Sales[[#This Row],[Daily_Demand]]*10 + tbl_Fact_Sales[[#This Row],[Safety_Stock]]</f>
        <v>9.7857142857142865</v>
      </c>
      <c r="AA67" s="7">
        <f>MAX(0, tbl_Fact_Sales[[#This Row],[Required_Stock]] - tbl_Fact_Sales[[#This Row],[Cases_SOH]])</f>
        <v>9.7023809523809526</v>
      </c>
      <c r="AB67" s="7">
        <f>tbl_Fact_Sales[[#This Row],[Cases_SOH]] / tbl_Fact_Sales[[#This Row],[Daily_Demand]]</f>
        <v>0.10218978102189781</v>
      </c>
      <c r="AC67" s="7">
        <f>tbl_Fact_Sales[[#This Row],[Suggested_Order]] * tbl_Fact_Sales[[#This Row],[Daily_Demand]]</f>
        <v>7.9120606575963723</v>
      </c>
      <c r="AD67" s="7" t="str">
        <f>TRIM(tbl_Fact_Sales[[#This Row],[Parent_Product]])</f>
        <v>STONEY GINGER</v>
      </c>
      <c r="AE67" s="7" cm="1">
        <f t="array" ref="AE67">IF(_xlfn.XLOOKUP(tbl_Fact_Sales[[#This Row],[Product_Code]], INDEX(rng_Recount, 0, 3), INDEX(rng_Recount, 0, 4), "") ="", tbl_Fact_Sales[[#This Row],[Cases_SOH]], _xlfn.XLOOKUP(tbl_Fact_Sales[[#This Row],[Product_Code]], INDEX(rng_Recount, 0, 3), INDEX(rng_Recount, 0, 4)))</f>
        <v>8.3333333333333329E-2</v>
      </c>
      <c r="AF67" s="7">
        <f>ABS(tbl_Fact_Sales[[#This Row],[Required_Stock]] - tbl_Fact_Sales[[#This Row],[Adjusted_SOH]])</f>
        <v>9.7023809523809526</v>
      </c>
      <c r="AG67" s="4" t="str">
        <f>IF(tbl_Fact_Sales[[#This Row],[Recount_Variance]]&lt;=10, "Acceptable", IF(tbl_Fact_Sales[[#This Row],[Recount_Variance]]&lt;=50, "Check", "Problem"))</f>
        <v>Acceptable</v>
      </c>
    </row>
    <row r="68" spans="1:33" x14ac:dyDescent="0.25">
      <c r="A68" s="4">
        <v>6065</v>
      </c>
      <c r="B68" s="4">
        <v>5449000000000</v>
      </c>
      <c r="C68" s="4" t="s">
        <v>43</v>
      </c>
      <c r="D68" s="4" t="s">
        <v>22</v>
      </c>
      <c r="E68" s="4">
        <v>77</v>
      </c>
      <c r="F68" s="5">
        <v>5885.8464000000004</v>
      </c>
      <c r="G68" s="4">
        <v>671</v>
      </c>
      <c r="H68" s="4">
        <v>19.93</v>
      </c>
      <c r="I68" s="4">
        <v>27</v>
      </c>
      <c r="J68" s="4">
        <v>2</v>
      </c>
      <c r="K68" s="4" t="s">
        <v>23</v>
      </c>
      <c r="L68" s="6">
        <v>0.1993</v>
      </c>
      <c r="M68" s="4" t="str">
        <f>tbl_Fact_Sales[[#This Row],[Size_Clean]]</f>
        <v>1L</v>
      </c>
      <c r="N68" s="4">
        <f>_xlfn.XLOOKUP(tbl_Fact_Sales[[#This Row],[Pack_Size]], tbl_Size_Map[Size_Clean], tbl_Size_Map[Units_Per_Case])</f>
        <v>12</v>
      </c>
      <c r="O68" s="7">
        <f>tbl_Fact_Sales[[#This Row],[Units_Sold]] / tbl_Fact_Sales[[#This Row],[Units_Per_Pack]]</f>
        <v>2.25</v>
      </c>
      <c r="P68" s="7">
        <f>tbl_Fact_Sales[[#This Row],[SOH]] / tbl_Fact_Sales[[#This Row],[Units_Per_Pack]]</f>
        <v>6.416666666666667</v>
      </c>
      <c r="Q68" s="4" t="s">
        <v>43</v>
      </c>
      <c r="R68" s="4">
        <f>SUMIFS(tbl_Fact_Sales[Units_Sold], tbl_Fact_Sales[Parent_Product], tbl_Fact_Sales[[#This Row],[Parent_Product]])</f>
        <v>500</v>
      </c>
      <c r="S68" s="4" t="str">
        <f>IF(ABS(tbl_Fact_Sales[[#This Row],[Parent_Total_Units]])&lt;0.0001, "Balanced", "Investigate")</f>
        <v>Investigate</v>
      </c>
      <c r="T68" s="4">
        <f>tbl_Fact_Sales[[#This Row],[Parent_Total_Units]]</f>
        <v>500</v>
      </c>
      <c r="U68" s="4" t="str">
        <f>IF(ABS(tbl_Fact_Sales[[#This Row],[Parent_Total_Units]])&lt;=50, "Acceptable", IF(ABS(tbl_Fact_Sales[[#This Row],[Parent_Total_Units]])&lt;=250, "Check", "Problem"))</f>
        <v>Problem</v>
      </c>
      <c r="V68" s="7">
        <f>tbl_Fact_Sales[[#This Row],[Cases_Sold2]]/7</f>
        <v>0.32142857142857145</v>
      </c>
      <c r="W68" s="7">
        <f>tbl_Fact_Sales[[#This Row],[Daily_Demand]]*2</f>
        <v>0.6428571428571429</v>
      </c>
      <c r="X68" s="4"/>
      <c r="Y68" s="7"/>
      <c r="Z68" s="7">
        <f>tbl_Fact_Sales[[#This Row],[Daily_Demand]]*10 + tbl_Fact_Sales[[#This Row],[Safety_Stock]]</f>
        <v>3.8571428571428572</v>
      </c>
      <c r="AA68" s="7">
        <f>MAX(0, tbl_Fact_Sales[[#This Row],[Required_Stock]] - tbl_Fact_Sales[[#This Row],[Cases_SOH]])</f>
        <v>0</v>
      </c>
      <c r="AB68" s="7">
        <f>tbl_Fact_Sales[[#This Row],[Cases_SOH]] / tbl_Fact_Sales[[#This Row],[Daily_Demand]]</f>
        <v>19.962962962962962</v>
      </c>
      <c r="AC68" s="7">
        <f>tbl_Fact_Sales[[#This Row],[Suggested_Order]] * tbl_Fact_Sales[[#This Row],[Daily_Demand]]</f>
        <v>0</v>
      </c>
      <c r="AD68" s="7" t="str">
        <f>TRIM(tbl_Fact_Sales[[#This Row],[Parent_Product]])</f>
        <v>SPRITE</v>
      </c>
      <c r="AE68" s="7" cm="1">
        <f t="array" ref="AE68">IF(_xlfn.XLOOKUP(tbl_Fact_Sales[[#This Row],[Product_Code]], INDEX(rng_Recount, 0, 3), INDEX(rng_Recount, 0, 4), "") ="", tbl_Fact_Sales[[#This Row],[Cases_SOH]], _xlfn.XLOOKUP(tbl_Fact_Sales[[#This Row],[Product_Code]], INDEX(rng_Recount, 0, 3), INDEX(rng_Recount, 0, 4)))</f>
        <v>6.416666666666667</v>
      </c>
      <c r="AF68" s="7">
        <f>ABS(tbl_Fact_Sales[[#This Row],[Required_Stock]] - tbl_Fact_Sales[[#This Row],[Adjusted_SOH]])</f>
        <v>2.5595238095238098</v>
      </c>
      <c r="AG68" s="4" t="str">
        <f>IF(tbl_Fact_Sales[[#This Row],[Recount_Variance]]&lt;=10, "Acceptable", IF(tbl_Fact_Sales[[#This Row],[Recount_Variance]]&lt;=50, "Check", "Problem"))</f>
        <v>Acceptable</v>
      </c>
    </row>
    <row r="69" spans="1:33" x14ac:dyDescent="0.25">
      <c r="A69" s="4">
        <v>22375</v>
      </c>
      <c r="B69" s="4">
        <v>5449000000000</v>
      </c>
      <c r="C69" s="4" t="s">
        <v>43</v>
      </c>
      <c r="D69" s="4" t="s">
        <v>27</v>
      </c>
      <c r="E69" s="4">
        <v>-21</v>
      </c>
      <c r="F69" s="5">
        <v>3626.8011999999999</v>
      </c>
      <c r="G69" s="4">
        <v>745</v>
      </c>
      <c r="H69" s="4">
        <v>24.44</v>
      </c>
      <c r="I69" s="4">
        <v>137</v>
      </c>
      <c r="J69" s="4">
        <v>6</v>
      </c>
      <c r="K69" s="4" t="s">
        <v>27</v>
      </c>
      <c r="L69" s="6">
        <v>0.24440000000000001</v>
      </c>
      <c r="M69" s="4" t="str">
        <f>tbl_Fact_Sales[[#This Row],[Size_Clean]]</f>
        <v>330ML</v>
      </c>
      <c r="N69" s="4">
        <f>_xlfn.XLOOKUP(tbl_Fact_Sales[[#This Row],[Pack_Size]], tbl_Size_Map[Size_Clean], tbl_Size_Map[Units_Per_Case])</f>
        <v>24</v>
      </c>
      <c r="O69" s="7">
        <f>tbl_Fact_Sales[[#This Row],[Units_Sold]] / tbl_Fact_Sales[[#This Row],[Units_Per_Pack]]</f>
        <v>5.708333333333333</v>
      </c>
      <c r="P69" s="7">
        <f>tbl_Fact_Sales[[#This Row],[SOH]] / tbl_Fact_Sales[[#This Row],[Units_Per_Pack]]</f>
        <v>-0.875</v>
      </c>
      <c r="Q69" s="4" t="s">
        <v>43</v>
      </c>
      <c r="R69" s="4">
        <f>SUMIFS(tbl_Fact_Sales[Units_Sold], tbl_Fact_Sales[Parent_Product], tbl_Fact_Sales[[#This Row],[Parent_Product]])</f>
        <v>500</v>
      </c>
      <c r="S69" s="4" t="str">
        <f>IF(ABS(tbl_Fact_Sales[[#This Row],[Parent_Total_Units]])&lt;0.0001, "Balanced", "Investigate")</f>
        <v>Investigate</v>
      </c>
      <c r="T69" s="4">
        <f>tbl_Fact_Sales[[#This Row],[Parent_Total_Units]]</f>
        <v>500</v>
      </c>
      <c r="U69" s="4" t="str">
        <f>IF(ABS(tbl_Fact_Sales[[#This Row],[Parent_Total_Units]])&lt;=50, "Acceptable", IF(ABS(tbl_Fact_Sales[[#This Row],[Parent_Total_Units]])&lt;=250, "Check", "Problem"))</f>
        <v>Problem</v>
      </c>
      <c r="V69" s="7">
        <f>tbl_Fact_Sales[[#This Row],[Cases_Sold2]]/7</f>
        <v>0.81547619047619047</v>
      </c>
      <c r="W69" s="7">
        <f>tbl_Fact_Sales[[#This Row],[Daily_Demand]]*2</f>
        <v>1.6309523809523809</v>
      </c>
      <c r="X69" s="4"/>
      <c r="Y69" s="7"/>
      <c r="Z69" s="7">
        <f>tbl_Fact_Sales[[#This Row],[Daily_Demand]]*10 + tbl_Fact_Sales[[#This Row],[Safety_Stock]]</f>
        <v>9.7857142857142865</v>
      </c>
      <c r="AA69" s="7">
        <f>MAX(0, tbl_Fact_Sales[[#This Row],[Required_Stock]] - tbl_Fact_Sales[[#This Row],[Cases_SOH]])</f>
        <v>10.660714285714286</v>
      </c>
      <c r="AB69" s="7">
        <f>tbl_Fact_Sales[[#This Row],[Cases_SOH]] / tbl_Fact_Sales[[#This Row],[Daily_Demand]]</f>
        <v>-1.0729927007299269</v>
      </c>
      <c r="AC69" s="7">
        <f>tbl_Fact_Sales[[#This Row],[Suggested_Order]] * tbl_Fact_Sales[[#This Row],[Daily_Demand]]</f>
        <v>8.6935586734693882</v>
      </c>
      <c r="AD69" s="7" t="str">
        <f>TRIM(tbl_Fact_Sales[[#This Row],[Parent_Product]])</f>
        <v>SPRITE</v>
      </c>
      <c r="AE69" s="7" cm="1">
        <f t="array" ref="AE69">IF(_xlfn.XLOOKUP(tbl_Fact_Sales[[#This Row],[Product_Code]], INDEX(rng_Recount, 0, 3), INDEX(rng_Recount, 0, 4), "") ="", tbl_Fact_Sales[[#This Row],[Cases_SOH]], _xlfn.XLOOKUP(tbl_Fact_Sales[[#This Row],[Product_Code]], INDEX(rng_Recount, 0, 3), INDEX(rng_Recount, 0, 4)))</f>
        <v>-0.875</v>
      </c>
      <c r="AF69" s="7">
        <f>ABS(tbl_Fact_Sales[[#This Row],[Required_Stock]] - tbl_Fact_Sales[[#This Row],[Adjusted_SOH]])</f>
        <v>10.660714285714286</v>
      </c>
      <c r="AG69" s="4" t="str">
        <f>IF(tbl_Fact_Sales[[#This Row],[Recount_Variance]]&lt;=10, "Acceptable", IF(tbl_Fact_Sales[[#This Row],[Recount_Variance]]&lt;=50, "Check", "Problem"))</f>
        <v>Check</v>
      </c>
    </row>
    <row r="70" spans="1:33" x14ac:dyDescent="0.25">
      <c r="A70" s="4">
        <v>2151</v>
      </c>
      <c r="B70" s="4">
        <v>5449000000000</v>
      </c>
      <c r="C70" s="4" t="s">
        <v>43</v>
      </c>
      <c r="D70" s="4" t="s">
        <v>13</v>
      </c>
      <c r="E70" s="4">
        <v>5</v>
      </c>
      <c r="F70" s="5">
        <v>4272.9250000000002</v>
      </c>
      <c r="G70" s="4">
        <v>335</v>
      </c>
      <c r="H70" s="4">
        <v>9.0399999999999991</v>
      </c>
      <c r="I70" s="4">
        <v>47</v>
      </c>
      <c r="J70" s="4">
        <v>8</v>
      </c>
      <c r="K70" s="4" t="s">
        <v>14</v>
      </c>
      <c r="L70" s="6">
        <v>9.0399999999999994E-2</v>
      </c>
      <c r="M70" s="4" t="str">
        <f>tbl_Fact_Sales[[#This Row],[Size_Clean]]</f>
        <v>2L</v>
      </c>
      <c r="N70" s="4">
        <f>_xlfn.XLOOKUP(tbl_Fact_Sales[[#This Row],[Pack_Size]], tbl_Size_Map[Size_Clean], tbl_Size_Map[Units_Per_Case])</f>
        <v>6</v>
      </c>
      <c r="O70" s="7">
        <f>tbl_Fact_Sales[[#This Row],[Units_Sold]] / tbl_Fact_Sales[[#This Row],[Units_Per_Pack]]</f>
        <v>7.833333333333333</v>
      </c>
      <c r="P70" s="7">
        <f>tbl_Fact_Sales[[#This Row],[SOH]] / tbl_Fact_Sales[[#This Row],[Units_Per_Pack]]</f>
        <v>0.83333333333333337</v>
      </c>
      <c r="Q70" s="4" t="s">
        <v>43</v>
      </c>
      <c r="R70" s="4">
        <f>SUMIFS(tbl_Fact_Sales[Units_Sold], tbl_Fact_Sales[Parent_Product], tbl_Fact_Sales[[#This Row],[Parent_Product]])</f>
        <v>500</v>
      </c>
      <c r="S70" s="4" t="str">
        <f>IF(ABS(tbl_Fact_Sales[[#This Row],[Parent_Total_Units]])&lt;0.0001, "Balanced", "Investigate")</f>
        <v>Investigate</v>
      </c>
      <c r="T70" s="4">
        <f>tbl_Fact_Sales[[#This Row],[Parent_Total_Units]]</f>
        <v>500</v>
      </c>
      <c r="U70" s="4" t="str">
        <f>IF(ABS(tbl_Fact_Sales[[#This Row],[Parent_Total_Units]])&lt;=50, "Acceptable", IF(ABS(tbl_Fact_Sales[[#This Row],[Parent_Total_Units]])&lt;=250, "Check", "Problem"))</f>
        <v>Problem</v>
      </c>
      <c r="V70" s="7">
        <f>tbl_Fact_Sales[[#This Row],[Cases_Sold2]]/7</f>
        <v>1.1190476190476191</v>
      </c>
      <c r="W70" s="7">
        <f>tbl_Fact_Sales[[#This Row],[Daily_Demand]]*2</f>
        <v>2.2380952380952381</v>
      </c>
      <c r="X70" s="4"/>
      <c r="Y70" s="7"/>
      <c r="Z70" s="7">
        <f>tbl_Fact_Sales[[#This Row],[Daily_Demand]]*10 + tbl_Fact_Sales[[#This Row],[Safety_Stock]]</f>
        <v>13.428571428571427</v>
      </c>
      <c r="AA70" s="7">
        <f>MAX(0, tbl_Fact_Sales[[#This Row],[Required_Stock]] - tbl_Fact_Sales[[#This Row],[Cases_SOH]])</f>
        <v>12.595238095238093</v>
      </c>
      <c r="AB70" s="7">
        <f>tbl_Fact_Sales[[#This Row],[Cases_SOH]] / tbl_Fact_Sales[[#This Row],[Daily_Demand]]</f>
        <v>0.74468085106382975</v>
      </c>
      <c r="AC70" s="7">
        <f>tbl_Fact_Sales[[#This Row],[Suggested_Order]] * tbl_Fact_Sales[[#This Row],[Daily_Demand]]</f>
        <v>14.094671201814057</v>
      </c>
      <c r="AD70" s="7" t="str">
        <f>TRIM(tbl_Fact_Sales[[#This Row],[Parent_Product]])</f>
        <v>SPRITE</v>
      </c>
      <c r="AE70" s="7" cm="1">
        <f t="array" ref="AE70">IF(_xlfn.XLOOKUP(tbl_Fact_Sales[[#This Row],[Product_Code]], INDEX(rng_Recount, 0, 3), INDEX(rng_Recount, 0, 4), "") ="", tbl_Fact_Sales[[#This Row],[Cases_SOH]], _xlfn.XLOOKUP(tbl_Fact_Sales[[#This Row],[Product_Code]], INDEX(rng_Recount, 0, 3), INDEX(rng_Recount, 0, 4)))</f>
        <v>0.83333333333333337</v>
      </c>
      <c r="AF70" s="7">
        <f>ABS(tbl_Fact_Sales[[#This Row],[Required_Stock]] - tbl_Fact_Sales[[#This Row],[Adjusted_SOH]])</f>
        <v>12.595238095238093</v>
      </c>
      <c r="AG70" s="4" t="str">
        <f>IF(tbl_Fact_Sales[[#This Row],[Recount_Variance]]&lt;=10, "Acceptable", IF(tbl_Fact_Sales[[#This Row],[Recount_Variance]]&lt;=50, "Check", "Problem"))</f>
        <v>Check</v>
      </c>
    </row>
    <row r="71" spans="1:33" x14ac:dyDescent="0.25">
      <c r="A71" s="4">
        <v>2156</v>
      </c>
      <c r="B71" s="4">
        <v>54490529</v>
      </c>
      <c r="C71" s="4" t="s">
        <v>43</v>
      </c>
      <c r="D71" s="4" t="s">
        <v>19</v>
      </c>
      <c r="E71" s="4">
        <v>100</v>
      </c>
      <c r="F71" s="5">
        <v>7835.8662999999997</v>
      </c>
      <c r="G71" s="4">
        <v>1259</v>
      </c>
      <c r="H71" s="4">
        <v>21.05</v>
      </c>
      <c r="I71" s="4">
        <v>96</v>
      </c>
      <c r="J71" s="4">
        <v>4</v>
      </c>
      <c r="K71" s="4" t="s">
        <v>19</v>
      </c>
      <c r="L71" s="6">
        <v>0.21050000000000002</v>
      </c>
      <c r="M71" s="4" t="str">
        <f>tbl_Fact_Sales[[#This Row],[Size_Clean]]</f>
        <v>500ML</v>
      </c>
      <c r="N71" s="4">
        <f>_xlfn.XLOOKUP(tbl_Fact_Sales[[#This Row],[Pack_Size]], tbl_Size_Map[Size_Clean], tbl_Size_Map[Units_Per_Case])</f>
        <v>12</v>
      </c>
      <c r="O71" s="7">
        <f>tbl_Fact_Sales[[#This Row],[Units_Sold]] / tbl_Fact_Sales[[#This Row],[Units_Per_Pack]]</f>
        <v>8</v>
      </c>
      <c r="P71" s="7">
        <f>tbl_Fact_Sales[[#This Row],[SOH]] / tbl_Fact_Sales[[#This Row],[Units_Per_Pack]]</f>
        <v>8.3333333333333339</v>
      </c>
      <c r="Q71" s="4" t="s">
        <v>43</v>
      </c>
      <c r="R71" s="4">
        <f>SUMIFS(tbl_Fact_Sales[Units_Sold], tbl_Fact_Sales[Parent_Product], tbl_Fact_Sales[[#This Row],[Parent_Product]])</f>
        <v>500</v>
      </c>
      <c r="S71" s="4" t="str">
        <f>IF(ABS(tbl_Fact_Sales[[#This Row],[Parent_Total_Units]])&lt;0.0001, "Balanced", "Investigate")</f>
        <v>Investigate</v>
      </c>
      <c r="T71" s="4">
        <f>tbl_Fact_Sales[[#This Row],[Parent_Total_Units]]</f>
        <v>500</v>
      </c>
      <c r="U71" s="4" t="str">
        <f>IF(ABS(tbl_Fact_Sales[[#This Row],[Parent_Total_Units]])&lt;=50, "Acceptable", IF(ABS(tbl_Fact_Sales[[#This Row],[Parent_Total_Units]])&lt;=250, "Check", "Problem"))</f>
        <v>Problem</v>
      </c>
      <c r="V71" s="7">
        <f>tbl_Fact_Sales[[#This Row],[Cases_Sold2]]/7</f>
        <v>1.1428571428571428</v>
      </c>
      <c r="W71" s="7">
        <f>tbl_Fact_Sales[[#This Row],[Daily_Demand]]*2</f>
        <v>2.2857142857142856</v>
      </c>
      <c r="X71" s="4"/>
      <c r="Y71" s="7"/>
      <c r="Z71" s="7">
        <f>tbl_Fact_Sales[[#This Row],[Daily_Demand]]*10 + tbl_Fact_Sales[[#This Row],[Safety_Stock]]</f>
        <v>13.714285714285712</v>
      </c>
      <c r="AA71" s="7">
        <f>MAX(0, tbl_Fact_Sales[[#This Row],[Required_Stock]] - tbl_Fact_Sales[[#This Row],[Cases_SOH]])</f>
        <v>5.3809523809523778</v>
      </c>
      <c r="AB71" s="7">
        <f>tbl_Fact_Sales[[#This Row],[Cases_SOH]] / tbl_Fact_Sales[[#This Row],[Daily_Demand]]</f>
        <v>7.2916666666666679</v>
      </c>
      <c r="AC71" s="7">
        <f>tbl_Fact_Sales[[#This Row],[Suggested_Order]] * tbl_Fact_Sales[[#This Row],[Daily_Demand]]</f>
        <v>6.1496598639455744</v>
      </c>
      <c r="AD71" s="7" t="str">
        <f>TRIM(tbl_Fact_Sales[[#This Row],[Parent_Product]])</f>
        <v>SPRITE</v>
      </c>
      <c r="AE71" s="7" cm="1">
        <f t="array" ref="AE71">IF(_xlfn.XLOOKUP(tbl_Fact_Sales[[#This Row],[Product_Code]], INDEX(rng_Recount, 0, 3), INDEX(rng_Recount, 0, 4), "") ="", tbl_Fact_Sales[[#This Row],[Cases_SOH]], _xlfn.XLOOKUP(tbl_Fact_Sales[[#This Row],[Product_Code]], INDEX(rng_Recount, 0, 3), INDEX(rng_Recount, 0, 4)))</f>
        <v>8.3333333333333339</v>
      </c>
      <c r="AF71" s="7">
        <f>ABS(tbl_Fact_Sales[[#This Row],[Required_Stock]] - tbl_Fact_Sales[[#This Row],[Adjusted_SOH]])</f>
        <v>5.3809523809523778</v>
      </c>
      <c r="AG71" s="4" t="str">
        <f>IF(tbl_Fact_Sales[[#This Row],[Recount_Variance]]&lt;=10, "Acceptable", IF(tbl_Fact_Sales[[#This Row],[Recount_Variance]]&lt;=50, "Check", "Problem"))</f>
        <v>Acceptable</v>
      </c>
    </row>
    <row r="72" spans="1:33" x14ac:dyDescent="0.25">
      <c r="A72" s="4">
        <v>79007</v>
      </c>
      <c r="B72" s="4">
        <v>102</v>
      </c>
      <c r="C72" s="4" t="s">
        <v>43</v>
      </c>
      <c r="D72" s="4" t="s">
        <v>27</v>
      </c>
      <c r="E72" s="4">
        <v>-164</v>
      </c>
      <c r="F72" s="5">
        <v>662.85749999999996</v>
      </c>
      <c r="G72" s="4">
        <v>186</v>
      </c>
      <c r="H72" s="4">
        <v>15.09</v>
      </c>
      <c r="I72" s="4">
        <v>193</v>
      </c>
      <c r="J72" s="4">
        <v>8</v>
      </c>
      <c r="K72" s="4" t="s">
        <v>27</v>
      </c>
      <c r="L72" s="6">
        <v>0.15090000000000001</v>
      </c>
      <c r="M72" s="4" t="str">
        <f>tbl_Fact_Sales[[#This Row],[Size_Clean]]</f>
        <v>330ML</v>
      </c>
      <c r="N72" s="4">
        <f>_xlfn.XLOOKUP(tbl_Fact_Sales[[#This Row],[Pack_Size]], tbl_Size_Map[Size_Clean], tbl_Size_Map[Units_Per_Case])</f>
        <v>24</v>
      </c>
      <c r="O72" s="7">
        <f>tbl_Fact_Sales[[#This Row],[Units_Sold]] / tbl_Fact_Sales[[#This Row],[Units_Per_Pack]]</f>
        <v>8.0416666666666661</v>
      </c>
      <c r="P72" s="7">
        <f>tbl_Fact_Sales[[#This Row],[SOH]] / tbl_Fact_Sales[[#This Row],[Units_Per_Pack]]</f>
        <v>-6.833333333333333</v>
      </c>
      <c r="Q72" s="4" t="s">
        <v>43</v>
      </c>
      <c r="R72" s="4">
        <f>SUMIFS(tbl_Fact_Sales[Units_Sold], tbl_Fact_Sales[Parent_Product], tbl_Fact_Sales[[#This Row],[Parent_Product]])</f>
        <v>500</v>
      </c>
      <c r="S72" s="4" t="str">
        <f>IF(ABS(tbl_Fact_Sales[[#This Row],[Parent_Total_Units]])&lt;0.0001, "Balanced", "Investigate")</f>
        <v>Investigate</v>
      </c>
      <c r="T72" s="4">
        <f>tbl_Fact_Sales[[#This Row],[Parent_Total_Units]]</f>
        <v>500</v>
      </c>
      <c r="U72" s="4" t="str">
        <f>IF(ABS(tbl_Fact_Sales[[#This Row],[Parent_Total_Units]])&lt;=50, "Acceptable", IF(ABS(tbl_Fact_Sales[[#This Row],[Parent_Total_Units]])&lt;=250, "Check", "Problem"))</f>
        <v>Problem</v>
      </c>
      <c r="V72" s="7">
        <f>tbl_Fact_Sales[[#This Row],[Cases_Sold2]]/7</f>
        <v>1.1488095238095237</v>
      </c>
      <c r="W72" s="7">
        <f>tbl_Fact_Sales[[#This Row],[Daily_Demand]]*2</f>
        <v>2.2976190476190474</v>
      </c>
      <c r="X72" s="4"/>
      <c r="Y72" s="7"/>
      <c r="Z72" s="7">
        <f>tbl_Fact_Sales[[#This Row],[Daily_Demand]]*10 + tbl_Fact_Sales[[#This Row],[Safety_Stock]]</f>
        <v>13.785714285714285</v>
      </c>
      <c r="AA72" s="7">
        <f>MAX(0, tbl_Fact_Sales[[#This Row],[Required_Stock]] - tbl_Fact_Sales[[#This Row],[Cases_SOH]])</f>
        <v>20.619047619047617</v>
      </c>
      <c r="AB72" s="7">
        <f>tbl_Fact_Sales[[#This Row],[Cases_SOH]] / tbl_Fact_Sales[[#This Row],[Daily_Demand]]</f>
        <v>-5.9481865284974091</v>
      </c>
      <c r="AC72" s="7">
        <f>tbl_Fact_Sales[[#This Row],[Suggested_Order]] * tbl_Fact_Sales[[#This Row],[Daily_Demand]]</f>
        <v>23.687358276643987</v>
      </c>
      <c r="AD72" s="7" t="str">
        <f>TRIM(tbl_Fact_Sales[[#This Row],[Parent_Product]])</f>
        <v>SPRITE</v>
      </c>
      <c r="AE72" s="7" cm="1">
        <f t="array" ref="AE72">IF(_xlfn.XLOOKUP(tbl_Fact_Sales[[#This Row],[Product_Code]], INDEX(rng_Recount, 0, 3), INDEX(rng_Recount, 0, 4), "") ="", tbl_Fact_Sales[[#This Row],[Cases_SOH]], _xlfn.XLOOKUP(tbl_Fact_Sales[[#This Row],[Product_Code]], INDEX(rng_Recount, 0, 3), INDEX(rng_Recount, 0, 4)))</f>
        <v>-6.833333333333333</v>
      </c>
      <c r="AF72" s="7">
        <f>ABS(tbl_Fact_Sales[[#This Row],[Required_Stock]] - tbl_Fact_Sales[[#This Row],[Adjusted_SOH]])</f>
        <v>20.619047619047617</v>
      </c>
      <c r="AG72" s="4" t="str">
        <f>IF(tbl_Fact_Sales[[#This Row],[Recount_Variance]]&lt;=10, "Acceptable", IF(tbl_Fact_Sales[[#This Row],[Recount_Variance]]&lt;=50, "Check", "Problem"))</f>
        <v>Check</v>
      </c>
    </row>
    <row r="73" spans="1:33" x14ac:dyDescent="0.25">
      <c r="A73" s="4">
        <v>13925</v>
      </c>
      <c r="B73" s="4">
        <v>5449000000000</v>
      </c>
      <c r="C73" s="4" t="s">
        <v>20</v>
      </c>
      <c r="D73" s="4" t="s">
        <v>13</v>
      </c>
      <c r="E73" s="4">
        <v>128</v>
      </c>
      <c r="F73" s="5">
        <v>7591.2574000000004</v>
      </c>
      <c r="G73" s="4">
        <v>651</v>
      </c>
      <c r="H73" s="4">
        <v>13.76</v>
      </c>
      <c r="I73" s="4">
        <v>-27</v>
      </c>
      <c r="J73" s="4">
        <v>-4</v>
      </c>
      <c r="K73" s="4" t="s">
        <v>14</v>
      </c>
      <c r="L73" s="6">
        <v>0.1376</v>
      </c>
      <c r="M73" s="4" t="str">
        <f>tbl_Fact_Sales[[#This Row],[Size_Clean]]</f>
        <v>2L</v>
      </c>
      <c r="N73" s="4">
        <f>_xlfn.XLOOKUP(tbl_Fact_Sales[[#This Row],[Pack_Size]], tbl_Size_Map[Size_Clean], tbl_Size_Map[Units_Per_Case])</f>
        <v>6</v>
      </c>
      <c r="O73" s="7">
        <f>tbl_Fact_Sales[[#This Row],[Units_Sold]] / tbl_Fact_Sales[[#This Row],[Units_Per_Pack]]</f>
        <v>-4.5</v>
      </c>
      <c r="P73" s="7">
        <f>tbl_Fact_Sales[[#This Row],[SOH]] / tbl_Fact_Sales[[#This Row],[Units_Per_Pack]]</f>
        <v>21.333333333333332</v>
      </c>
      <c r="Q73" s="4" t="s">
        <v>20</v>
      </c>
      <c r="R73" s="4">
        <f>SUMIFS(tbl_Fact_Sales[Units_Sold], tbl_Fact_Sales[Parent_Product], tbl_Fact_Sales[[#This Row],[Parent_Product]])</f>
        <v>-82</v>
      </c>
      <c r="S73" s="4" t="str">
        <f>IF(ABS(tbl_Fact_Sales[[#This Row],[Parent_Total_Units]])&lt;0.0001, "Balanced", "Investigate")</f>
        <v>Investigate</v>
      </c>
      <c r="T73" s="4">
        <f>tbl_Fact_Sales[[#This Row],[Parent_Total_Units]]</f>
        <v>-82</v>
      </c>
      <c r="U73" s="4" t="str">
        <f>IF(ABS(tbl_Fact_Sales[[#This Row],[Parent_Total_Units]])&lt;=50, "Acceptable", IF(ABS(tbl_Fact_Sales[[#This Row],[Parent_Total_Units]])&lt;=250, "Check", "Problem"))</f>
        <v>Check</v>
      </c>
      <c r="V73" s="7">
        <f>tbl_Fact_Sales[[#This Row],[Cases_Sold2]]/7</f>
        <v>-0.6428571428571429</v>
      </c>
      <c r="W73" s="7">
        <f>tbl_Fact_Sales[[#This Row],[Daily_Demand]]*2</f>
        <v>-1.2857142857142858</v>
      </c>
      <c r="X73" s="4"/>
      <c r="Y73" s="7"/>
      <c r="Z73" s="7">
        <f>tbl_Fact_Sales[[#This Row],[Daily_Demand]]*10 + tbl_Fact_Sales[[#This Row],[Safety_Stock]]</f>
        <v>-7.7142857142857144</v>
      </c>
      <c r="AA73" s="7">
        <f>MAX(0, tbl_Fact_Sales[[#This Row],[Required_Stock]] - tbl_Fact_Sales[[#This Row],[Cases_SOH]])</f>
        <v>0</v>
      </c>
      <c r="AB73" s="7">
        <f>tbl_Fact_Sales[[#This Row],[Cases_SOH]] / tbl_Fact_Sales[[#This Row],[Daily_Demand]]</f>
        <v>-33.185185185185183</v>
      </c>
      <c r="AC73" s="7">
        <f>tbl_Fact_Sales[[#This Row],[Suggested_Order]] * tbl_Fact_Sales[[#This Row],[Daily_Demand]]</f>
        <v>0</v>
      </c>
      <c r="AD73" s="7" t="str">
        <f>TRIM(tbl_Fact_Sales[[#This Row],[Parent_Product]])</f>
        <v>SPRITE ZERO</v>
      </c>
      <c r="AE73" s="7" cm="1">
        <f t="array" ref="AE73">IF(_xlfn.XLOOKUP(tbl_Fact_Sales[[#This Row],[Product_Code]], INDEX(rng_Recount, 0, 3), INDEX(rng_Recount, 0, 4), "") ="", tbl_Fact_Sales[[#This Row],[Cases_SOH]], _xlfn.XLOOKUP(tbl_Fact_Sales[[#This Row],[Product_Code]], INDEX(rng_Recount, 0, 3), INDEX(rng_Recount, 0, 4)))</f>
        <v>21.333333333333332</v>
      </c>
      <c r="AF73" s="7">
        <f>ABS(tbl_Fact_Sales[[#This Row],[Required_Stock]] - tbl_Fact_Sales[[#This Row],[Adjusted_SOH]])</f>
        <v>29.047619047619047</v>
      </c>
      <c r="AG73" s="4" t="str">
        <f>IF(tbl_Fact_Sales[[#This Row],[Recount_Variance]]&lt;=10, "Acceptable", IF(tbl_Fact_Sales[[#This Row],[Recount_Variance]]&lt;=50, "Check", "Problem"))</f>
        <v>Check</v>
      </c>
    </row>
    <row r="74" spans="1:33" x14ac:dyDescent="0.25">
      <c r="A74" s="4">
        <v>22372</v>
      </c>
      <c r="B74" s="4">
        <v>5449000000000</v>
      </c>
      <c r="C74" s="4" t="s">
        <v>20</v>
      </c>
      <c r="D74" s="4" t="s">
        <v>27</v>
      </c>
      <c r="E74" s="4">
        <v>67</v>
      </c>
      <c r="F74" s="5">
        <v>1071.8847000000001</v>
      </c>
      <c r="G74" s="4">
        <v>237</v>
      </c>
      <c r="H74" s="4">
        <v>30.23</v>
      </c>
      <c r="I74" s="4">
        <v>-30</v>
      </c>
      <c r="J74" s="4">
        <v>-1</v>
      </c>
      <c r="K74" s="4" t="s">
        <v>27</v>
      </c>
      <c r="L74" s="6">
        <v>0.30230000000000001</v>
      </c>
      <c r="M74" s="4" t="str">
        <f>tbl_Fact_Sales[[#This Row],[Size_Clean]]</f>
        <v>330ML</v>
      </c>
      <c r="N74" s="4">
        <f>_xlfn.XLOOKUP(tbl_Fact_Sales[[#This Row],[Pack_Size]], tbl_Size_Map[Size_Clean], tbl_Size_Map[Units_Per_Case])</f>
        <v>24</v>
      </c>
      <c r="O74" s="7">
        <f>tbl_Fact_Sales[[#This Row],[Units_Sold]] / tbl_Fact_Sales[[#This Row],[Units_Per_Pack]]</f>
        <v>-1.25</v>
      </c>
      <c r="P74" s="7">
        <f>tbl_Fact_Sales[[#This Row],[SOH]] / tbl_Fact_Sales[[#This Row],[Units_Per_Pack]]</f>
        <v>2.7916666666666665</v>
      </c>
      <c r="Q74" s="4" t="s">
        <v>20</v>
      </c>
      <c r="R74" s="4">
        <f>SUMIFS(tbl_Fact_Sales[Units_Sold], tbl_Fact_Sales[Parent_Product], tbl_Fact_Sales[[#This Row],[Parent_Product]])</f>
        <v>-82</v>
      </c>
      <c r="S74" s="4" t="str">
        <f>IF(ABS(tbl_Fact_Sales[[#This Row],[Parent_Total_Units]])&lt;0.0001, "Balanced", "Investigate")</f>
        <v>Investigate</v>
      </c>
      <c r="T74" s="4">
        <f>tbl_Fact_Sales[[#This Row],[Parent_Total_Units]]</f>
        <v>-82</v>
      </c>
      <c r="U74" s="4" t="str">
        <f>IF(ABS(tbl_Fact_Sales[[#This Row],[Parent_Total_Units]])&lt;=50, "Acceptable", IF(ABS(tbl_Fact_Sales[[#This Row],[Parent_Total_Units]])&lt;=250, "Check", "Problem"))</f>
        <v>Check</v>
      </c>
      <c r="V74" s="7">
        <f>tbl_Fact_Sales[[#This Row],[Cases_Sold2]]/7</f>
        <v>-0.17857142857142858</v>
      </c>
      <c r="W74" s="7">
        <f>tbl_Fact_Sales[[#This Row],[Daily_Demand]]*2</f>
        <v>-0.35714285714285715</v>
      </c>
      <c r="X74" s="4"/>
      <c r="Y74" s="7"/>
      <c r="Z74" s="7">
        <f>tbl_Fact_Sales[[#This Row],[Daily_Demand]]*10 + tbl_Fact_Sales[[#This Row],[Safety_Stock]]</f>
        <v>-2.1428571428571428</v>
      </c>
      <c r="AA74" s="7">
        <f>MAX(0, tbl_Fact_Sales[[#This Row],[Required_Stock]] - tbl_Fact_Sales[[#This Row],[Cases_SOH]])</f>
        <v>0</v>
      </c>
      <c r="AB74" s="7">
        <f>tbl_Fact_Sales[[#This Row],[Cases_SOH]] / tbl_Fact_Sales[[#This Row],[Daily_Demand]]</f>
        <v>-15.633333333333333</v>
      </c>
      <c r="AC74" s="7">
        <f>tbl_Fact_Sales[[#This Row],[Suggested_Order]] * tbl_Fact_Sales[[#This Row],[Daily_Demand]]</f>
        <v>0</v>
      </c>
      <c r="AD74" s="7" t="str">
        <f>TRIM(tbl_Fact_Sales[[#This Row],[Parent_Product]])</f>
        <v>SPRITE ZERO</v>
      </c>
      <c r="AE74" s="7" cm="1">
        <f t="array" ref="AE74">IF(_xlfn.XLOOKUP(tbl_Fact_Sales[[#This Row],[Product_Code]], INDEX(rng_Recount, 0, 3), INDEX(rng_Recount, 0, 4), "") ="", tbl_Fact_Sales[[#This Row],[Cases_SOH]], _xlfn.XLOOKUP(tbl_Fact_Sales[[#This Row],[Product_Code]], INDEX(rng_Recount, 0, 3), INDEX(rng_Recount, 0, 4)))</f>
        <v>2.7916666666666665</v>
      </c>
      <c r="AF74" s="7">
        <f>ABS(tbl_Fact_Sales[[#This Row],[Required_Stock]] - tbl_Fact_Sales[[#This Row],[Adjusted_SOH]])</f>
        <v>4.9345238095238093</v>
      </c>
      <c r="AG74" s="4" t="str">
        <f>IF(tbl_Fact_Sales[[#This Row],[Recount_Variance]]&lt;=10, "Acceptable", IF(tbl_Fact_Sales[[#This Row],[Recount_Variance]]&lt;=50, "Check", "Problem"))</f>
        <v>Acceptable</v>
      </c>
    </row>
    <row r="75" spans="1:33" x14ac:dyDescent="0.25">
      <c r="A75" s="4">
        <v>10787</v>
      </c>
      <c r="B75" s="4">
        <v>5449000000000</v>
      </c>
      <c r="C75" s="4" t="s">
        <v>20</v>
      </c>
      <c r="D75" s="4" t="s">
        <v>19</v>
      </c>
      <c r="E75" s="4">
        <v>98</v>
      </c>
      <c r="F75" s="5">
        <v>2933.0156000000002</v>
      </c>
      <c r="G75" s="4">
        <v>472</v>
      </c>
      <c r="H75" s="4">
        <v>21.14</v>
      </c>
      <c r="I75" s="4">
        <v>-25</v>
      </c>
      <c r="J75" s="4">
        <v>-1</v>
      </c>
      <c r="K75" s="4" t="s">
        <v>19</v>
      </c>
      <c r="L75" s="6">
        <v>0.2114</v>
      </c>
      <c r="M75" s="4" t="str">
        <f>tbl_Fact_Sales[[#This Row],[Size_Clean]]</f>
        <v>500ML</v>
      </c>
      <c r="N75" s="4">
        <f>_xlfn.XLOOKUP(tbl_Fact_Sales[[#This Row],[Pack_Size]], tbl_Size_Map[Size_Clean], tbl_Size_Map[Units_Per_Case])</f>
        <v>12</v>
      </c>
      <c r="O75" s="7">
        <f>tbl_Fact_Sales[[#This Row],[Units_Sold]] / tbl_Fact_Sales[[#This Row],[Units_Per_Pack]]</f>
        <v>-2.0833333333333335</v>
      </c>
      <c r="P75" s="7">
        <f>tbl_Fact_Sales[[#This Row],[SOH]] / tbl_Fact_Sales[[#This Row],[Units_Per_Pack]]</f>
        <v>8.1666666666666661</v>
      </c>
      <c r="Q75" s="4" t="s">
        <v>20</v>
      </c>
      <c r="R75" s="4">
        <f>SUMIFS(tbl_Fact_Sales[Units_Sold], tbl_Fact_Sales[Parent_Product], tbl_Fact_Sales[[#This Row],[Parent_Product]])</f>
        <v>-82</v>
      </c>
      <c r="S75" s="4" t="str">
        <f>IF(ABS(tbl_Fact_Sales[[#This Row],[Parent_Total_Units]])&lt;0.0001, "Balanced", "Investigate")</f>
        <v>Investigate</v>
      </c>
      <c r="T75" s="4">
        <f>tbl_Fact_Sales[[#This Row],[Parent_Total_Units]]</f>
        <v>-82</v>
      </c>
      <c r="U75" s="4" t="str">
        <f>IF(ABS(tbl_Fact_Sales[[#This Row],[Parent_Total_Units]])&lt;=50, "Acceptable", IF(ABS(tbl_Fact_Sales[[#This Row],[Parent_Total_Units]])&lt;=250, "Check", "Problem"))</f>
        <v>Check</v>
      </c>
      <c r="V75" s="7">
        <f>tbl_Fact_Sales[[#This Row],[Cases_Sold2]]/7</f>
        <v>-0.29761904761904762</v>
      </c>
      <c r="W75" s="7">
        <f>tbl_Fact_Sales[[#This Row],[Daily_Demand]]*2</f>
        <v>-0.59523809523809523</v>
      </c>
      <c r="X75" s="4"/>
      <c r="Y75" s="7"/>
      <c r="Z75" s="7">
        <f>tbl_Fact_Sales[[#This Row],[Daily_Demand]]*10 + tbl_Fact_Sales[[#This Row],[Safety_Stock]]</f>
        <v>-3.5714285714285716</v>
      </c>
      <c r="AA75" s="7">
        <f>MAX(0, tbl_Fact_Sales[[#This Row],[Required_Stock]] - tbl_Fact_Sales[[#This Row],[Cases_SOH]])</f>
        <v>0</v>
      </c>
      <c r="AB75" s="7">
        <f>tbl_Fact_Sales[[#This Row],[Cases_SOH]] / tbl_Fact_Sales[[#This Row],[Daily_Demand]]</f>
        <v>-27.439999999999998</v>
      </c>
      <c r="AC75" s="7">
        <f>tbl_Fact_Sales[[#This Row],[Suggested_Order]] * tbl_Fact_Sales[[#This Row],[Daily_Demand]]</f>
        <v>0</v>
      </c>
      <c r="AD75" s="7" t="str">
        <f>TRIM(tbl_Fact_Sales[[#This Row],[Parent_Product]])</f>
        <v>SPRITE ZERO</v>
      </c>
      <c r="AE75" s="7" cm="1">
        <f t="array" ref="AE75">IF(_xlfn.XLOOKUP(tbl_Fact_Sales[[#This Row],[Product_Code]], INDEX(rng_Recount, 0, 3), INDEX(rng_Recount, 0, 4), "") ="", tbl_Fact_Sales[[#This Row],[Cases_SOH]], _xlfn.XLOOKUP(tbl_Fact_Sales[[#This Row],[Product_Code]], INDEX(rng_Recount, 0, 3), INDEX(rng_Recount, 0, 4)))</f>
        <v>8.1666666666666661</v>
      </c>
      <c r="AF75" s="7">
        <f>ABS(tbl_Fact_Sales[[#This Row],[Required_Stock]] - tbl_Fact_Sales[[#This Row],[Adjusted_SOH]])</f>
        <v>11.738095238095237</v>
      </c>
      <c r="AG75" s="4" t="str">
        <f>IF(tbl_Fact_Sales[[#This Row],[Recount_Variance]]&lt;=10, "Acceptable", IF(tbl_Fact_Sales[[#This Row],[Recount_Variance]]&lt;=50, "Check", "Problem"))</f>
        <v>Check</v>
      </c>
    </row>
    <row r="76" spans="1:33" x14ac:dyDescent="0.25">
      <c r="A76" s="4">
        <v>62445</v>
      </c>
      <c r="B76" s="4">
        <v>5449000000000</v>
      </c>
      <c r="C76" s="4" t="s">
        <v>21</v>
      </c>
      <c r="D76" s="4" t="s">
        <v>22</v>
      </c>
      <c r="E76" s="4">
        <v>172</v>
      </c>
      <c r="F76" s="5">
        <v>6977.5510000000004</v>
      </c>
      <c r="G76" s="4">
        <v>795</v>
      </c>
      <c r="H76" s="4">
        <v>19.89</v>
      </c>
      <c r="I76" s="4">
        <v>-48</v>
      </c>
      <c r="J76" s="4">
        <v>-4</v>
      </c>
      <c r="K76" s="4" t="s">
        <v>23</v>
      </c>
      <c r="L76" s="6">
        <v>0.19889999999999999</v>
      </c>
      <c r="M76" s="4" t="str">
        <f>tbl_Fact_Sales[[#This Row],[Size_Clean]]</f>
        <v>1L</v>
      </c>
      <c r="N76" s="4">
        <f>_xlfn.XLOOKUP(tbl_Fact_Sales[[#This Row],[Pack_Size]], tbl_Size_Map[Size_Clean], tbl_Size_Map[Units_Per_Case])</f>
        <v>12</v>
      </c>
      <c r="O76" s="7">
        <f>tbl_Fact_Sales[[#This Row],[Units_Sold]] / tbl_Fact_Sales[[#This Row],[Units_Per_Pack]]</f>
        <v>-4</v>
      </c>
      <c r="P76" s="7">
        <f>tbl_Fact_Sales[[#This Row],[SOH]] / tbl_Fact_Sales[[#This Row],[Units_Per_Pack]]</f>
        <v>14.333333333333334</v>
      </c>
      <c r="Q76" s="4" t="s">
        <v>109</v>
      </c>
      <c r="R76" s="4">
        <f>SUMIFS(tbl_Fact_Sales[Units_Sold], tbl_Fact_Sales[Parent_Product], tbl_Fact_Sales[[#This Row],[Parent_Product]])</f>
        <v>199</v>
      </c>
      <c r="S76" s="4" t="str">
        <f>IF(ABS(tbl_Fact_Sales[[#This Row],[Parent_Total_Units]])&lt;0.0001, "Balanced", "Investigate")</f>
        <v>Investigate</v>
      </c>
      <c r="T76" s="4">
        <f>tbl_Fact_Sales[[#This Row],[Parent_Total_Units]]</f>
        <v>199</v>
      </c>
      <c r="U76" s="4" t="str">
        <f>IF(ABS(tbl_Fact_Sales[[#This Row],[Parent_Total_Units]])&lt;=50, "Acceptable", IF(ABS(tbl_Fact_Sales[[#This Row],[Parent_Total_Units]])&lt;=250, "Check", "Problem"))</f>
        <v>Check</v>
      </c>
      <c r="V76" s="7">
        <f>tbl_Fact_Sales[[#This Row],[Cases_Sold2]]/7</f>
        <v>-0.5714285714285714</v>
      </c>
      <c r="W76" s="7">
        <f>tbl_Fact_Sales[[#This Row],[Daily_Demand]]*2</f>
        <v>-1.1428571428571428</v>
      </c>
      <c r="X76" s="4"/>
      <c r="Y76" s="7"/>
      <c r="Z76" s="7">
        <f>tbl_Fact_Sales[[#This Row],[Daily_Demand]]*10 + tbl_Fact_Sales[[#This Row],[Safety_Stock]]</f>
        <v>-6.8571428571428559</v>
      </c>
      <c r="AA76" s="7">
        <f>MAX(0, tbl_Fact_Sales[[#This Row],[Required_Stock]] - tbl_Fact_Sales[[#This Row],[Cases_SOH]])</f>
        <v>0</v>
      </c>
      <c r="AB76" s="7">
        <f>tbl_Fact_Sales[[#This Row],[Cases_SOH]] / tbl_Fact_Sales[[#This Row],[Daily_Demand]]</f>
        <v>-25.083333333333336</v>
      </c>
      <c r="AC76" s="7">
        <f>tbl_Fact_Sales[[#This Row],[Suggested_Order]] * tbl_Fact_Sales[[#This Row],[Daily_Demand]]</f>
        <v>0</v>
      </c>
      <c r="AD76" s="7" t="str">
        <f>TRIM(tbl_Fact_Sales[[#This Row],[Parent_Product]])</f>
        <v>STONEY GINGER</v>
      </c>
      <c r="AE76" s="7" cm="1">
        <f t="array" ref="AE76">IF(_xlfn.XLOOKUP(tbl_Fact_Sales[[#This Row],[Product_Code]], INDEX(rng_Recount, 0, 3), INDEX(rng_Recount, 0, 4), "") ="", tbl_Fact_Sales[[#This Row],[Cases_SOH]], _xlfn.XLOOKUP(tbl_Fact_Sales[[#This Row],[Product_Code]], INDEX(rng_Recount, 0, 3), INDEX(rng_Recount, 0, 4)))</f>
        <v>14.333333333333334</v>
      </c>
      <c r="AF76" s="7">
        <f>ABS(tbl_Fact_Sales[[#This Row],[Required_Stock]] - tbl_Fact_Sales[[#This Row],[Adjusted_SOH]])</f>
        <v>21.19047619047619</v>
      </c>
      <c r="AG76" s="4" t="str">
        <f>IF(tbl_Fact_Sales[[#This Row],[Recount_Variance]]&lt;=10, "Acceptable", IF(tbl_Fact_Sales[[#This Row],[Recount_Variance]]&lt;=50, "Check", "Problem"))</f>
        <v>Check</v>
      </c>
    </row>
    <row r="77" spans="1:33" x14ac:dyDescent="0.25">
      <c r="A77" s="4">
        <v>2149</v>
      </c>
      <c r="B77" s="4">
        <v>6001130000000</v>
      </c>
      <c r="C77" s="4" t="s">
        <v>21</v>
      </c>
      <c r="D77" s="4" t="s">
        <v>19</v>
      </c>
      <c r="E77" s="4">
        <v>236</v>
      </c>
      <c r="F77" s="5">
        <v>12042.236699999999</v>
      </c>
      <c r="G77" s="4">
        <v>1934</v>
      </c>
      <c r="H77" s="4">
        <v>21.02</v>
      </c>
      <c r="I77" s="4">
        <v>65</v>
      </c>
      <c r="J77" s="4">
        <v>3</v>
      </c>
      <c r="K77" s="4" t="s">
        <v>19</v>
      </c>
      <c r="L77" s="6">
        <v>0.2102</v>
      </c>
      <c r="M77" s="4" t="str">
        <f>tbl_Fact_Sales[[#This Row],[Size_Clean]]</f>
        <v>500ML</v>
      </c>
      <c r="N77" s="4">
        <f>_xlfn.XLOOKUP(tbl_Fact_Sales[[#This Row],[Pack_Size]], tbl_Size_Map[Size_Clean], tbl_Size_Map[Units_Per_Case])</f>
        <v>12</v>
      </c>
      <c r="O77" s="7">
        <f>tbl_Fact_Sales[[#This Row],[Units_Sold]] / tbl_Fact_Sales[[#This Row],[Units_Per_Pack]]</f>
        <v>5.416666666666667</v>
      </c>
      <c r="P77" s="7">
        <f>tbl_Fact_Sales[[#This Row],[SOH]] / tbl_Fact_Sales[[#This Row],[Units_Per_Pack]]</f>
        <v>19.666666666666668</v>
      </c>
      <c r="Q77" s="4" t="s">
        <v>109</v>
      </c>
      <c r="R77" s="4">
        <f>SUMIFS(tbl_Fact_Sales[Units_Sold], tbl_Fact_Sales[Parent_Product], tbl_Fact_Sales[[#This Row],[Parent_Product]])</f>
        <v>199</v>
      </c>
      <c r="S77" s="4" t="str">
        <f>IF(ABS(tbl_Fact_Sales[[#This Row],[Parent_Total_Units]])&lt;0.0001, "Balanced", "Investigate")</f>
        <v>Investigate</v>
      </c>
      <c r="T77" s="4">
        <f>tbl_Fact_Sales[[#This Row],[Parent_Total_Units]]</f>
        <v>199</v>
      </c>
      <c r="U77" s="4" t="str">
        <f>IF(ABS(tbl_Fact_Sales[[#This Row],[Parent_Total_Units]])&lt;=50, "Acceptable", IF(ABS(tbl_Fact_Sales[[#This Row],[Parent_Total_Units]])&lt;=250, "Check", "Problem"))</f>
        <v>Check</v>
      </c>
      <c r="V77" s="7">
        <f>tbl_Fact_Sales[[#This Row],[Cases_Sold2]]/7</f>
        <v>0.77380952380952384</v>
      </c>
      <c r="W77" s="7">
        <f>tbl_Fact_Sales[[#This Row],[Daily_Demand]]*2</f>
        <v>1.5476190476190477</v>
      </c>
      <c r="X77" s="4"/>
      <c r="Y77" s="7"/>
      <c r="Z77" s="7">
        <f>tbl_Fact_Sales[[#This Row],[Daily_Demand]]*10 + tbl_Fact_Sales[[#This Row],[Safety_Stock]]</f>
        <v>9.2857142857142865</v>
      </c>
      <c r="AA77" s="7">
        <f>MAX(0, tbl_Fact_Sales[[#This Row],[Required_Stock]] - tbl_Fact_Sales[[#This Row],[Cases_SOH]])</f>
        <v>0</v>
      </c>
      <c r="AB77" s="7">
        <f>tbl_Fact_Sales[[#This Row],[Cases_SOH]] / tbl_Fact_Sales[[#This Row],[Daily_Demand]]</f>
        <v>25.415384615384617</v>
      </c>
      <c r="AC77" s="7">
        <f>tbl_Fact_Sales[[#This Row],[Suggested_Order]] * tbl_Fact_Sales[[#This Row],[Daily_Demand]]</f>
        <v>0</v>
      </c>
      <c r="AD77" s="7" t="str">
        <f>TRIM(tbl_Fact_Sales[[#This Row],[Parent_Product]])</f>
        <v>STONEY GINGER</v>
      </c>
      <c r="AE77" s="7" cm="1">
        <f t="array" ref="AE77">IF(_xlfn.XLOOKUP(tbl_Fact_Sales[[#This Row],[Product_Code]], INDEX(rng_Recount, 0, 3), INDEX(rng_Recount, 0, 4), "") ="", tbl_Fact_Sales[[#This Row],[Cases_SOH]], _xlfn.XLOOKUP(tbl_Fact_Sales[[#This Row],[Product_Code]], INDEX(rng_Recount, 0, 3), INDEX(rng_Recount, 0, 4)))</f>
        <v>19.666666666666668</v>
      </c>
      <c r="AF77" s="7">
        <f>ABS(tbl_Fact_Sales[[#This Row],[Required_Stock]] - tbl_Fact_Sales[[#This Row],[Adjusted_SOH]])</f>
        <v>10.380952380952381</v>
      </c>
      <c r="AG77" s="4" t="str">
        <f>IF(tbl_Fact_Sales[[#This Row],[Recount_Variance]]&lt;=10, "Acceptable", IF(tbl_Fact_Sales[[#This Row],[Recount_Variance]]&lt;=50, "Check", "Problem"))</f>
        <v>Check</v>
      </c>
    </row>
    <row r="78" spans="1:33" x14ac:dyDescent="0.25">
      <c r="A78" s="4">
        <v>6053</v>
      </c>
      <c r="B78" s="4">
        <v>6001130000000</v>
      </c>
      <c r="C78" s="4" t="s">
        <v>21</v>
      </c>
      <c r="D78" s="4" t="s">
        <v>13</v>
      </c>
      <c r="E78" s="4">
        <v>1</v>
      </c>
      <c r="F78" s="5">
        <v>3278.0349999999999</v>
      </c>
      <c r="G78" s="4">
        <v>257</v>
      </c>
      <c r="H78" s="4">
        <v>9.0299999999999994</v>
      </c>
      <c r="I78" s="4">
        <v>39</v>
      </c>
      <c r="J78" s="4">
        <v>6</v>
      </c>
      <c r="K78" s="4" t="s">
        <v>14</v>
      </c>
      <c r="L78" s="6">
        <v>9.0299999999999991E-2</v>
      </c>
      <c r="M78" s="4" t="str">
        <f>tbl_Fact_Sales[[#This Row],[Size_Clean]]</f>
        <v>2L</v>
      </c>
      <c r="N78" s="4">
        <f>_xlfn.XLOOKUP(tbl_Fact_Sales[[#This Row],[Pack_Size]], tbl_Size_Map[Size_Clean], tbl_Size_Map[Units_Per_Case])</f>
        <v>6</v>
      </c>
      <c r="O78" s="7">
        <f>tbl_Fact_Sales[[#This Row],[Units_Sold]] / tbl_Fact_Sales[[#This Row],[Units_Per_Pack]]</f>
        <v>6.5</v>
      </c>
      <c r="P78" s="7">
        <f>tbl_Fact_Sales[[#This Row],[SOH]] / tbl_Fact_Sales[[#This Row],[Units_Per_Pack]]</f>
        <v>0.16666666666666666</v>
      </c>
      <c r="Q78" s="4" t="s">
        <v>109</v>
      </c>
      <c r="R78" s="4">
        <f>SUMIFS(tbl_Fact_Sales[Units_Sold], tbl_Fact_Sales[Parent_Product], tbl_Fact_Sales[[#This Row],[Parent_Product]])</f>
        <v>199</v>
      </c>
      <c r="S78" s="4" t="str">
        <f>IF(ABS(tbl_Fact_Sales[[#This Row],[Parent_Total_Units]])&lt;0.0001, "Balanced", "Investigate")</f>
        <v>Investigate</v>
      </c>
      <c r="T78" s="4">
        <f>tbl_Fact_Sales[[#This Row],[Parent_Total_Units]]</f>
        <v>199</v>
      </c>
      <c r="U78" s="4" t="str">
        <f>IF(ABS(tbl_Fact_Sales[[#This Row],[Parent_Total_Units]])&lt;=50, "Acceptable", IF(ABS(tbl_Fact_Sales[[#This Row],[Parent_Total_Units]])&lt;=250, "Check", "Problem"))</f>
        <v>Check</v>
      </c>
      <c r="V78" s="7">
        <f>tbl_Fact_Sales[[#This Row],[Cases_Sold2]]/7</f>
        <v>0.9285714285714286</v>
      </c>
      <c r="W78" s="7">
        <f>tbl_Fact_Sales[[#This Row],[Daily_Demand]]*2</f>
        <v>1.8571428571428572</v>
      </c>
      <c r="X78" s="4"/>
      <c r="Y78" s="7"/>
      <c r="Z78" s="7">
        <f>tbl_Fact_Sales[[#This Row],[Daily_Demand]]*10 + tbl_Fact_Sales[[#This Row],[Safety_Stock]]</f>
        <v>11.142857142857144</v>
      </c>
      <c r="AA78" s="7">
        <f>MAX(0, tbl_Fact_Sales[[#This Row],[Required_Stock]] - tbl_Fact_Sales[[#This Row],[Cases_SOH]])</f>
        <v>10.976190476190478</v>
      </c>
      <c r="AB78" s="7">
        <f>tbl_Fact_Sales[[#This Row],[Cases_SOH]] / tbl_Fact_Sales[[#This Row],[Daily_Demand]]</f>
        <v>0.17948717948717946</v>
      </c>
      <c r="AC78" s="7">
        <f>tbl_Fact_Sales[[#This Row],[Suggested_Order]] * tbl_Fact_Sales[[#This Row],[Daily_Demand]]</f>
        <v>10.192176870748302</v>
      </c>
      <c r="AD78" s="7" t="str">
        <f>TRIM(tbl_Fact_Sales[[#This Row],[Parent_Product]])</f>
        <v>STONEY GINGER</v>
      </c>
      <c r="AE78" s="7" cm="1">
        <f t="array" ref="AE78">IF(_xlfn.XLOOKUP(tbl_Fact_Sales[[#This Row],[Product_Code]], INDEX(rng_Recount, 0, 3), INDEX(rng_Recount, 0, 4), "") ="", tbl_Fact_Sales[[#This Row],[Cases_SOH]], _xlfn.XLOOKUP(tbl_Fact_Sales[[#This Row],[Product_Code]], INDEX(rng_Recount, 0, 3), INDEX(rng_Recount, 0, 4)))</f>
        <v>0.16666666666666666</v>
      </c>
      <c r="AF78" s="7">
        <f>ABS(tbl_Fact_Sales[[#This Row],[Required_Stock]] - tbl_Fact_Sales[[#This Row],[Adjusted_SOH]])</f>
        <v>10.976190476190478</v>
      </c>
      <c r="AG78" s="4" t="str">
        <f>IF(tbl_Fact_Sales[[#This Row],[Recount_Variance]]&lt;=10, "Acceptable", IF(tbl_Fact_Sales[[#This Row],[Recount_Variance]]&lt;=50, "Check", "Problem"))</f>
        <v>Check</v>
      </c>
    </row>
    <row r="79" spans="1:33" x14ac:dyDescent="0.25">
      <c r="A79" s="4">
        <v>79509</v>
      </c>
      <c r="B79" s="4">
        <v>125</v>
      </c>
      <c r="C79" s="4" t="s">
        <v>21</v>
      </c>
      <c r="D79" s="4" t="s">
        <v>27</v>
      </c>
      <c r="E79" s="4">
        <v>0</v>
      </c>
      <c r="F79" s="5">
        <v>0</v>
      </c>
      <c r="G79" s="4">
        <v>0</v>
      </c>
      <c r="H79" s="4">
        <v>0</v>
      </c>
      <c r="I79" s="4">
        <v>0</v>
      </c>
      <c r="J79" s="4">
        <v>0</v>
      </c>
      <c r="K79" s="4" t="s">
        <v>27</v>
      </c>
      <c r="L79" s="6">
        <v>0</v>
      </c>
      <c r="M79" s="4" t="str">
        <f>tbl_Fact_Sales[[#This Row],[Size_Clean]]</f>
        <v>330ML</v>
      </c>
      <c r="N79" s="4">
        <f>_xlfn.XLOOKUP(tbl_Fact_Sales[[#This Row],[Pack_Size]], tbl_Size_Map[Size_Clean], tbl_Size_Map[Units_Per_Case])</f>
        <v>24</v>
      </c>
      <c r="O79" s="7">
        <f>tbl_Fact_Sales[[#This Row],[Units_Sold]] / tbl_Fact_Sales[[#This Row],[Units_Per_Pack]]</f>
        <v>0</v>
      </c>
      <c r="P79" s="7">
        <f>tbl_Fact_Sales[[#This Row],[SOH]] / tbl_Fact_Sales[[#This Row],[Units_Per_Pack]]</f>
        <v>0</v>
      </c>
      <c r="Q79" s="4" t="s">
        <v>109</v>
      </c>
      <c r="R79" s="4">
        <f>SUMIFS(tbl_Fact_Sales[Units_Sold], tbl_Fact_Sales[Parent_Product], tbl_Fact_Sales[[#This Row],[Parent_Product]])</f>
        <v>199</v>
      </c>
      <c r="S79" s="4" t="str">
        <f>IF(ABS(tbl_Fact_Sales[[#This Row],[Parent_Total_Units]])&lt;0.0001, "Balanced", "Investigate")</f>
        <v>Investigate</v>
      </c>
      <c r="T79" s="4">
        <f>tbl_Fact_Sales[[#This Row],[Parent_Total_Units]]</f>
        <v>199</v>
      </c>
      <c r="U79" s="4" t="str">
        <f>IF(ABS(tbl_Fact_Sales[[#This Row],[Parent_Total_Units]])&lt;=50, "Acceptable", IF(ABS(tbl_Fact_Sales[[#This Row],[Parent_Total_Units]])&lt;=250, "Check", "Problem"))</f>
        <v>Check</v>
      </c>
      <c r="V79" s="7">
        <f>tbl_Fact_Sales[[#This Row],[Cases_Sold2]]/7</f>
        <v>0</v>
      </c>
      <c r="W79" s="7">
        <f>tbl_Fact_Sales[[#This Row],[Daily_Demand]]*2</f>
        <v>0</v>
      </c>
      <c r="X79" s="4"/>
      <c r="Y79" s="7"/>
      <c r="Z79" s="7">
        <f>tbl_Fact_Sales[[#This Row],[Daily_Demand]]*10 + tbl_Fact_Sales[[#This Row],[Safety_Stock]]</f>
        <v>0</v>
      </c>
      <c r="AA79" s="7">
        <f>MAX(0, tbl_Fact_Sales[[#This Row],[Required_Stock]] - tbl_Fact_Sales[[#This Row],[Cases_SOH]])</f>
        <v>0</v>
      </c>
      <c r="AB79" s="7" t="e">
        <f>tbl_Fact_Sales[[#This Row],[Cases_SOH]] / tbl_Fact_Sales[[#This Row],[Daily_Demand]]</f>
        <v>#DIV/0!</v>
      </c>
      <c r="AC79" s="7">
        <f>tbl_Fact_Sales[[#This Row],[Suggested_Order]] * tbl_Fact_Sales[[#This Row],[Daily_Demand]]</f>
        <v>0</v>
      </c>
      <c r="AD79" s="7" t="str">
        <f>TRIM(tbl_Fact_Sales[[#This Row],[Parent_Product]])</f>
        <v>STONEY GINGER</v>
      </c>
      <c r="AE79" s="7" cm="1">
        <f t="array" ref="AE79">IF(_xlfn.XLOOKUP(tbl_Fact_Sales[[#This Row],[Product_Code]], INDEX(rng_Recount, 0, 3), INDEX(rng_Recount, 0, 4), "") ="", tbl_Fact_Sales[[#This Row],[Cases_SOH]], _xlfn.XLOOKUP(tbl_Fact_Sales[[#This Row],[Product_Code]], INDEX(rng_Recount, 0, 3), INDEX(rng_Recount, 0, 4)))</f>
        <v>0</v>
      </c>
      <c r="AF79" s="7">
        <f>ABS(tbl_Fact_Sales[[#This Row],[Required_Stock]] - tbl_Fact_Sales[[#This Row],[Adjusted_SOH]])</f>
        <v>0</v>
      </c>
      <c r="AG79" s="4" t="str">
        <f>IF(tbl_Fact_Sales[[#This Row],[Recount_Variance]]&lt;=10, "Acceptable", IF(tbl_Fact_Sales[[#This Row],[Recount_Variance]]&lt;=50, "Check", "Problem"))</f>
        <v>Acceptable</v>
      </c>
    </row>
    <row r="80" spans="1:33" x14ac:dyDescent="0.25">
      <c r="A80" s="4">
        <v>79508</v>
      </c>
      <c r="B80" s="4">
        <v>123</v>
      </c>
      <c r="C80" s="4" t="s">
        <v>21</v>
      </c>
      <c r="D80" s="4" t="s">
        <v>27</v>
      </c>
      <c r="E80" s="4">
        <v>-1</v>
      </c>
      <c r="F80" s="5">
        <v>2736.96</v>
      </c>
      <c r="G80" s="4">
        <v>32</v>
      </c>
      <c r="H80" s="4">
        <v>11.36</v>
      </c>
      <c r="I80" s="4">
        <v>6</v>
      </c>
      <c r="J80" s="4">
        <v>0</v>
      </c>
      <c r="K80" s="4" t="s">
        <v>27</v>
      </c>
      <c r="L80" s="6">
        <v>0.11359999999999999</v>
      </c>
      <c r="M80" s="4" t="str">
        <f>tbl_Fact_Sales[[#This Row],[Size_Clean]]</f>
        <v>330ML</v>
      </c>
      <c r="N80" s="4">
        <f>_xlfn.XLOOKUP(tbl_Fact_Sales[[#This Row],[Pack_Size]], tbl_Size_Map[Size_Clean], tbl_Size_Map[Units_Per_Case])</f>
        <v>24</v>
      </c>
      <c r="O80" s="7">
        <f>tbl_Fact_Sales[[#This Row],[Units_Sold]] / tbl_Fact_Sales[[#This Row],[Units_Per_Pack]]</f>
        <v>0.25</v>
      </c>
      <c r="P80" s="7">
        <f>tbl_Fact_Sales[[#This Row],[SOH]] / tbl_Fact_Sales[[#This Row],[Units_Per_Pack]]</f>
        <v>-4.1666666666666664E-2</v>
      </c>
      <c r="Q80" s="4" t="s">
        <v>109</v>
      </c>
      <c r="R80" s="4">
        <f>SUMIFS(tbl_Fact_Sales[Units_Sold], tbl_Fact_Sales[Parent_Product], tbl_Fact_Sales[[#This Row],[Parent_Product]])</f>
        <v>199</v>
      </c>
      <c r="S80" s="4" t="str">
        <f>IF(ABS(tbl_Fact_Sales[[#This Row],[Parent_Total_Units]])&lt;0.0001, "Balanced", "Investigate")</f>
        <v>Investigate</v>
      </c>
      <c r="T80" s="4">
        <f>tbl_Fact_Sales[[#This Row],[Parent_Total_Units]]</f>
        <v>199</v>
      </c>
      <c r="U80" s="4" t="str">
        <f>IF(ABS(tbl_Fact_Sales[[#This Row],[Parent_Total_Units]])&lt;=50, "Acceptable", IF(ABS(tbl_Fact_Sales[[#This Row],[Parent_Total_Units]])&lt;=250, "Check", "Problem"))</f>
        <v>Check</v>
      </c>
      <c r="V80" s="7">
        <f>tbl_Fact_Sales[[#This Row],[Cases_Sold2]]/7</f>
        <v>3.5714285714285712E-2</v>
      </c>
      <c r="W80" s="7">
        <f>tbl_Fact_Sales[[#This Row],[Daily_Demand]]*2</f>
        <v>7.1428571428571425E-2</v>
      </c>
      <c r="X80" s="4"/>
      <c r="Y80" s="7"/>
      <c r="Z80" s="7">
        <f>tbl_Fact_Sales[[#This Row],[Daily_Demand]]*10 + tbl_Fact_Sales[[#This Row],[Safety_Stock]]</f>
        <v>0.42857142857142849</v>
      </c>
      <c r="AA80" s="7">
        <f>MAX(0, tbl_Fact_Sales[[#This Row],[Required_Stock]] - tbl_Fact_Sales[[#This Row],[Cases_SOH]])</f>
        <v>0.47023809523809518</v>
      </c>
      <c r="AB80" s="7">
        <f>tbl_Fact_Sales[[#This Row],[Cases_SOH]] / tbl_Fact_Sales[[#This Row],[Daily_Demand]]</f>
        <v>-1.1666666666666667</v>
      </c>
      <c r="AC80" s="7">
        <f>tbl_Fact_Sales[[#This Row],[Suggested_Order]] * tbl_Fact_Sales[[#This Row],[Daily_Demand]]</f>
        <v>1.6794217687074828E-2</v>
      </c>
      <c r="AD80" s="7" t="str">
        <f>TRIM(tbl_Fact_Sales[[#This Row],[Parent_Product]])</f>
        <v>STONEY GINGER</v>
      </c>
      <c r="AE80" s="7" cm="1">
        <f t="array" ref="AE80">IF(_xlfn.XLOOKUP(tbl_Fact_Sales[[#This Row],[Product_Code]], INDEX(rng_Recount, 0, 3), INDEX(rng_Recount, 0, 4), "") ="", tbl_Fact_Sales[[#This Row],[Cases_SOH]], _xlfn.XLOOKUP(tbl_Fact_Sales[[#This Row],[Product_Code]], INDEX(rng_Recount, 0, 3), INDEX(rng_Recount, 0, 4)))</f>
        <v>-4.1666666666666664E-2</v>
      </c>
      <c r="AF80" s="7">
        <f>ABS(tbl_Fact_Sales[[#This Row],[Required_Stock]] - tbl_Fact_Sales[[#This Row],[Adjusted_SOH]])</f>
        <v>0.47023809523809518</v>
      </c>
      <c r="AG80" s="4" t="str">
        <f>IF(tbl_Fact_Sales[[#This Row],[Recount_Variance]]&lt;=10, "Acceptable", IF(tbl_Fact_Sales[[#This Row],[Recount_Variance]]&lt;=50, "Check", "Problem"))</f>
        <v>Acceptable</v>
      </c>
    </row>
    <row r="81" spans="1:33" x14ac:dyDescent="0.25">
      <c r="A81" s="4">
        <v>22366</v>
      </c>
      <c r="B81" s="4">
        <v>5449000000000</v>
      </c>
      <c r="C81" s="4" t="s">
        <v>80</v>
      </c>
      <c r="D81" s="4" t="s">
        <v>27</v>
      </c>
      <c r="E81" s="4">
        <v>67</v>
      </c>
      <c r="F81" s="5">
        <v>1432.3951</v>
      </c>
      <c r="G81" s="4">
        <v>312</v>
      </c>
      <c r="H81" s="4">
        <v>29.77</v>
      </c>
      <c r="I81" s="4">
        <v>-18</v>
      </c>
      <c r="J81" s="4">
        <v>-1</v>
      </c>
      <c r="K81" s="4" t="s">
        <v>27</v>
      </c>
      <c r="L81" s="6">
        <v>0.29770000000000002</v>
      </c>
      <c r="M81" s="4" t="str">
        <f>tbl_Fact_Sales[[#This Row],[Size_Clean]]</f>
        <v>330ML</v>
      </c>
      <c r="N81" s="4">
        <f>_xlfn.XLOOKUP(tbl_Fact_Sales[[#This Row],[Pack_Size]], tbl_Size_Map[Size_Clean], tbl_Size_Map[Units_Per_Case])</f>
        <v>24</v>
      </c>
      <c r="O81" s="7">
        <f>tbl_Fact_Sales[[#This Row],[Units_Sold]] / tbl_Fact_Sales[[#This Row],[Units_Per_Pack]]</f>
        <v>-0.75</v>
      </c>
      <c r="P81" s="7">
        <f>tbl_Fact_Sales[[#This Row],[SOH]] / tbl_Fact_Sales[[#This Row],[Units_Per_Pack]]</f>
        <v>2.7916666666666665</v>
      </c>
      <c r="Q81" s="4" t="s">
        <v>80</v>
      </c>
      <c r="R81" s="4">
        <f>SUMIFS(tbl_Fact_Sales[Units_Sold], tbl_Fact_Sales[Parent_Product], tbl_Fact_Sales[[#This Row],[Parent_Product]])</f>
        <v>-4</v>
      </c>
      <c r="S81" s="4" t="str">
        <f>IF(ABS(tbl_Fact_Sales[[#This Row],[Parent_Total_Units]])&lt;0.0001, "Balanced", "Investigate")</f>
        <v>Investigate</v>
      </c>
      <c r="T81" s="4">
        <f>tbl_Fact_Sales[[#This Row],[Parent_Total_Units]]</f>
        <v>-4</v>
      </c>
      <c r="U81" s="4" t="str">
        <f>IF(ABS(tbl_Fact_Sales[[#This Row],[Parent_Total_Units]])&lt;=50, "Acceptable", IF(ABS(tbl_Fact_Sales[[#This Row],[Parent_Total_Units]])&lt;=250, "Check", "Problem"))</f>
        <v>Acceptable</v>
      </c>
      <c r="V81" s="7">
        <f>tbl_Fact_Sales[[#This Row],[Cases_Sold2]]/7</f>
        <v>-0.10714285714285714</v>
      </c>
      <c r="W81" s="7">
        <f>tbl_Fact_Sales[[#This Row],[Daily_Demand]]*2</f>
        <v>-0.21428571428571427</v>
      </c>
      <c r="X81" s="4"/>
      <c r="Y81" s="7"/>
      <c r="Z81" s="7">
        <f>tbl_Fact_Sales[[#This Row],[Daily_Demand]]*10 + tbl_Fact_Sales[[#This Row],[Safety_Stock]]</f>
        <v>-1.2857142857142856</v>
      </c>
      <c r="AA81" s="7">
        <f>MAX(0, tbl_Fact_Sales[[#This Row],[Required_Stock]] - tbl_Fact_Sales[[#This Row],[Cases_SOH]])</f>
        <v>0</v>
      </c>
      <c r="AB81" s="7">
        <f>tbl_Fact_Sales[[#This Row],[Cases_SOH]] / tbl_Fact_Sales[[#This Row],[Daily_Demand]]</f>
        <v>-26.055555555555557</v>
      </c>
      <c r="AC81" s="7">
        <f>tbl_Fact_Sales[[#This Row],[Suggested_Order]] * tbl_Fact_Sales[[#This Row],[Daily_Demand]]</f>
        <v>0</v>
      </c>
      <c r="AD81" s="7" t="str">
        <f>TRIM(tbl_Fact_Sales[[#This Row],[Parent_Product]])</f>
        <v>TAB</v>
      </c>
      <c r="AE81" s="7" cm="1">
        <f t="array" ref="AE81">IF(_xlfn.XLOOKUP(tbl_Fact_Sales[[#This Row],[Product_Code]], INDEX(rng_Recount, 0, 3), INDEX(rng_Recount, 0, 4), "") ="", tbl_Fact_Sales[[#This Row],[Cases_SOH]], _xlfn.XLOOKUP(tbl_Fact_Sales[[#This Row],[Product_Code]], INDEX(rng_Recount, 0, 3), INDEX(rng_Recount, 0, 4)))</f>
        <v>2.7916666666666665</v>
      </c>
      <c r="AF81" s="7">
        <f>ABS(tbl_Fact_Sales[[#This Row],[Required_Stock]] - tbl_Fact_Sales[[#This Row],[Adjusted_SOH]])</f>
        <v>4.0773809523809526</v>
      </c>
      <c r="AG81" s="4" t="str">
        <f>IF(tbl_Fact_Sales[[#This Row],[Recount_Variance]]&lt;=10, "Acceptable", IF(tbl_Fact_Sales[[#This Row],[Recount_Variance]]&lt;=50, "Check", "Problem"))</f>
        <v>Acceptable</v>
      </c>
    </row>
    <row r="82" spans="1:33" x14ac:dyDescent="0.25">
      <c r="A82" s="4">
        <v>1226</v>
      </c>
      <c r="B82" s="4">
        <v>5449000000000</v>
      </c>
      <c r="C82" s="4" t="s">
        <v>80</v>
      </c>
      <c r="D82" s="4" t="s">
        <v>13</v>
      </c>
      <c r="E82" s="4">
        <v>84</v>
      </c>
      <c r="F82" s="5">
        <v>7261.7242999999999</v>
      </c>
      <c r="G82" s="4">
        <v>632</v>
      </c>
      <c r="H82" s="4">
        <v>19.010000000000002</v>
      </c>
      <c r="I82" s="4">
        <v>14</v>
      </c>
      <c r="J82" s="4">
        <v>2</v>
      </c>
      <c r="K82" s="4" t="s">
        <v>14</v>
      </c>
      <c r="L82" s="6">
        <v>0.19010000000000002</v>
      </c>
      <c r="M82" s="4" t="str">
        <f>tbl_Fact_Sales[[#This Row],[Size_Clean]]</f>
        <v>2L</v>
      </c>
      <c r="N82" s="4">
        <f>_xlfn.XLOOKUP(tbl_Fact_Sales[[#This Row],[Pack_Size]], tbl_Size_Map[Size_Clean], tbl_Size_Map[Units_Per_Case])</f>
        <v>6</v>
      </c>
      <c r="O82" s="7">
        <f>tbl_Fact_Sales[[#This Row],[Units_Sold]] / tbl_Fact_Sales[[#This Row],[Units_Per_Pack]]</f>
        <v>2.3333333333333335</v>
      </c>
      <c r="P82" s="7">
        <f>tbl_Fact_Sales[[#This Row],[SOH]] / tbl_Fact_Sales[[#This Row],[Units_Per_Pack]]</f>
        <v>14</v>
      </c>
      <c r="Q82" s="4" t="s">
        <v>80</v>
      </c>
      <c r="R82" s="4">
        <f>SUMIFS(tbl_Fact_Sales[Units_Sold], tbl_Fact_Sales[Parent_Product], tbl_Fact_Sales[[#This Row],[Parent_Product]])</f>
        <v>-4</v>
      </c>
      <c r="S82" s="4" t="str">
        <f>IF(ABS(tbl_Fact_Sales[[#This Row],[Parent_Total_Units]])&lt;0.0001, "Balanced", "Investigate")</f>
        <v>Investigate</v>
      </c>
      <c r="T82" s="4">
        <f>tbl_Fact_Sales[[#This Row],[Parent_Total_Units]]</f>
        <v>-4</v>
      </c>
      <c r="U82" s="4" t="str">
        <f>IF(ABS(tbl_Fact_Sales[[#This Row],[Parent_Total_Units]])&lt;=50, "Acceptable", IF(ABS(tbl_Fact_Sales[[#This Row],[Parent_Total_Units]])&lt;=250, "Check", "Problem"))</f>
        <v>Acceptable</v>
      </c>
      <c r="V82" s="7">
        <f>tbl_Fact_Sales[[#This Row],[Cases_Sold2]]/7</f>
        <v>0.33333333333333337</v>
      </c>
      <c r="W82" s="7">
        <f>tbl_Fact_Sales[[#This Row],[Daily_Demand]]*2</f>
        <v>0.66666666666666674</v>
      </c>
      <c r="X82" s="4"/>
      <c r="Y82" s="7"/>
      <c r="Z82" s="7">
        <f>tbl_Fact_Sales[[#This Row],[Daily_Demand]]*10 + tbl_Fact_Sales[[#This Row],[Safety_Stock]]</f>
        <v>4.0000000000000009</v>
      </c>
      <c r="AA82" s="7">
        <f>MAX(0, tbl_Fact_Sales[[#This Row],[Required_Stock]] - tbl_Fact_Sales[[#This Row],[Cases_SOH]])</f>
        <v>0</v>
      </c>
      <c r="AB82" s="7">
        <f>tbl_Fact_Sales[[#This Row],[Cases_SOH]] / tbl_Fact_Sales[[#This Row],[Daily_Demand]]</f>
        <v>41.999999999999993</v>
      </c>
      <c r="AC82" s="7">
        <f>tbl_Fact_Sales[[#This Row],[Suggested_Order]] * tbl_Fact_Sales[[#This Row],[Daily_Demand]]</f>
        <v>0</v>
      </c>
      <c r="AD82" s="7" t="str">
        <f>TRIM(tbl_Fact_Sales[[#This Row],[Parent_Product]])</f>
        <v>TAB</v>
      </c>
      <c r="AE82" s="7" cm="1">
        <f t="array" ref="AE82">IF(_xlfn.XLOOKUP(tbl_Fact_Sales[[#This Row],[Product_Code]], INDEX(rng_Recount, 0, 3), INDEX(rng_Recount, 0, 4), "") ="", tbl_Fact_Sales[[#This Row],[Cases_SOH]], _xlfn.XLOOKUP(tbl_Fact_Sales[[#This Row],[Product_Code]], INDEX(rng_Recount, 0, 3), INDEX(rng_Recount, 0, 4)))</f>
        <v>14</v>
      </c>
      <c r="AF82" s="7">
        <f>ABS(tbl_Fact_Sales[[#This Row],[Required_Stock]] - tbl_Fact_Sales[[#This Row],[Adjusted_SOH]])</f>
        <v>10</v>
      </c>
      <c r="AG82" s="4" t="str">
        <f>IF(tbl_Fact_Sales[[#This Row],[Recount_Variance]]&lt;=10, "Acceptable", IF(tbl_Fact_Sales[[#This Row],[Recount_Variance]]&lt;=50, "Check", "Problem"))</f>
        <v>Acceptable</v>
      </c>
    </row>
    <row r="83" spans="1:33" x14ac:dyDescent="0.25">
      <c r="A83" s="4">
        <v>15227</v>
      </c>
      <c r="B83" s="4">
        <v>5449000000000</v>
      </c>
      <c r="C83" s="4" t="s">
        <v>17</v>
      </c>
      <c r="D83" s="4" t="s">
        <v>13</v>
      </c>
      <c r="E83" s="4">
        <v>364</v>
      </c>
      <c r="F83" s="5">
        <v>9939.9395999999997</v>
      </c>
      <c r="G83" s="4">
        <v>941</v>
      </c>
      <c r="H83" s="4">
        <v>13.91</v>
      </c>
      <c r="I83" s="4">
        <v>-218</v>
      </c>
      <c r="J83" s="4">
        <v>-36</v>
      </c>
      <c r="K83" s="4" t="s">
        <v>14</v>
      </c>
      <c r="L83" s="6">
        <v>0.1391</v>
      </c>
      <c r="M83" s="4" t="str">
        <f>tbl_Fact_Sales[[#This Row],[Size_Clean]]</f>
        <v>2L</v>
      </c>
      <c r="N83" s="4">
        <f>_xlfn.XLOOKUP(tbl_Fact_Sales[[#This Row],[Pack_Size]], tbl_Size_Map[Size_Clean], tbl_Size_Map[Units_Per_Case])</f>
        <v>6</v>
      </c>
      <c r="O83" s="7">
        <f>tbl_Fact_Sales[[#This Row],[Units_Sold]] / tbl_Fact_Sales[[#This Row],[Units_Per_Pack]]</f>
        <v>-36.333333333333336</v>
      </c>
      <c r="P83" s="7">
        <f>tbl_Fact_Sales[[#This Row],[SOH]] / tbl_Fact_Sales[[#This Row],[Units_Per_Pack]]</f>
        <v>60.666666666666664</v>
      </c>
      <c r="Q83" s="4" t="s">
        <v>17</v>
      </c>
      <c r="R83" s="4">
        <f>SUMIFS(tbl_Fact_Sales[Units_Sold], tbl_Fact_Sales[Parent_Product], tbl_Fact_Sales[[#This Row],[Parent_Product]])</f>
        <v>-203</v>
      </c>
      <c r="S83" s="4" t="str">
        <f>IF(ABS(tbl_Fact_Sales[[#This Row],[Parent_Total_Units]])&lt;0.0001, "Balanced", "Investigate")</f>
        <v>Investigate</v>
      </c>
      <c r="T83" s="4">
        <f>tbl_Fact_Sales[[#This Row],[Parent_Total_Units]]</f>
        <v>-203</v>
      </c>
      <c r="U83" s="4" t="str">
        <f>IF(ABS(tbl_Fact_Sales[[#This Row],[Parent_Total_Units]])&lt;=50, "Acceptable", IF(ABS(tbl_Fact_Sales[[#This Row],[Parent_Total_Units]])&lt;=250, "Check", "Problem"))</f>
        <v>Check</v>
      </c>
      <c r="V83" s="7">
        <f>tbl_Fact_Sales[[#This Row],[Cases_Sold2]]/7</f>
        <v>-5.1904761904761907</v>
      </c>
      <c r="W83" s="7">
        <f>tbl_Fact_Sales[[#This Row],[Daily_Demand]]*2</f>
        <v>-10.380952380952381</v>
      </c>
      <c r="X83" s="4"/>
      <c r="Y83" s="7"/>
      <c r="Z83" s="7">
        <f>tbl_Fact_Sales[[#This Row],[Daily_Demand]]*10 + tbl_Fact_Sales[[#This Row],[Safety_Stock]]</f>
        <v>-62.285714285714285</v>
      </c>
      <c r="AA83" s="7">
        <f>MAX(0, tbl_Fact_Sales[[#This Row],[Required_Stock]] - tbl_Fact_Sales[[#This Row],[Cases_SOH]])</f>
        <v>0</v>
      </c>
      <c r="AB83" s="7">
        <f>tbl_Fact_Sales[[#This Row],[Cases_SOH]] / tbl_Fact_Sales[[#This Row],[Daily_Demand]]</f>
        <v>-11.688073394495412</v>
      </c>
      <c r="AC83" s="7">
        <f>tbl_Fact_Sales[[#This Row],[Suggested_Order]] * tbl_Fact_Sales[[#This Row],[Daily_Demand]]</f>
        <v>0</v>
      </c>
      <c r="AD83" s="7" t="str">
        <f>TRIM(tbl_Fact_Sales[[#This Row],[Parent_Product]])</f>
        <v>TWIST GRANADILLA</v>
      </c>
      <c r="AE83" s="7" cm="1">
        <f t="array" ref="AE83">IF(_xlfn.XLOOKUP(tbl_Fact_Sales[[#This Row],[Product_Code]], INDEX(rng_Recount, 0, 3), INDEX(rng_Recount, 0, 4), "") ="", tbl_Fact_Sales[[#This Row],[Cases_SOH]], _xlfn.XLOOKUP(tbl_Fact_Sales[[#This Row],[Product_Code]], INDEX(rng_Recount, 0, 3), INDEX(rng_Recount, 0, 4)))</f>
        <v>60.666666666666664</v>
      </c>
      <c r="AF83" s="7">
        <f>ABS(tbl_Fact_Sales[[#This Row],[Required_Stock]] - tbl_Fact_Sales[[#This Row],[Adjusted_SOH]])</f>
        <v>122.95238095238095</v>
      </c>
      <c r="AG83" s="4" t="str">
        <f>IF(tbl_Fact_Sales[[#This Row],[Recount_Variance]]&lt;=10, "Acceptable", IF(tbl_Fact_Sales[[#This Row],[Recount_Variance]]&lt;=50, "Check", "Problem"))</f>
        <v>Problem</v>
      </c>
    </row>
    <row r="84" spans="1:33" x14ac:dyDescent="0.25">
      <c r="A84" s="4">
        <v>22908</v>
      </c>
      <c r="B84" s="4">
        <v>5449000000000</v>
      </c>
      <c r="C84" s="4" t="s">
        <v>17</v>
      </c>
      <c r="D84" s="4" t="s">
        <v>27</v>
      </c>
      <c r="E84" s="4">
        <v>43</v>
      </c>
      <c r="F84" s="5">
        <v>1924.075</v>
      </c>
      <c r="G84" s="4">
        <v>375</v>
      </c>
      <c r="H84" s="4">
        <v>20.5</v>
      </c>
      <c r="I84" s="4">
        <v>15</v>
      </c>
      <c r="J84" s="4">
        <v>1</v>
      </c>
      <c r="K84" s="4" t="s">
        <v>27</v>
      </c>
      <c r="L84" s="6">
        <v>0.20499999999999999</v>
      </c>
      <c r="M84" s="4" t="str">
        <f>tbl_Fact_Sales[[#This Row],[Size_Clean]]</f>
        <v>330ML</v>
      </c>
      <c r="N84" s="4">
        <f>_xlfn.XLOOKUP(tbl_Fact_Sales[[#This Row],[Pack_Size]], tbl_Size_Map[Size_Clean], tbl_Size_Map[Units_Per_Case])</f>
        <v>24</v>
      </c>
      <c r="O84" s="7">
        <f>tbl_Fact_Sales[[#This Row],[Units_Sold]] / tbl_Fact_Sales[[#This Row],[Units_Per_Pack]]</f>
        <v>0.625</v>
      </c>
      <c r="P84" s="7">
        <f>tbl_Fact_Sales[[#This Row],[SOH]] / tbl_Fact_Sales[[#This Row],[Units_Per_Pack]]</f>
        <v>1.7916666666666667</v>
      </c>
      <c r="Q84" s="4" t="s">
        <v>17</v>
      </c>
      <c r="R84" s="4">
        <f>SUMIFS(tbl_Fact_Sales[Units_Sold], tbl_Fact_Sales[Parent_Product], tbl_Fact_Sales[[#This Row],[Parent_Product]])</f>
        <v>-203</v>
      </c>
      <c r="S84" s="4" t="str">
        <f>IF(ABS(tbl_Fact_Sales[[#This Row],[Parent_Total_Units]])&lt;0.0001, "Balanced", "Investigate")</f>
        <v>Investigate</v>
      </c>
      <c r="T84" s="4">
        <f>tbl_Fact_Sales[[#This Row],[Parent_Total_Units]]</f>
        <v>-203</v>
      </c>
      <c r="U84" s="4" t="str">
        <f>IF(ABS(tbl_Fact_Sales[[#This Row],[Parent_Total_Units]])&lt;=50, "Acceptable", IF(ABS(tbl_Fact_Sales[[#This Row],[Parent_Total_Units]])&lt;=250, "Check", "Problem"))</f>
        <v>Check</v>
      </c>
      <c r="V84" s="7">
        <f>tbl_Fact_Sales[[#This Row],[Cases_Sold2]]/7</f>
        <v>8.9285714285714288E-2</v>
      </c>
      <c r="W84" s="7">
        <f>tbl_Fact_Sales[[#This Row],[Daily_Demand]]*2</f>
        <v>0.17857142857142858</v>
      </c>
      <c r="X84" s="4"/>
      <c r="Y84" s="7"/>
      <c r="Z84" s="7">
        <f>tbl_Fact_Sales[[#This Row],[Daily_Demand]]*10 + tbl_Fact_Sales[[#This Row],[Safety_Stock]]</f>
        <v>1.0714285714285714</v>
      </c>
      <c r="AA84" s="7">
        <f>MAX(0, tbl_Fact_Sales[[#This Row],[Required_Stock]] - tbl_Fact_Sales[[#This Row],[Cases_SOH]])</f>
        <v>0</v>
      </c>
      <c r="AB84" s="7">
        <f>tbl_Fact_Sales[[#This Row],[Cases_SOH]] / tbl_Fact_Sales[[#This Row],[Daily_Demand]]</f>
        <v>20.066666666666666</v>
      </c>
      <c r="AC84" s="7">
        <f>tbl_Fact_Sales[[#This Row],[Suggested_Order]] * tbl_Fact_Sales[[#This Row],[Daily_Demand]]</f>
        <v>0</v>
      </c>
      <c r="AD84" s="7" t="str">
        <f>TRIM(tbl_Fact_Sales[[#This Row],[Parent_Product]])</f>
        <v>TWIST GRANADILLA</v>
      </c>
      <c r="AE84" s="7" cm="1">
        <f t="array" ref="AE84">IF(_xlfn.XLOOKUP(tbl_Fact_Sales[[#This Row],[Product_Code]], INDEX(rng_Recount, 0, 3), INDEX(rng_Recount, 0, 4), "") ="", tbl_Fact_Sales[[#This Row],[Cases_SOH]], _xlfn.XLOOKUP(tbl_Fact_Sales[[#This Row],[Product_Code]], INDEX(rng_Recount, 0, 3), INDEX(rng_Recount, 0, 4)))</f>
        <v>1.7916666666666667</v>
      </c>
      <c r="AF84" s="7">
        <f>ABS(tbl_Fact_Sales[[#This Row],[Required_Stock]] - tbl_Fact_Sales[[#This Row],[Adjusted_SOH]])</f>
        <v>0.72023809523809534</v>
      </c>
      <c r="AG84" s="4" t="str">
        <f>IF(tbl_Fact_Sales[[#This Row],[Recount_Variance]]&lt;=10, "Acceptable", IF(tbl_Fact_Sales[[#This Row],[Recount_Variance]]&lt;=50, "Check", "Problem"))</f>
        <v>Acceptable</v>
      </c>
    </row>
    <row r="85" spans="1:33" x14ac:dyDescent="0.25">
      <c r="A85" s="4">
        <v>22910</v>
      </c>
      <c r="B85" s="4">
        <v>5449000000000</v>
      </c>
      <c r="C85" s="4" t="s">
        <v>26</v>
      </c>
      <c r="D85" s="4" t="s">
        <v>27</v>
      </c>
      <c r="E85" s="4">
        <v>132</v>
      </c>
      <c r="F85" s="5">
        <v>2235.4695999999999</v>
      </c>
      <c r="G85" s="4">
        <v>444</v>
      </c>
      <c r="H85" s="4">
        <v>22.44</v>
      </c>
      <c r="I85" s="4">
        <v>-63</v>
      </c>
      <c r="J85" s="4">
        <v>-3</v>
      </c>
      <c r="K85" s="4" t="s">
        <v>27</v>
      </c>
      <c r="L85" s="6">
        <v>0.22440000000000002</v>
      </c>
      <c r="M85" s="4" t="str">
        <f>tbl_Fact_Sales[[#This Row],[Size_Clean]]</f>
        <v>330ML</v>
      </c>
      <c r="N85" s="4">
        <f>_xlfn.XLOOKUP(tbl_Fact_Sales[[#This Row],[Pack_Size]], tbl_Size_Map[Size_Clean], tbl_Size_Map[Units_Per_Case])</f>
        <v>24</v>
      </c>
      <c r="O85" s="7">
        <f>tbl_Fact_Sales[[#This Row],[Units_Sold]] / tbl_Fact_Sales[[#This Row],[Units_Per_Pack]]</f>
        <v>-2.625</v>
      </c>
      <c r="P85" s="7">
        <f>tbl_Fact_Sales[[#This Row],[SOH]] / tbl_Fact_Sales[[#This Row],[Units_Per_Pack]]</f>
        <v>5.5</v>
      </c>
      <c r="Q85" s="4" t="s">
        <v>26</v>
      </c>
      <c r="R85" s="4">
        <f>SUMIFS(tbl_Fact_Sales[Units_Sold], tbl_Fact_Sales[Parent_Product], tbl_Fact_Sales[[#This Row],[Parent_Product]])</f>
        <v>175</v>
      </c>
      <c r="S85" s="4" t="str">
        <f>IF(ABS(tbl_Fact_Sales[[#This Row],[Parent_Total_Units]])&lt;0.0001, "Balanced", "Investigate")</f>
        <v>Investigate</v>
      </c>
      <c r="T85" s="4">
        <f>tbl_Fact_Sales[[#This Row],[Parent_Total_Units]]</f>
        <v>175</v>
      </c>
      <c r="U85" s="4" t="str">
        <f>IF(ABS(tbl_Fact_Sales[[#This Row],[Parent_Total_Units]])&lt;=50, "Acceptable", IF(ABS(tbl_Fact_Sales[[#This Row],[Parent_Total_Units]])&lt;=250, "Check", "Problem"))</f>
        <v>Check</v>
      </c>
      <c r="V85" s="7">
        <f>tbl_Fact_Sales[[#This Row],[Cases_Sold2]]/7</f>
        <v>-0.375</v>
      </c>
      <c r="W85" s="7">
        <f>tbl_Fact_Sales[[#This Row],[Daily_Demand]]*2</f>
        <v>-0.75</v>
      </c>
      <c r="X85" s="4"/>
      <c r="Y85" s="7"/>
      <c r="Z85" s="7">
        <f>tbl_Fact_Sales[[#This Row],[Daily_Demand]]*10 + tbl_Fact_Sales[[#This Row],[Safety_Stock]]</f>
        <v>-4.5</v>
      </c>
      <c r="AA85" s="7">
        <f>MAX(0, tbl_Fact_Sales[[#This Row],[Required_Stock]] - tbl_Fact_Sales[[#This Row],[Cases_SOH]])</f>
        <v>0</v>
      </c>
      <c r="AB85" s="7">
        <f>tbl_Fact_Sales[[#This Row],[Cases_SOH]] / tbl_Fact_Sales[[#This Row],[Daily_Demand]]</f>
        <v>-14.666666666666666</v>
      </c>
      <c r="AC85" s="7">
        <f>tbl_Fact_Sales[[#This Row],[Suggested_Order]] * tbl_Fact_Sales[[#This Row],[Daily_Demand]]</f>
        <v>0</v>
      </c>
      <c r="AD85" s="7" t="str">
        <f>TRIM(tbl_Fact_Sales[[#This Row],[Parent_Product]])</f>
        <v>TWIST LEMON</v>
      </c>
      <c r="AE85" s="7" cm="1">
        <f t="array" ref="AE85">IF(_xlfn.XLOOKUP(tbl_Fact_Sales[[#This Row],[Product_Code]], INDEX(rng_Recount, 0, 3), INDEX(rng_Recount, 0, 4), "") ="", tbl_Fact_Sales[[#This Row],[Cases_SOH]], _xlfn.XLOOKUP(tbl_Fact_Sales[[#This Row],[Product_Code]], INDEX(rng_Recount, 0, 3), INDEX(rng_Recount, 0, 4)))</f>
        <v>5.5</v>
      </c>
      <c r="AF85" s="7">
        <f>ABS(tbl_Fact_Sales[[#This Row],[Required_Stock]] - tbl_Fact_Sales[[#This Row],[Adjusted_SOH]])</f>
        <v>10</v>
      </c>
      <c r="AG85" s="4" t="str">
        <f>IF(tbl_Fact_Sales[[#This Row],[Recount_Variance]]&lt;=10, "Acceptable", IF(tbl_Fact_Sales[[#This Row],[Recount_Variance]]&lt;=50, "Check", "Problem"))</f>
        <v>Acceptable</v>
      </c>
    </row>
    <row r="86" spans="1:33" x14ac:dyDescent="0.25">
      <c r="A86" s="4">
        <v>2146</v>
      </c>
      <c r="B86" s="4">
        <v>5449000000000</v>
      </c>
      <c r="C86" s="4" t="s">
        <v>26</v>
      </c>
      <c r="D86" s="4" t="s">
        <v>14</v>
      </c>
      <c r="E86" s="4">
        <v>98</v>
      </c>
      <c r="F86" s="5">
        <v>14720.952799999999</v>
      </c>
      <c r="G86" s="4">
        <v>1391</v>
      </c>
      <c r="H86" s="4">
        <v>13.71</v>
      </c>
      <c r="I86" s="4">
        <v>118</v>
      </c>
      <c r="J86" s="4">
        <v>20</v>
      </c>
      <c r="K86" s="4" t="s">
        <v>14</v>
      </c>
      <c r="L86" s="6">
        <v>0.1371</v>
      </c>
      <c r="M86" s="4" t="str">
        <f>tbl_Fact_Sales[[#This Row],[Size_Clean]]</f>
        <v>2L</v>
      </c>
      <c r="N86" s="4">
        <f>_xlfn.XLOOKUP(tbl_Fact_Sales[[#This Row],[Pack_Size]], tbl_Size_Map[Size_Clean], tbl_Size_Map[Units_Per_Case])</f>
        <v>6</v>
      </c>
      <c r="O86" s="7">
        <f>tbl_Fact_Sales[[#This Row],[Units_Sold]] / tbl_Fact_Sales[[#This Row],[Units_Per_Pack]]</f>
        <v>19.666666666666668</v>
      </c>
      <c r="P86" s="7">
        <f>tbl_Fact_Sales[[#This Row],[SOH]] / tbl_Fact_Sales[[#This Row],[Units_Per_Pack]]</f>
        <v>16.333333333333332</v>
      </c>
      <c r="Q86" s="4" t="s">
        <v>26</v>
      </c>
      <c r="R86" s="4">
        <f>SUMIFS(tbl_Fact_Sales[Units_Sold], tbl_Fact_Sales[Parent_Product], tbl_Fact_Sales[[#This Row],[Parent_Product]])</f>
        <v>175</v>
      </c>
      <c r="S86" s="4" t="str">
        <f>IF(ABS(tbl_Fact_Sales[[#This Row],[Parent_Total_Units]])&lt;0.0001, "Balanced", "Investigate")</f>
        <v>Investigate</v>
      </c>
      <c r="T86" s="4">
        <f>tbl_Fact_Sales[[#This Row],[Parent_Total_Units]]</f>
        <v>175</v>
      </c>
      <c r="U86" s="4" t="str">
        <f>IF(ABS(tbl_Fact_Sales[[#This Row],[Parent_Total_Units]])&lt;=50, "Acceptable", IF(ABS(tbl_Fact_Sales[[#This Row],[Parent_Total_Units]])&lt;=250, "Check", "Problem"))</f>
        <v>Check</v>
      </c>
      <c r="V86" s="7">
        <f>tbl_Fact_Sales[[#This Row],[Cases_Sold2]]/7</f>
        <v>2.8095238095238098</v>
      </c>
      <c r="W86" s="7">
        <f>tbl_Fact_Sales[[#This Row],[Daily_Demand]]*2</f>
        <v>5.6190476190476195</v>
      </c>
      <c r="X86" s="4"/>
      <c r="Y86" s="7"/>
      <c r="Z86" s="7">
        <f>tbl_Fact_Sales[[#This Row],[Daily_Demand]]*10 + tbl_Fact_Sales[[#This Row],[Safety_Stock]]</f>
        <v>33.714285714285715</v>
      </c>
      <c r="AA86" s="7">
        <f>MAX(0, tbl_Fact_Sales[[#This Row],[Required_Stock]] - tbl_Fact_Sales[[#This Row],[Cases_SOH]])</f>
        <v>17.380952380952383</v>
      </c>
      <c r="AB86" s="7">
        <f>tbl_Fact_Sales[[#This Row],[Cases_SOH]] / tbl_Fact_Sales[[#This Row],[Daily_Demand]]</f>
        <v>5.813559322033897</v>
      </c>
      <c r="AC86" s="7">
        <f>tbl_Fact_Sales[[#This Row],[Suggested_Order]] * tbl_Fact_Sales[[#This Row],[Daily_Demand]]</f>
        <v>48.832199546485271</v>
      </c>
      <c r="AD86" s="7" t="str">
        <f>TRIM(tbl_Fact_Sales[[#This Row],[Parent_Product]])</f>
        <v>TWIST LEMON</v>
      </c>
      <c r="AE86" s="7" cm="1">
        <f t="array" ref="AE86">IF(_xlfn.XLOOKUP(tbl_Fact_Sales[[#This Row],[Product_Code]], INDEX(rng_Recount, 0, 3), INDEX(rng_Recount, 0, 4), "") ="", tbl_Fact_Sales[[#This Row],[Cases_SOH]], _xlfn.XLOOKUP(tbl_Fact_Sales[[#This Row],[Product_Code]], INDEX(rng_Recount, 0, 3), INDEX(rng_Recount, 0, 4)))</f>
        <v>16.333333333333332</v>
      </c>
      <c r="AF86" s="7">
        <f>ABS(tbl_Fact_Sales[[#This Row],[Required_Stock]] - tbl_Fact_Sales[[#This Row],[Adjusted_SOH]])</f>
        <v>17.380952380952383</v>
      </c>
      <c r="AG86" s="4" t="str">
        <f>IF(tbl_Fact_Sales[[#This Row],[Recount_Variance]]&lt;=10, "Acceptable", IF(tbl_Fact_Sales[[#This Row],[Recount_Variance]]&lt;=50, "Check", "Problem"))</f>
        <v>Check</v>
      </c>
    </row>
    <row r="87" spans="1:33" x14ac:dyDescent="0.25">
      <c r="A87" s="4">
        <v>2147</v>
      </c>
      <c r="B87" s="4">
        <v>40822747</v>
      </c>
      <c r="C87" s="4" t="s">
        <v>26</v>
      </c>
      <c r="D87" s="4" t="s">
        <v>19</v>
      </c>
      <c r="E87" s="4">
        <v>-1</v>
      </c>
      <c r="F87" s="5">
        <v>4766.1710999999996</v>
      </c>
      <c r="G87" s="4">
        <v>767</v>
      </c>
      <c r="H87" s="4">
        <v>21.19</v>
      </c>
      <c r="I87" s="4">
        <v>120</v>
      </c>
      <c r="J87" s="4">
        <v>5</v>
      </c>
      <c r="K87" s="4" t="s">
        <v>19</v>
      </c>
      <c r="L87" s="6">
        <v>0.21190000000000001</v>
      </c>
      <c r="M87" s="4" t="str">
        <f>tbl_Fact_Sales[[#This Row],[Size_Clean]]</f>
        <v>500ML</v>
      </c>
      <c r="N87" s="4">
        <f>_xlfn.XLOOKUP(tbl_Fact_Sales[[#This Row],[Pack_Size]], tbl_Size_Map[Size_Clean], tbl_Size_Map[Units_Per_Case])</f>
        <v>12</v>
      </c>
      <c r="O87" s="7">
        <f>tbl_Fact_Sales[[#This Row],[Units_Sold]] / tbl_Fact_Sales[[#This Row],[Units_Per_Pack]]</f>
        <v>10</v>
      </c>
      <c r="P87" s="7">
        <f>tbl_Fact_Sales[[#This Row],[SOH]] / tbl_Fact_Sales[[#This Row],[Units_Per_Pack]]</f>
        <v>-8.3333333333333329E-2</v>
      </c>
      <c r="Q87" s="4" t="s">
        <v>26</v>
      </c>
      <c r="R87" s="4">
        <f>SUMIFS(tbl_Fact_Sales[Units_Sold], tbl_Fact_Sales[Parent_Product], tbl_Fact_Sales[[#This Row],[Parent_Product]])</f>
        <v>175</v>
      </c>
      <c r="S87" s="4" t="str">
        <f>IF(ABS(tbl_Fact_Sales[[#This Row],[Parent_Total_Units]])&lt;0.0001, "Balanced", "Investigate")</f>
        <v>Investigate</v>
      </c>
      <c r="T87" s="4">
        <f>tbl_Fact_Sales[[#This Row],[Parent_Total_Units]]</f>
        <v>175</v>
      </c>
      <c r="U87" s="4" t="str">
        <f>IF(ABS(tbl_Fact_Sales[[#This Row],[Parent_Total_Units]])&lt;=50, "Acceptable", IF(ABS(tbl_Fact_Sales[[#This Row],[Parent_Total_Units]])&lt;=250, "Check", "Problem"))</f>
        <v>Check</v>
      </c>
      <c r="V87" s="7">
        <f>tbl_Fact_Sales[[#This Row],[Cases_Sold2]]/7</f>
        <v>1.4285714285714286</v>
      </c>
      <c r="W87" s="7">
        <f>tbl_Fact_Sales[[#This Row],[Daily_Demand]]*2</f>
        <v>2.8571428571428572</v>
      </c>
      <c r="X87" s="4"/>
      <c r="Y87" s="7"/>
      <c r="Z87" s="7">
        <f>tbl_Fact_Sales[[#This Row],[Daily_Demand]]*10 + tbl_Fact_Sales[[#This Row],[Safety_Stock]]</f>
        <v>17.142857142857142</v>
      </c>
      <c r="AA87" s="7">
        <f>MAX(0, tbl_Fact_Sales[[#This Row],[Required_Stock]] - tbl_Fact_Sales[[#This Row],[Cases_SOH]])</f>
        <v>17.226190476190474</v>
      </c>
      <c r="AB87" s="7">
        <f>tbl_Fact_Sales[[#This Row],[Cases_SOH]] / tbl_Fact_Sales[[#This Row],[Daily_Demand]]</f>
        <v>-5.8333333333333327E-2</v>
      </c>
      <c r="AC87" s="7">
        <f>tbl_Fact_Sales[[#This Row],[Suggested_Order]] * tbl_Fact_Sales[[#This Row],[Daily_Demand]]</f>
        <v>24.608843537414963</v>
      </c>
      <c r="AD87" s="7" t="str">
        <f>TRIM(tbl_Fact_Sales[[#This Row],[Parent_Product]])</f>
        <v>TWIST LEMON</v>
      </c>
      <c r="AE87" s="7" cm="1">
        <f t="array" ref="AE87">IF(_xlfn.XLOOKUP(tbl_Fact_Sales[[#This Row],[Product_Code]], INDEX(rng_Recount, 0, 3), INDEX(rng_Recount, 0, 4), "") ="", tbl_Fact_Sales[[#This Row],[Cases_SOH]], _xlfn.XLOOKUP(tbl_Fact_Sales[[#This Row],[Product_Code]], INDEX(rng_Recount, 0, 3), INDEX(rng_Recount, 0, 4)))</f>
        <v>-8.3333333333333329E-2</v>
      </c>
      <c r="AF87" s="7">
        <f>ABS(tbl_Fact_Sales[[#This Row],[Required_Stock]] - tbl_Fact_Sales[[#This Row],[Adjusted_SOH]])</f>
        <v>17.226190476190474</v>
      </c>
      <c r="AG87" s="4" t="str">
        <f>IF(tbl_Fact_Sales[[#This Row],[Recount_Variance]]&lt;=10, "Acceptable", IF(tbl_Fact_Sales[[#This Row],[Recount_Variance]]&lt;=50, "Check", "Problem"))</f>
        <v>Check</v>
      </c>
    </row>
    <row r="88" spans="1:33" x14ac:dyDescent="0.25">
      <c r="A88" s="4">
        <v>6674</v>
      </c>
      <c r="B88" s="4">
        <v>5449000000000</v>
      </c>
      <c r="C88" s="4" t="s">
        <v>57</v>
      </c>
      <c r="D88" s="4" t="s">
        <v>55</v>
      </c>
      <c r="E88" s="4">
        <v>13</v>
      </c>
      <c r="F88" s="5">
        <v>4494.6868000000004</v>
      </c>
      <c r="G88" s="4">
        <v>526</v>
      </c>
      <c r="H88" s="4">
        <v>22.01</v>
      </c>
      <c r="I88" s="4">
        <v>69</v>
      </c>
      <c r="J88" s="4">
        <v>6</v>
      </c>
      <c r="K88" s="4" t="s">
        <v>56</v>
      </c>
      <c r="L88" s="6">
        <v>0.22010000000000002</v>
      </c>
      <c r="M88" s="4" t="str">
        <f>tbl_Fact_Sales[[#This Row],[Size_Clean]]</f>
        <v>1.5L</v>
      </c>
      <c r="N88" s="4">
        <f>_xlfn.XLOOKUP(tbl_Fact_Sales[[#This Row],[Pack_Size]], tbl_Size_Map[Size_Clean], tbl_Size_Map[Units_Per_Case])</f>
        <v>12</v>
      </c>
      <c r="O88" s="7">
        <f>tbl_Fact_Sales[[#This Row],[Units_Sold]] / tbl_Fact_Sales[[#This Row],[Units_Per_Pack]]</f>
        <v>5.75</v>
      </c>
      <c r="P88" s="7">
        <f>tbl_Fact_Sales[[#This Row],[SOH]] / tbl_Fact_Sales[[#This Row],[Units_Per_Pack]]</f>
        <v>1.0833333333333333</v>
      </c>
      <c r="Q88" s="4" t="s">
        <v>110</v>
      </c>
      <c r="R88" s="4">
        <f>SUMIFS(tbl_Fact_Sales[Units_Sold], tbl_Fact_Sales[Parent_Product], tbl_Fact_Sales[[#This Row],[Parent_Product]])</f>
        <v>72</v>
      </c>
      <c r="S88" s="4" t="str">
        <f>IF(ABS(tbl_Fact_Sales[[#This Row],[Parent_Total_Units]])&lt;0.0001, "Balanced", "Investigate")</f>
        <v>Investigate</v>
      </c>
      <c r="T88" s="4">
        <f>tbl_Fact_Sales[[#This Row],[Parent_Total_Units]]</f>
        <v>72</v>
      </c>
      <c r="U88" s="4" t="str">
        <f>IF(ABS(tbl_Fact_Sales[[#This Row],[Parent_Total_Units]])&lt;=50, "Acceptable", IF(ABS(tbl_Fact_Sales[[#This Row],[Parent_Total_Units]])&lt;=250, "Check", "Problem"))</f>
        <v>Check</v>
      </c>
      <c r="V88" s="7">
        <f>tbl_Fact_Sales[[#This Row],[Cases_Sold2]]/7</f>
        <v>0.8214285714285714</v>
      </c>
      <c r="W88" s="7">
        <f>tbl_Fact_Sales[[#This Row],[Daily_Demand]]*2</f>
        <v>1.6428571428571428</v>
      </c>
      <c r="X88" s="4"/>
      <c r="Y88" s="7"/>
      <c r="Z88" s="7">
        <f>tbl_Fact_Sales[[#This Row],[Daily_Demand]]*10 + tbl_Fact_Sales[[#This Row],[Safety_Stock]]</f>
        <v>9.8571428571428559</v>
      </c>
      <c r="AA88" s="7">
        <f>MAX(0, tbl_Fact_Sales[[#This Row],[Required_Stock]] - tbl_Fact_Sales[[#This Row],[Cases_SOH]])</f>
        <v>8.7738095238095219</v>
      </c>
      <c r="AB88" s="7">
        <f>tbl_Fact_Sales[[#This Row],[Cases_SOH]] / tbl_Fact_Sales[[#This Row],[Daily_Demand]]</f>
        <v>1.3188405797101448</v>
      </c>
      <c r="AC88" s="7">
        <f>tbl_Fact_Sales[[#This Row],[Suggested_Order]] * tbl_Fact_Sales[[#This Row],[Daily_Demand]]</f>
        <v>7.2070578231292499</v>
      </c>
      <c r="AD88" s="7" t="str">
        <f>TRIM(tbl_Fact_Sales[[#This Row],[Parent_Product]])</f>
        <v>VALPRE MINERAL</v>
      </c>
      <c r="AE88" s="7" cm="1">
        <f t="array" ref="AE88">IF(_xlfn.XLOOKUP(tbl_Fact_Sales[[#This Row],[Product_Code]], INDEX(rng_Recount, 0, 3), INDEX(rng_Recount, 0, 4), "") ="", tbl_Fact_Sales[[#This Row],[Cases_SOH]], _xlfn.XLOOKUP(tbl_Fact_Sales[[#This Row],[Product_Code]], INDEX(rng_Recount, 0, 3), INDEX(rng_Recount, 0, 4)))</f>
        <v>1.0833333333333333</v>
      </c>
      <c r="AF88" s="7">
        <f>ABS(tbl_Fact_Sales[[#This Row],[Required_Stock]] - tbl_Fact_Sales[[#This Row],[Adjusted_SOH]])</f>
        <v>8.7738095238095219</v>
      </c>
      <c r="AG88" s="4" t="str">
        <f>IF(tbl_Fact_Sales[[#This Row],[Recount_Variance]]&lt;=10, "Acceptable", IF(tbl_Fact_Sales[[#This Row],[Recount_Variance]]&lt;=50, "Check", "Problem"))</f>
        <v>Acceptable</v>
      </c>
    </row>
    <row r="89" spans="1:33" x14ac:dyDescent="0.25">
      <c r="A89" s="4">
        <v>4679</v>
      </c>
      <c r="B89" s="4">
        <v>5449000000000</v>
      </c>
      <c r="C89" s="4" t="s">
        <v>57</v>
      </c>
      <c r="D89" s="4" t="s">
        <v>19</v>
      </c>
      <c r="E89" s="4">
        <v>80</v>
      </c>
      <c r="F89" s="5">
        <v>2553.4616000000001</v>
      </c>
      <c r="G89" s="4">
        <v>535</v>
      </c>
      <c r="H89" s="4">
        <v>22</v>
      </c>
      <c r="I89" s="4">
        <v>3</v>
      </c>
      <c r="J89" s="4">
        <v>0</v>
      </c>
      <c r="K89" s="4" t="s">
        <v>19</v>
      </c>
      <c r="L89" s="6">
        <v>0.22</v>
      </c>
      <c r="M89" s="4" t="str">
        <f>tbl_Fact_Sales[[#This Row],[Size_Clean]]</f>
        <v>500ML</v>
      </c>
      <c r="N89" s="4">
        <f>_xlfn.XLOOKUP(tbl_Fact_Sales[[#This Row],[Pack_Size]], tbl_Size_Map[Size_Clean], tbl_Size_Map[Units_Per_Case])</f>
        <v>12</v>
      </c>
      <c r="O89" s="7">
        <f>tbl_Fact_Sales[[#This Row],[Units_Sold]] / tbl_Fact_Sales[[#This Row],[Units_Per_Pack]]</f>
        <v>0.25</v>
      </c>
      <c r="P89" s="7">
        <f>tbl_Fact_Sales[[#This Row],[SOH]] / tbl_Fact_Sales[[#This Row],[Units_Per_Pack]]</f>
        <v>6.666666666666667</v>
      </c>
      <c r="Q89" s="4" t="s">
        <v>110</v>
      </c>
      <c r="R89" s="4">
        <f>SUMIFS(tbl_Fact_Sales[Units_Sold], tbl_Fact_Sales[Parent_Product], tbl_Fact_Sales[[#This Row],[Parent_Product]])</f>
        <v>72</v>
      </c>
      <c r="S89" s="4" t="str">
        <f>IF(ABS(tbl_Fact_Sales[[#This Row],[Parent_Total_Units]])&lt;0.0001, "Balanced", "Investigate")</f>
        <v>Investigate</v>
      </c>
      <c r="T89" s="4">
        <f>tbl_Fact_Sales[[#This Row],[Parent_Total_Units]]</f>
        <v>72</v>
      </c>
      <c r="U89" s="4" t="str">
        <f>IF(ABS(tbl_Fact_Sales[[#This Row],[Parent_Total_Units]])&lt;=50, "Acceptable", IF(ABS(tbl_Fact_Sales[[#This Row],[Parent_Total_Units]])&lt;=250, "Check", "Problem"))</f>
        <v>Check</v>
      </c>
      <c r="V89" s="7">
        <f>tbl_Fact_Sales[[#This Row],[Cases_Sold2]]/7</f>
        <v>3.5714285714285712E-2</v>
      </c>
      <c r="W89" s="7">
        <f>tbl_Fact_Sales[[#This Row],[Daily_Demand]]*2</f>
        <v>7.1428571428571425E-2</v>
      </c>
      <c r="X89" s="4"/>
      <c r="Y89" s="7"/>
      <c r="Z89" s="7">
        <f>tbl_Fact_Sales[[#This Row],[Daily_Demand]]*10 + tbl_Fact_Sales[[#This Row],[Safety_Stock]]</f>
        <v>0.42857142857142849</v>
      </c>
      <c r="AA89" s="7">
        <f>MAX(0, tbl_Fact_Sales[[#This Row],[Required_Stock]] - tbl_Fact_Sales[[#This Row],[Cases_SOH]])</f>
        <v>0</v>
      </c>
      <c r="AB89" s="7">
        <f>tbl_Fact_Sales[[#This Row],[Cases_SOH]] / tbl_Fact_Sales[[#This Row],[Daily_Demand]]</f>
        <v>186.66666666666669</v>
      </c>
      <c r="AC89" s="7">
        <f>tbl_Fact_Sales[[#This Row],[Suggested_Order]] * tbl_Fact_Sales[[#This Row],[Daily_Demand]]</f>
        <v>0</v>
      </c>
      <c r="AD89" s="7" t="str">
        <f>TRIM(tbl_Fact_Sales[[#This Row],[Parent_Product]])</f>
        <v>VALPRE MINERAL</v>
      </c>
      <c r="AE89" s="7" cm="1">
        <f t="array" ref="AE89">IF(_xlfn.XLOOKUP(tbl_Fact_Sales[[#This Row],[Product_Code]], INDEX(rng_Recount, 0, 3), INDEX(rng_Recount, 0, 4), "") ="", tbl_Fact_Sales[[#This Row],[Cases_SOH]], _xlfn.XLOOKUP(tbl_Fact_Sales[[#This Row],[Product_Code]], INDEX(rng_Recount, 0, 3), INDEX(rng_Recount, 0, 4)))</f>
        <v>6.666666666666667</v>
      </c>
      <c r="AF89" s="7">
        <f>ABS(tbl_Fact_Sales[[#This Row],[Required_Stock]] - tbl_Fact_Sales[[#This Row],[Adjusted_SOH]])</f>
        <v>6.2380952380952381</v>
      </c>
      <c r="AG89" s="4" t="str">
        <f>IF(tbl_Fact_Sales[[#This Row],[Recount_Variance]]&lt;=10, "Acceptable", IF(tbl_Fact_Sales[[#This Row],[Recount_Variance]]&lt;=50, "Check", "Problem"))</f>
        <v>Acceptable</v>
      </c>
    </row>
    <row r="90" spans="1:33" x14ac:dyDescent="0.25">
      <c r="H90" s="4"/>
    </row>
    <row r="91" spans="1:33" x14ac:dyDescent="0.25">
      <c r="H91" s="4"/>
    </row>
  </sheetData>
  <phoneticPr fontId="2" type="noConversion"/>
  <conditionalFormatting sqref="U2:U89">
    <cfRule type="containsText" dxfId="10" priority="7" operator="containsText" text="Acceptable">
      <formula>NOT(ISERROR(SEARCH("Acceptable",U2)))</formula>
    </cfRule>
  </conditionalFormatting>
  <conditionalFormatting sqref="U7:U89">
    <cfRule type="containsText" dxfId="9" priority="8" operator="containsText" text="Problem">
      <formula>NOT(ISERROR(SEARCH("Problem",U7)))</formula>
    </cfRule>
    <cfRule type="containsText" dxfId="8" priority="9" operator="containsText" text="Check">
      <formula>NOT(ISERROR(SEARCH("Check",U7)))</formula>
    </cfRule>
  </conditionalFormatting>
  <conditionalFormatting sqref="AG2:AG89">
    <cfRule type="containsText" dxfId="7" priority="1" operator="containsText" text="Acceptable">
      <formula>NOT(ISERROR(SEARCH("Acceptable",AG2)))</formula>
    </cfRule>
    <cfRule type="containsText" dxfId="6" priority="2" operator="containsText" text="Problem">
      <formula>NOT(ISERROR(SEARCH("Problem",AG2)))</formula>
    </cfRule>
    <cfRule type="containsText" dxfId="5" priority="3" operator="containsText" text="Check">
      <formula>NOT(ISERROR(SEARCH("Check",AG2)))</formula>
    </cfRule>
  </conditionalFormatting>
  <pageMargins left="0.7" right="0.7" top="0.75" bottom="0.75" header="0.3" footer="0.3"/>
  <legacy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D64BE-3487-4274-B06C-542EA0DB46CF}">
  <sheetPr filterMode="1"/>
  <dimension ref="A1:O201"/>
  <sheetViews>
    <sheetView view="pageBreakPreview" zoomScale="115" zoomScaleNormal="100" zoomScaleSheetLayoutView="115" workbookViewId="0">
      <selection activeCell="N9" sqref="N9"/>
    </sheetView>
  </sheetViews>
  <sheetFormatPr defaultRowHeight="14.5" x14ac:dyDescent="0.35"/>
  <cols>
    <col min="1" max="1" width="5.81640625" bestFit="1" customWidth="1"/>
    <col min="2" max="2" width="11.81640625" bestFit="1" customWidth="1"/>
    <col min="3" max="3" width="24.453125" bestFit="1" customWidth="1"/>
    <col min="4" max="4" width="6.1796875" bestFit="1" customWidth="1"/>
    <col min="5" max="5" width="4.453125" bestFit="1" customWidth="1"/>
    <col min="6" max="6" width="10.81640625" bestFit="1" customWidth="1"/>
    <col min="7" max="7" width="4.81640625" bestFit="1" customWidth="1"/>
    <col min="8" max="8" width="5.81640625" bestFit="1" customWidth="1"/>
    <col min="9" max="9" width="4.453125" bestFit="1" customWidth="1"/>
    <col min="10" max="10" width="2.81640625" bestFit="1" customWidth="1"/>
    <col min="11" max="12" width="23.81640625" customWidth="1"/>
    <col min="13" max="13" width="23.81640625" hidden="1" customWidth="1"/>
    <col min="14" max="14" width="12" bestFit="1" customWidth="1"/>
    <col min="15" max="15" width="43" customWidth="1"/>
  </cols>
  <sheetData>
    <row r="1" spans="1:15" x14ac:dyDescent="0.35">
      <c r="K1" t="s">
        <v>2</v>
      </c>
      <c r="L1" t="s">
        <v>125</v>
      </c>
      <c r="M1" t="s">
        <v>0</v>
      </c>
      <c r="N1" t="s">
        <v>123</v>
      </c>
      <c r="O1" t="s">
        <v>124</v>
      </c>
    </row>
    <row r="2" spans="1:15" x14ac:dyDescent="0.35">
      <c r="A2" cm="1">
        <f t="array" ref="A2:E28">_xlfn._xlws.FILTER(_xlfn.CHOOSECOLS(tbl_Fact_Sales[], 1,3,4,10,15), tbl_Fact_Sales[Divergence] ="Problem")</f>
        <v>9727</v>
      </c>
      <c r="B2" t="str">
        <v>COCA COLA</v>
      </c>
      <c r="C2" t="str">
        <v>1LT</v>
      </c>
      <c r="D2">
        <v>21</v>
      </c>
      <c r="E2">
        <v>21.5</v>
      </c>
      <c r="K2" t="str">
        <f>IF(A2&lt;&gt;0, B2, "")</f>
        <v>COCA COLA</v>
      </c>
      <c r="L2" t="str">
        <f>IF(A2&lt;&gt;"", C2, "")</f>
        <v>1LT</v>
      </c>
      <c r="M2">
        <f>IF(B2&lt;&gt;"", A2, "")</f>
        <v>9727</v>
      </c>
    </row>
    <row r="3" spans="1:15" x14ac:dyDescent="0.35">
      <c r="A3">
        <v>21554</v>
      </c>
      <c r="B3" t="str">
        <v>COCA COLA</v>
      </c>
      <c r="C3" t="str">
        <v>330ML</v>
      </c>
      <c r="D3">
        <v>12</v>
      </c>
      <c r="E3">
        <v>11.625</v>
      </c>
      <c r="K3" t="str">
        <f t="shared" ref="K3:K28" si="0">IF(A3&lt;&gt;0, B3, "")</f>
        <v>COCA COLA</v>
      </c>
      <c r="L3" t="str">
        <f t="shared" ref="L3:L28" si="1">IF(A3&lt;&gt;"", C3, "")</f>
        <v>330ML</v>
      </c>
      <c r="M3">
        <f t="shared" ref="M3:M28" si="2">IF(B3&lt;&gt;"", A3, "")</f>
        <v>21554</v>
      </c>
    </row>
    <row r="4" spans="1:15" x14ac:dyDescent="0.35">
      <c r="A4">
        <v>22364</v>
      </c>
      <c r="B4" t="str">
        <v>COCA COLA LIGHT</v>
      </c>
      <c r="C4" t="str">
        <v>330ML</v>
      </c>
      <c r="D4">
        <v>-2</v>
      </c>
      <c r="E4">
        <v>-2.25</v>
      </c>
      <c r="K4" t="str">
        <f t="shared" si="0"/>
        <v>COCA COLA LIGHT</v>
      </c>
      <c r="L4" t="str">
        <f t="shared" si="1"/>
        <v>330ML</v>
      </c>
      <c r="M4">
        <f t="shared" si="2"/>
        <v>22364</v>
      </c>
    </row>
    <row r="5" spans="1:15" x14ac:dyDescent="0.35">
      <c r="A5">
        <v>6058</v>
      </c>
      <c r="B5" t="str">
        <v>COCA COLA LIGHT</v>
      </c>
      <c r="C5" t="str">
        <v>1LT</v>
      </c>
      <c r="D5">
        <v>0</v>
      </c>
      <c r="E5">
        <v>-0.16666666666666666</v>
      </c>
      <c r="K5" t="str">
        <f t="shared" si="0"/>
        <v>COCA COLA LIGHT</v>
      </c>
      <c r="L5" t="str">
        <f t="shared" si="1"/>
        <v>1LT</v>
      </c>
      <c r="M5">
        <f t="shared" si="2"/>
        <v>6058</v>
      </c>
    </row>
    <row r="6" spans="1:15" x14ac:dyDescent="0.35">
      <c r="A6">
        <v>5500</v>
      </c>
      <c r="B6" t="str">
        <v>COCA COLA LIGHT</v>
      </c>
      <c r="C6" t="str">
        <v>500ML</v>
      </c>
      <c r="D6">
        <v>3</v>
      </c>
      <c r="E6">
        <v>5.333333333333333</v>
      </c>
      <c r="K6" t="str">
        <f t="shared" si="0"/>
        <v>COCA COLA LIGHT</v>
      </c>
      <c r="L6" t="str">
        <f t="shared" si="1"/>
        <v>500ML</v>
      </c>
      <c r="M6">
        <f t="shared" si="2"/>
        <v>5500</v>
      </c>
    </row>
    <row r="7" spans="1:15" x14ac:dyDescent="0.35">
      <c r="A7">
        <v>3889</v>
      </c>
      <c r="B7" t="str">
        <v>COCA COLA LIGHT</v>
      </c>
      <c r="C7" t="str">
        <v>2LT</v>
      </c>
      <c r="D7">
        <v>-5</v>
      </c>
      <c r="E7">
        <v>-5.333333333333333</v>
      </c>
      <c r="K7" t="str">
        <f t="shared" si="0"/>
        <v>COCA COLA LIGHT</v>
      </c>
      <c r="L7" t="str">
        <f t="shared" si="1"/>
        <v>2LT</v>
      </c>
      <c r="M7">
        <f t="shared" si="2"/>
        <v>3889</v>
      </c>
    </row>
    <row r="8" spans="1:15" x14ac:dyDescent="0.35">
      <c r="A8">
        <v>1227</v>
      </c>
      <c r="B8" t="str">
        <v>COCA COLA</v>
      </c>
      <c r="C8" t="str">
        <v>2LT</v>
      </c>
      <c r="D8">
        <v>26</v>
      </c>
      <c r="E8">
        <v>26.333333333333332</v>
      </c>
      <c r="K8" t="str">
        <f t="shared" si="0"/>
        <v>COCA COLA</v>
      </c>
      <c r="L8" t="str">
        <f t="shared" si="1"/>
        <v>2LT</v>
      </c>
      <c r="M8">
        <f t="shared" si="2"/>
        <v>1227</v>
      </c>
      <c r="N8">
        <v>49</v>
      </c>
    </row>
    <row r="9" spans="1:15" x14ac:dyDescent="0.35">
      <c r="A9">
        <v>1216</v>
      </c>
      <c r="B9" t="str">
        <v>COCA COLA</v>
      </c>
      <c r="C9" t="str">
        <v>500ML</v>
      </c>
      <c r="D9">
        <v>40</v>
      </c>
      <c r="E9">
        <v>79.333333333333329</v>
      </c>
      <c r="K9" t="str">
        <f t="shared" si="0"/>
        <v>COCA COLA</v>
      </c>
      <c r="L9" t="str">
        <f t="shared" si="1"/>
        <v>500ML</v>
      </c>
      <c r="M9">
        <f t="shared" si="2"/>
        <v>1216</v>
      </c>
    </row>
    <row r="10" spans="1:15" x14ac:dyDescent="0.35">
      <c r="A10">
        <v>26497</v>
      </c>
      <c r="B10" t="str">
        <v>COCA COLA ZERO SUG/FREE</v>
      </c>
      <c r="C10" t="str">
        <v>330ML</v>
      </c>
      <c r="D10">
        <v>1</v>
      </c>
      <c r="E10">
        <v>0.58333333333333337</v>
      </c>
      <c r="K10" t="str">
        <f t="shared" si="0"/>
        <v>COCA COLA ZERO SUG/FREE</v>
      </c>
      <c r="L10" t="str">
        <f t="shared" si="1"/>
        <v>330ML</v>
      </c>
      <c r="M10">
        <f t="shared" si="2"/>
        <v>26497</v>
      </c>
    </row>
    <row r="11" spans="1:15" x14ac:dyDescent="0.35">
      <c r="A11">
        <v>26499</v>
      </c>
      <c r="B11" t="str">
        <v>COCA COLA ZERO SUG/FREE</v>
      </c>
      <c r="C11" t="str">
        <v>1LT</v>
      </c>
      <c r="D11">
        <v>4</v>
      </c>
      <c r="E11">
        <v>4.25</v>
      </c>
      <c r="K11" t="str">
        <f t="shared" si="0"/>
        <v>COCA COLA ZERO SUG/FREE</v>
      </c>
      <c r="L11" t="str">
        <f t="shared" si="1"/>
        <v>1LT</v>
      </c>
      <c r="M11">
        <f t="shared" si="2"/>
        <v>26499</v>
      </c>
    </row>
    <row r="12" spans="1:15" x14ac:dyDescent="0.35">
      <c r="A12">
        <v>26500</v>
      </c>
      <c r="B12" t="str">
        <v>COCA COLA ZERO SUG/FREE</v>
      </c>
      <c r="C12" t="str">
        <v>2LT</v>
      </c>
      <c r="D12">
        <v>4</v>
      </c>
      <c r="E12">
        <v>4.333333333333333</v>
      </c>
      <c r="K12" t="str">
        <f t="shared" si="0"/>
        <v>COCA COLA ZERO SUG/FREE</v>
      </c>
      <c r="L12" t="str">
        <f t="shared" si="1"/>
        <v>2LT</v>
      </c>
      <c r="M12">
        <f t="shared" si="2"/>
        <v>26500</v>
      </c>
    </row>
    <row r="13" spans="1:15" x14ac:dyDescent="0.35">
      <c r="A13">
        <v>26498</v>
      </c>
      <c r="B13" t="str">
        <v>COCA COLA ZERO SUG/FREE</v>
      </c>
      <c r="C13" t="str">
        <v>500ML</v>
      </c>
      <c r="D13">
        <v>6</v>
      </c>
      <c r="E13">
        <v>11.166666666666666</v>
      </c>
      <c r="K13" t="str">
        <f t="shared" si="0"/>
        <v>COCA COLA ZERO SUG/FREE</v>
      </c>
      <c r="L13" t="str">
        <f t="shared" si="1"/>
        <v>500ML</v>
      </c>
      <c r="M13">
        <f t="shared" si="2"/>
        <v>26498</v>
      </c>
    </row>
    <row r="14" spans="1:15" x14ac:dyDescent="0.35">
      <c r="A14">
        <v>6052</v>
      </c>
      <c r="B14" t="str">
        <v>SPARLETTA IRON BREW</v>
      </c>
      <c r="C14" t="str">
        <v>2LT</v>
      </c>
      <c r="D14">
        <v>-82</v>
      </c>
      <c r="E14">
        <v>-82</v>
      </c>
      <c r="K14" t="str">
        <f t="shared" si="0"/>
        <v>SPARLETTA IRON BREW</v>
      </c>
      <c r="L14" t="str">
        <f t="shared" si="1"/>
        <v>2LT</v>
      </c>
      <c r="M14">
        <f t="shared" si="2"/>
        <v>6052</v>
      </c>
    </row>
    <row r="15" spans="1:15" x14ac:dyDescent="0.35">
      <c r="A15">
        <v>5161</v>
      </c>
      <c r="B15" t="str">
        <v>PLAY ENERGY DRINK</v>
      </c>
      <c r="C15" t="str">
        <v>250ML</v>
      </c>
      <c r="D15">
        <v>9</v>
      </c>
      <c r="E15">
        <v>9.2083333333333339</v>
      </c>
      <c r="K15" t="str">
        <f t="shared" si="0"/>
        <v>PLAY ENERGY DRINK</v>
      </c>
      <c r="L15" t="str">
        <f t="shared" si="1"/>
        <v>250ML</v>
      </c>
      <c r="M15">
        <f t="shared" si="2"/>
        <v>5161</v>
      </c>
    </row>
    <row r="16" spans="1:15" x14ac:dyDescent="0.35">
      <c r="A16">
        <v>25842</v>
      </c>
      <c r="B16" t="str">
        <v>PLAY ENERGY DRINK</v>
      </c>
      <c r="C16" t="str">
        <v>440ML</v>
      </c>
      <c r="D16">
        <v>4</v>
      </c>
      <c r="E16">
        <v>3.6666666666666665</v>
      </c>
      <c r="K16" t="str">
        <f t="shared" si="0"/>
        <v>PLAY ENERGY DRINK</v>
      </c>
      <c r="L16" t="str">
        <f t="shared" si="1"/>
        <v>440ML</v>
      </c>
      <c r="M16">
        <f t="shared" si="2"/>
        <v>25842</v>
      </c>
    </row>
    <row r="17" spans="1:13" x14ac:dyDescent="0.35">
      <c r="A17">
        <v>26260</v>
      </c>
      <c r="B17" t="str">
        <v>SPARLETTA BLACKCURRANT</v>
      </c>
      <c r="C17" t="str">
        <v>2LT</v>
      </c>
      <c r="D17">
        <v>-114</v>
      </c>
      <c r="E17">
        <v>-114</v>
      </c>
      <c r="K17" t="str">
        <f t="shared" si="0"/>
        <v>SPARLETTA BLACKCURRANT</v>
      </c>
      <c r="L17" t="str">
        <f t="shared" si="1"/>
        <v>2LT</v>
      </c>
      <c r="M17">
        <f t="shared" si="2"/>
        <v>26260</v>
      </c>
    </row>
    <row r="18" spans="1:13" x14ac:dyDescent="0.35">
      <c r="A18">
        <v>1229</v>
      </c>
      <c r="B18" t="str">
        <v>SPARLETTA CREAM SODA</v>
      </c>
      <c r="C18" t="str">
        <v>2LT</v>
      </c>
      <c r="D18">
        <v>-65</v>
      </c>
      <c r="E18">
        <v>-64.666666666666671</v>
      </c>
      <c r="K18" t="str">
        <f t="shared" si="0"/>
        <v>SPARLETTA CREAM SODA</v>
      </c>
      <c r="L18" t="str">
        <f t="shared" si="1"/>
        <v>2LT</v>
      </c>
      <c r="M18">
        <f t="shared" si="2"/>
        <v>1229</v>
      </c>
    </row>
    <row r="19" spans="1:13" x14ac:dyDescent="0.35">
      <c r="A19">
        <v>22906</v>
      </c>
      <c r="B19" t="str">
        <v>SPARLETTA IRON BREW</v>
      </c>
      <c r="C19" t="str">
        <v>330ML</v>
      </c>
      <c r="D19">
        <v>3</v>
      </c>
      <c r="E19">
        <v>2.75</v>
      </c>
      <c r="K19" t="str">
        <f t="shared" si="0"/>
        <v>SPARLETTA IRON BREW</v>
      </c>
      <c r="L19" t="str">
        <f t="shared" si="1"/>
        <v>330ML</v>
      </c>
      <c r="M19">
        <f t="shared" si="2"/>
        <v>22906</v>
      </c>
    </row>
    <row r="20" spans="1:13" x14ac:dyDescent="0.35">
      <c r="A20">
        <v>1230</v>
      </c>
      <c r="B20" t="str">
        <v>SPARLETTA PINE NUT</v>
      </c>
      <c r="C20" t="str">
        <v>2L</v>
      </c>
      <c r="D20">
        <v>66</v>
      </c>
      <c r="E20">
        <v>65.666666666666671</v>
      </c>
      <c r="K20" t="str">
        <f t="shared" si="0"/>
        <v>SPARLETTA PINE NUT</v>
      </c>
      <c r="L20" t="str">
        <f t="shared" si="1"/>
        <v>2L</v>
      </c>
      <c r="M20">
        <f t="shared" si="2"/>
        <v>1230</v>
      </c>
    </row>
    <row r="21" spans="1:13" x14ac:dyDescent="0.35">
      <c r="A21">
        <v>33115</v>
      </c>
      <c r="B21" t="str">
        <v>SPARLETTA APPLE</v>
      </c>
      <c r="C21" t="str">
        <v>2LT</v>
      </c>
      <c r="D21">
        <v>-61</v>
      </c>
      <c r="E21">
        <v>-60.833333333333336</v>
      </c>
      <c r="K21" t="str">
        <f t="shared" si="0"/>
        <v>SPARLETTA APPLE</v>
      </c>
      <c r="L21" t="str">
        <f t="shared" si="1"/>
        <v>2LT</v>
      </c>
      <c r="M21">
        <f t="shared" si="2"/>
        <v>33115</v>
      </c>
    </row>
    <row r="22" spans="1:13" x14ac:dyDescent="0.35">
      <c r="A22">
        <v>5164</v>
      </c>
      <c r="B22" t="str">
        <v>SPARLETTA SPARBERRY</v>
      </c>
      <c r="C22" t="str">
        <v>2LT</v>
      </c>
      <c r="D22">
        <v>-91</v>
      </c>
      <c r="E22">
        <v>-91</v>
      </c>
      <c r="K22" t="str">
        <f t="shared" si="0"/>
        <v>SPARLETTA SPARBERRY</v>
      </c>
      <c r="L22" t="str">
        <f t="shared" si="1"/>
        <v>2LT</v>
      </c>
      <c r="M22">
        <f t="shared" si="2"/>
        <v>5164</v>
      </c>
    </row>
    <row r="23" spans="1:13" x14ac:dyDescent="0.35">
      <c r="A23">
        <v>22900</v>
      </c>
      <c r="B23" t="str">
        <v>SPARLETTA SPARBERRY</v>
      </c>
      <c r="C23" t="str">
        <v>330ML</v>
      </c>
      <c r="D23">
        <v>-1</v>
      </c>
      <c r="E23">
        <v>-0.58333333333333337</v>
      </c>
      <c r="K23" t="str">
        <f t="shared" si="0"/>
        <v>SPARLETTA SPARBERRY</v>
      </c>
      <c r="L23" t="str">
        <f t="shared" si="1"/>
        <v>330ML</v>
      </c>
      <c r="M23">
        <f t="shared" si="2"/>
        <v>22900</v>
      </c>
    </row>
    <row r="24" spans="1:13" x14ac:dyDescent="0.35">
      <c r="A24">
        <v>6065</v>
      </c>
      <c r="B24" t="str">
        <v>SPRITE</v>
      </c>
      <c r="C24" t="str">
        <v>1LT</v>
      </c>
      <c r="D24">
        <v>2</v>
      </c>
      <c r="E24">
        <v>2.25</v>
      </c>
      <c r="K24" t="str">
        <f t="shared" si="0"/>
        <v>SPRITE</v>
      </c>
      <c r="L24" t="str">
        <f t="shared" si="1"/>
        <v>1LT</v>
      </c>
      <c r="M24">
        <f t="shared" si="2"/>
        <v>6065</v>
      </c>
    </row>
    <row r="25" spans="1:13" x14ac:dyDescent="0.35">
      <c r="A25">
        <v>22375</v>
      </c>
      <c r="B25" t="str">
        <v>SPRITE</v>
      </c>
      <c r="C25" t="str">
        <v>330ML</v>
      </c>
      <c r="D25">
        <v>6</v>
      </c>
      <c r="E25">
        <v>5.708333333333333</v>
      </c>
      <c r="K25" t="str">
        <f t="shared" si="0"/>
        <v>SPRITE</v>
      </c>
      <c r="L25" t="str">
        <f t="shared" si="1"/>
        <v>330ML</v>
      </c>
      <c r="M25">
        <f t="shared" si="2"/>
        <v>22375</v>
      </c>
    </row>
    <row r="26" spans="1:13" x14ac:dyDescent="0.35">
      <c r="A26">
        <v>2151</v>
      </c>
      <c r="B26" t="str">
        <v>SPRITE</v>
      </c>
      <c r="C26" t="str">
        <v>2LT</v>
      </c>
      <c r="D26">
        <v>8</v>
      </c>
      <c r="E26">
        <v>7.833333333333333</v>
      </c>
      <c r="K26" t="str">
        <f t="shared" si="0"/>
        <v>SPRITE</v>
      </c>
      <c r="L26" t="str">
        <f t="shared" si="1"/>
        <v>2LT</v>
      </c>
      <c r="M26">
        <f t="shared" si="2"/>
        <v>2151</v>
      </c>
    </row>
    <row r="27" spans="1:13" x14ac:dyDescent="0.35">
      <c r="A27">
        <v>2156</v>
      </c>
      <c r="B27" t="str">
        <v>SPRITE</v>
      </c>
      <c r="C27" t="str">
        <v>500ML</v>
      </c>
      <c r="D27">
        <v>4</v>
      </c>
      <c r="E27">
        <v>8</v>
      </c>
      <c r="K27" t="str">
        <f t="shared" si="0"/>
        <v>SPRITE</v>
      </c>
      <c r="L27" t="str">
        <f t="shared" si="1"/>
        <v>500ML</v>
      </c>
      <c r="M27">
        <f t="shared" si="2"/>
        <v>2156</v>
      </c>
    </row>
    <row r="28" spans="1:13" x14ac:dyDescent="0.35">
      <c r="A28">
        <v>79007</v>
      </c>
      <c r="B28" t="str">
        <v>SPRITE</v>
      </c>
      <c r="C28" t="str">
        <v>330ML</v>
      </c>
      <c r="D28">
        <v>8</v>
      </c>
      <c r="E28">
        <v>8.0416666666666661</v>
      </c>
      <c r="K28" t="str">
        <f t="shared" si="0"/>
        <v>SPRITE</v>
      </c>
      <c r="L28" t="str">
        <f t="shared" si="1"/>
        <v>330ML</v>
      </c>
      <c r="M28">
        <f t="shared" si="2"/>
        <v>79007</v>
      </c>
    </row>
    <row r="29" spans="1:13" hidden="1" x14ac:dyDescent="0.35">
      <c r="K29" t="e">
        <f>IF(#REF!&lt;&gt;"", C29, "")</f>
        <v>#REF!</v>
      </c>
      <c r="L29" t="e">
        <f>IF(#REF!&lt;&gt;"", D29, "")</f>
        <v>#REF!</v>
      </c>
    </row>
    <row r="30" spans="1:13" hidden="1" x14ac:dyDescent="0.35">
      <c r="K30" t="e">
        <f>IF(#REF!&lt;&gt;"", C30, "")</f>
        <v>#REF!</v>
      </c>
      <c r="L30" t="e">
        <f>IF(#REF!&lt;&gt;"", D30, "")</f>
        <v>#REF!</v>
      </c>
    </row>
    <row r="31" spans="1:13" hidden="1" x14ac:dyDescent="0.35">
      <c r="K31" t="e">
        <f>IF(#REF!&lt;&gt;"", C31, "")</f>
        <v>#REF!</v>
      </c>
      <c r="L31" t="e">
        <f>IF(#REF!&lt;&gt;"", D31, "")</f>
        <v>#REF!</v>
      </c>
    </row>
    <row r="32" spans="1:13" hidden="1" x14ac:dyDescent="0.35">
      <c r="K32" t="e">
        <f>IF(#REF!&lt;&gt;"", C32, "")</f>
        <v>#REF!</v>
      </c>
      <c r="L32" t="e">
        <f>IF(#REF!&lt;&gt;"", D32, "")</f>
        <v>#REF!</v>
      </c>
    </row>
    <row r="33" spans="11:12" hidden="1" x14ac:dyDescent="0.35">
      <c r="K33" t="e">
        <f>IF(#REF!&lt;&gt;"", C33, "")</f>
        <v>#REF!</v>
      </c>
      <c r="L33" t="e">
        <f>IF(#REF!&lt;&gt;"", D33, "")</f>
        <v>#REF!</v>
      </c>
    </row>
    <row r="34" spans="11:12" hidden="1" x14ac:dyDescent="0.35">
      <c r="K34" t="e">
        <f>IF(#REF!&lt;&gt;"", C34, "")</f>
        <v>#REF!</v>
      </c>
      <c r="L34" t="e">
        <f>IF(#REF!&lt;&gt;"", D34, "")</f>
        <v>#REF!</v>
      </c>
    </row>
    <row r="35" spans="11:12" hidden="1" x14ac:dyDescent="0.35">
      <c r="K35" t="e">
        <f>IF(#REF!&lt;&gt;"", C35, "")</f>
        <v>#REF!</v>
      </c>
      <c r="L35" t="e">
        <f>IF(#REF!&lt;&gt;"", D35, "")</f>
        <v>#REF!</v>
      </c>
    </row>
    <row r="36" spans="11:12" hidden="1" x14ac:dyDescent="0.35">
      <c r="K36" t="e">
        <f>IF(#REF!&lt;&gt;"", C36, "")</f>
        <v>#REF!</v>
      </c>
      <c r="L36" t="e">
        <f>IF(#REF!&lt;&gt;"", D36, "")</f>
        <v>#REF!</v>
      </c>
    </row>
    <row r="37" spans="11:12" hidden="1" x14ac:dyDescent="0.35">
      <c r="K37" t="e">
        <f>IF(#REF!&lt;&gt;"", C37, "")</f>
        <v>#REF!</v>
      </c>
      <c r="L37" t="e">
        <f>IF(#REF!&lt;&gt;"", D37, "")</f>
        <v>#REF!</v>
      </c>
    </row>
    <row r="38" spans="11:12" hidden="1" x14ac:dyDescent="0.35">
      <c r="K38" t="e">
        <f>IF(#REF!&lt;&gt;"", C38, "")</f>
        <v>#REF!</v>
      </c>
      <c r="L38" t="e">
        <f>IF(#REF!&lt;&gt;"", D38, "")</f>
        <v>#REF!</v>
      </c>
    </row>
    <row r="39" spans="11:12" hidden="1" x14ac:dyDescent="0.35">
      <c r="K39" t="e">
        <f>IF(#REF!&lt;&gt;"", C39, "")</f>
        <v>#REF!</v>
      </c>
      <c r="L39" t="e">
        <f>IF(#REF!&lt;&gt;"", D39, "")</f>
        <v>#REF!</v>
      </c>
    </row>
    <row r="40" spans="11:12" hidden="1" x14ac:dyDescent="0.35">
      <c r="K40" t="e">
        <f>IF(#REF!&lt;&gt;"", C40, "")</f>
        <v>#REF!</v>
      </c>
      <c r="L40" t="e">
        <f>IF(#REF!&lt;&gt;"", D40, "")</f>
        <v>#REF!</v>
      </c>
    </row>
    <row r="41" spans="11:12" hidden="1" x14ac:dyDescent="0.35">
      <c r="K41" t="e">
        <f>IF(#REF!&lt;&gt;"", C41, "")</f>
        <v>#REF!</v>
      </c>
      <c r="L41" t="e">
        <f>IF(#REF!&lt;&gt;"", D41, "")</f>
        <v>#REF!</v>
      </c>
    </row>
    <row r="42" spans="11:12" hidden="1" x14ac:dyDescent="0.35">
      <c r="K42" t="e">
        <f>IF(#REF!&lt;&gt;"", C42, "")</f>
        <v>#REF!</v>
      </c>
      <c r="L42" t="e">
        <f>IF(#REF!&lt;&gt;"", D42, "")</f>
        <v>#REF!</v>
      </c>
    </row>
    <row r="43" spans="11:12" hidden="1" x14ac:dyDescent="0.35">
      <c r="K43" t="e">
        <f>IF(#REF!&lt;&gt;"", C43, "")</f>
        <v>#REF!</v>
      </c>
      <c r="L43" t="e">
        <f>IF(#REF!&lt;&gt;"", D43, "")</f>
        <v>#REF!</v>
      </c>
    </row>
    <row r="44" spans="11:12" hidden="1" x14ac:dyDescent="0.35">
      <c r="K44" t="e">
        <f>IF(#REF!&lt;&gt;"", C44, "")</f>
        <v>#REF!</v>
      </c>
      <c r="L44" t="e">
        <f>IF(#REF!&lt;&gt;"", D44, "")</f>
        <v>#REF!</v>
      </c>
    </row>
    <row r="45" spans="11:12" hidden="1" x14ac:dyDescent="0.35">
      <c r="K45" t="e">
        <f>IF(#REF!&lt;&gt;"", C45, "")</f>
        <v>#REF!</v>
      </c>
      <c r="L45" t="e">
        <f>IF(#REF!&lt;&gt;"", D45, "")</f>
        <v>#REF!</v>
      </c>
    </row>
    <row r="46" spans="11:12" hidden="1" x14ac:dyDescent="0.35">
      <c r="K46" t="e">
        <f>IF(#REF!&lt;&gt;"", C46, "")</f>
        <v>#REF!</v>
      </c>
      <c r="L46" t="e">
        <f>IF(#REF!&lt;&gt;"", D46, "")</f>
        <v>#REF!</v>
      </c>
    </row>
    <row r="47" spans="11:12" hidden="1" x14ac:dyDescent="0.35">
      <c r="K47" t="e">
        <f>IF(#REF!&lt;&gt;"", C47, "")</f>
        <v>#REF!</v>
      </c>
      <c r="L47" t="e">
        <f>IF(#REF!&lt;&gt;"", D47, "")</f>
        <v>#REF!</v>
      </c>
    </row>
    <row r="48" spans="11:12" hidden="1" x14ac:dyDescent="0.35">
      <c r="K48" t="e">
        <f>IF(#REF!&lt;&gt;"", C48, "")</f>
        <v>#REF!</v>
      </c>
      <c r="L48" t="e">
        <f>IF(#REF!&lt;&gt;"", D48, "")</f>
        <v>#REF!</v>
      </c>
    </row>
    <row r="49" spans="11:12" hidden="1" x14ac:dyDescent="0.35">
      <c r="K49" t="e">
        <f>IF(#REF!&lt;&gt;"", C49, "")</f>
        <v>#REF!</v>
      </c>
      <c r="L49" t="e">
        <f>IF(#REF!&lt;&gt;"", D49, "")</f>
        <v>#REF!</v>
      </c>
    </row>
    <row r="50" spans="11:12" hidden="1" x14ac:dyDescent="0.35">
      <c r="K50" t="e">
        <f>IF(#REF!&lt;&gt;"", C50, "")</f>
        <v>#REF!</v>
      </c>
      <c r="L50" t="e">
        <f>IF(#REF!&lt;&gt;"", D50, "")</f>
        <v>#REF!</v>
      </c>
    </row>
    <row r="51" spans="11:12" hidden="1" x14ac:dyDescent="0.35">
      <c r="K51" t="e">
        <f>IF(#REF!&lt;&gt;"", C51, "")</f>
        <v>#REF!</v>
      </c>
      <c r="L51" t="e">
        <f>IF(#REF!&lt;&gt;"", D51, "")</f>
        <v>#REF!</v>
      </c>
    </row>
    <row r="52" spans="11:12" hidden="1" x14ac:dyDescent="0.35">
      <c r="K52" t="e">
        <f>IF(#REF!&lt;&gt;"", C52, "")</f>
        <v>#REF!</v>
      </c>
      <c r="L52" t="e">
        <f>IF(#REF!&lt;&gt;"", D52, "")</f>
        <v>#REF!</v>
      </c>
    </row>
    <row r="53" spans="11:12" hidden="1" x14ac:dyDescent="0.35">
      <c r="K53" t="e">
        <f>IF(#REF!&lt;&gt;"", C53, "")</f>
        <v>#REF!</v>
      </c>
      <c r="L53" t="e">
        <f>IF(#REF!&lt;&gt;"", D53, "")</f>
        <v>#REF!</v>
      </c>
    </row>
    <row r="54" spans="11:12" hidden="1" x14ac:dyDescent="0.35">
      <c r="K54" t="e">
        <f>IF(#REF!&lt;&gt;"", C54, "")</f>
        <v>#REF!</v>
      </c>
      <c r="L54" t="e">
        <f>IF(#REF!&lt;&gt;"", D54, "")</f>
        <v>#REF!</v>
      </c>
    </row>
    <row r="55" spans="11:12" hidden="1" x14ac:dyDescent="0.35">
      <c r="K55" t="e">
        <f>IF(#REF!&lt;&gt;"", C55, "")</f>
        <v>#REF!</v>
      </c>
      <c r="L55" t="e">
        <f>IF(#REF!&lt;&gt;"", D55, "")</f>
        <v>#REF!</v>
      </c>
    </row>
    <row r="56" spans="11:12" hidden="1" x14ac:dyDescent="0.35">
      <c r="K56" t="e">
        <f>IF(#REF!&lt;&gt;"", C56, "")</f>
        <v>#REF!</v>
      </c>
      <c r="L56" t="e">
        <f>IF(#REF!&lt;&gt;"", D56, "")</f>
        <v>#REF!</v>
      </c>
    </row>
    <row r="57" spans="11:12" hidden="1" x14ac:dyDescent="0.35">
      <c r="K57" t="e">
        <f>IF(#REF!&lt;&gt;"", C57, "")</f>
        <v>#REF!</v>
      </c>
      <c r="L57" t="e">
        <f>IF(#REF!&lt;&gt;"", D57, "")</f>
        <v>#REF!</v>
      </c>
    </row>
    <row r="58" spans="11:12" hidden="1" x14ac:dyDescent="0.35">
      <c r="K58" t="e">
        <f>IF(#REF!&lt;&gt;"", C58, "")</f>
        <v>#REF!</v>
      </c>
      <c r="L58" t="e">
        <f>IF(#REF!&lt;&gt;"", D58, "")</f>
        <v>#REF!</v>
      </c>
    </row>
    <row r="59" spans="11:12" hidden="1" x14ac:dyDescent="0.35">
      <c r="K59" t="e">
        <f>IF(#REF!&lt;&gt;"", C59, "")</f>
        <v>#REF!</v>
      </c>
      <c r="L59" t="e">
        <f>IF(#REF!&lt;&gt;"", D59, "")</f>
        <v>#REF!</v>
      </c>
    </row>
    <row r="60" spans="11:12" hidden="1" x14ac:dyDescent="0.35">
      <c r="K60" t="e">
        <f>IF(#REF!&lt;&gt;"", C60, "")</f>
        <v>#REF!</v>
      </c>
      <c r="L60" t="e">
        <f>IF(#REF!&lt;&gt;"", D60, "")</f>
        <v>#REF!</v>
      </c>
    </row>
    <row r="61" spans="11:12" hidden="1" x14ac:dyDescent="0.35">
      <c r="K61" t="e">
        <f>IF(#REF!&lt;&gt;"", C61, "")</f>
        <v>#REF!</v>
      </c>
      <c r="L61" t="e">
        <f>IF(#REF!&lt;&gt;"", D61, "")</f>
        <v>#REF!</v>
      </c>
    </row>
    <row r="62" spans="11:12" hidden="1" x14ac:dyDescent="0.35">
      <c r="K62" t="e">
        <f>IF(#REF!&lt;&gt;"", C62, "")</f>
        <v>#REF!</v>
      </c>
      <c r="L62" t="e">
        <f>IF(#REF!&lt;&gt;"", D62, "")</f>
        <v>#REF!</v>
      </c>
    </row>
    <row r="63" spans="11:12" hidden="1" x14ac:dyDescent="0.35">
      <c r="K63" t="e">
        <f>IF(#REF!&lt;&gt;"", C63, "")</f>
        <v>#REF!</v>
      </c>
      <c r="L63" t="e">
        <f>IF(#REF!&lt;&gt;"", D63, "")</f>
        <v>#REF!</v>
      </c>
    </row>
    <row r="64" spans="11:12" hidden="1" x14ac:dyDescent="0.35">
      <c r="K64" t="e">
        <f>IF(#REF!&lt;&gt;"", C64, "")</f>
        <v>#REF!</v>
      </c>
      <c r="L64" t="e">
        <f>IF(#REF!&lt;&gt;"", D64, "")</f>
        <v>#REF!</v>
      </c>
    </row>
    <row r="65" spans="11:12" hidden="1" x14ac:dyDescent="0.35">
      <c r="K65" t="e">
        <f>IF(#REF!&lt;&gt;"", C65, "")</f>
        <v>#REF!</v>
      </c>
      <c r="L65" t="e">
        <f>IF(#REF!&lt;&gt;"", D65, "")</f>
        <v>#REF!</v>
      </c>
    </row>
    <row r="66" spans="11:12" hidden="1" x14ac:dyDescent="0.35">
      <c r="K66" t="e">
        <f>IF(#REF!&lt;&gt;"", C66, "")</f>
        <v>#REF!</v>
      </c>
      <c r="L66" t="e">
        <f>IF(#REF!&lt;&gt;"", D66, "")</f>
        <v>#REF!</v>
      </c>
    </row>
    <row r="67" spans="11:12" hidden="1" x14ac:dyDescent="0.35">
      <c r="K67" t="e">
        <f>IF(#REF!&lt;&gt;"", C67, "")</f>
        <v>#REF!</v>
      </c>
      <c r="L67" t="e">
        <f>IF(#REF!&lt;&gt;"", D67, "")</f>
        <v>#REF!</v>
      </c>
    </row>
    <row r="68" spans="11:12" hidden="1" x14ac:dyDescent="0.35">
      <c r="K68" t="e">
        <f>IF(#REF!&lt;&gt;"", C68, "")</f>
        <v>#REF!</v>
      </c>
      <c r="L68" t="e">
        <f>IF(#REF!&lt;&gt;"", D68, "")</f>
        <v>#REF!</v>
      </c>
    </row>
    <row r="69" spans="11:12" hidden="1" x14ac:dyDescent="0.35">
      <c r="K69" t="e">
        <f>IF(#REF!&lt;&gt;"", C69, "")</f>
        <v>#REF!</v>
      </c>
      <c r="L69" t="e">
        <f>IF(#REF!&lt;&gt;"", D69, "")</f>
        <v>#REF!</v>
      </c>
    </row>
    <row r="70" spans="11:12" hidden="1" x14ac:dyDescent="0.35">
      <c r="K70" t="e">
        <f>IF(#REF!&lt;&gt;"", C70, "")</f>
        <v>#REF!</v>
      </c>
      <c r="L70" t="e">
        <f>IF(#REF!&lt;&gt;"", D70, "")</f>
        <v>#REF!</v>
      </c>
    </row>
    <row r="71" spans="11:12" hidden="1" x14ac:dyDescent="0.35">
      <c r="K71" t="e">
        <f>IF(#REF!&lt;&gt;"", C71, "")</f>
        <v>#REF!</v>
      </c>
      <c r="L71" t="e">
        <f>IF(#REF!&lt;&gt;"", D71, "")</f>
        <v>#REF!</v>
      </c>
    </row>
    <row r="72" spans="11:12" hidden="1" x14ac:dyDescent="0.35">
      <c r="K72" t="e">
        <f>IF(#REF!&lt;&gt;"", C72, "")</f>
        <v>#REF!</v>
      </c>
      <c r="L72" t="e">
        <f>IF(#REF!&lt;&gt;"", D72, "")</f>
        <v>#REF!</v>
      </c>
    </row>
    <row r="73" spans="11:12" hidden="1" x14ac:dyDescent="0.35">
      <c r="K73" t="e">
        <f>IF(#REF!&lt;&gt;"", C73, "")</f>
        <v>#REF!</v>
      </c>
      <c r="L73" t="e">
        <f>IF(#REF!&lt;&gt;"", D73, "")</f>
        <v>#REF!</v>
      </c>
    </row>
    <row r="74" spans="11:12" hidden="1" x14ac:dyDescent="0.35">
      <c r="K74" t="e">
        <f>IF(#REF!&lt;&gt;"", C74, "")</f>
        <v>#REF!</v>
      </c>
      <c r="L74" t="e">
        <f>IF(#REF!&lt;&gt;"", D74, "")</f>
        <v>#REF!</v>
      </c>
    </row>
    <row r="75" spans="11:12" hidden="1" x14ac:dyDescent="0.35">
      <c r="K75" t="e">
        <f>IF(#REF!&lt;&gt;"", C75, "")</f>
        <v>#REF!</v>
      </c>
      <c r="L75" t="e">
        <f>IF(#REF!&lt;&gt;"", D75, "")</f>
        <v>#REF!</v>
      </c>
    </row>
    <row r="76" spans="11:12" hidden="1" x14ac:dyDescent="0.35">
      <c r="K76" t="e">
        <f>IF(#REF!&lt;&gt;"", C76, "")</f>
        <v>#REF!</v>
      </c>
      <c r="L76" t="e">
        <f>IF(#REF!&lt;&gt;"", D76, "")</f>
        <v>#REF!</v>
      </c>
    </row>
    <row r="77" spans="11:12" hidden="1" x14ac:dyDescent="0.35">
      <c r="K77" t="e">
        <f>IF(#REF!&lt;&gt;"", C77, "")</f>
        <v>#REF!</v>
      </c>
      <c r="L77" t="e">
        <f>IF(#REF!&lt;&gt;"", D77, "")</f>
        <v>#REF!</v>
      </c>
    </row>
    <row r="78" spans="11:12" hidden="1" x14ac:dyDescent="0.35">
      <c r="K78" t="e">
        <f>IF(#REF!&lt;&gt;"", C78, "")</f>
        <v>#REF!</v>
      </c>
      <c r="L78" t="e">
        <f>IF(#REF!&lt;&gt;"", D78, "")</f>
        <v>#REF!</v>
      </c>
    </row>
    <row r="79" spans="11:12" hidden="1" x14ac:dyDescent="0.35">
      <c r="K79" t="e">
        <f>IF(#REF!&lt;&gt;"", C79, "")</f>
        <v>#REF!</v>
      </c>
      <c r="L79" t="e">
        <f>IF(#REF!&lt;&gt;"", D79, "")</f>
        <v>#REF!</v>
      </c>
    </row>
    <row r="80" spans="11:12" hidden="1" x14ac:dyDescent="0.35">
      <c r="K80" t="e">
        <f>IF(#REF!&lt;&gt;"", C80, "")</f>
        <v>#REF!</v>
      </c>
      <c r="L80" t="e">
        <f>IF(#REF!&lt;&gt;"", D80, "")</f>
        <v>#REF!</v>
      </c>
    </row>
    <row r="81" spans="11:12" hidden="1" x14ac:dyDescent="0.35">
      <c r="K81" t="e">
        <f>IF(#REF!&lt;&gt;"", C81, "")</f>
        <v>#REF!</v>
      </c>
      <c r="L81" t="e">
        <f>IF(#REF!&lt;&gt;"", D81, "")</f>
        <v>#REF!</v>
      </c>
    </row>
    <row r="82" spans="11:12" hidden="1" x14ac:dyDescent="0.35">
      <c r="K82" t="e">
        <f>IF(#REF!&lt;&gt;"", C82, "")</f>
        <v>#REF!</v>
      </c>
      <c r="L82" t="e">
        <f>IF(#REF!&lt;&gt;"", D82, "")</f>
        <v>#REF!</v>
      </c>
    </row>
    <row r="83" spans="11:12" hidden="1" x14ac:dyDescent="0.35">
      <c r="K83" t="e">
        <f>IF(#REF!&lt;&gt;"", C83, "")</f>
        <v>#REF!</v>
      </c>
      <c r="L83" t="e">
        <f>IF(#REF!&lt;&gt;"", D83, "")</f>
        <v>#REF!</v>
      </c>
    </row>
    <row r="84" spans="11:12" hidden="1" x14ac:dyDescent="0.35">
      <c r="K84" t="e">
        <f>IF(#REF!&lt;&gt;"", C84, "")</f>
        <v>#REF!</v>
      </c>
      <c r="L84" t="e">
        <f>IF(#REF!&lt;&gt;"", D84, "")</f>
        <v>#REF!</v>
      </c>
    </row>
    <row r="85" spans="11:12" hidden="1" x14ac:dyDescent="0.35">
      <c r="K85" t="e">
        <f>IF(#REF!&lt;&gt;"", C85, "")</f>
        <v>#REF!</v>
      </c>
      <c r="L85" t="e">
        <f>IF(#REF!&lt;&gt;"", D85, "")</f>
        <v>#REF!</v>
      </c>
    </row>
    <row r="86" spans="11:12" hidden="1" x14ac:dyDescent="0.35">
      <c r="K86" t="e">
        <f>IF(#REF!&lt;&gt;"", C86, "")</f>
        <v>#REF!</v>
      </c>
      <c r="L86" t="e">
        <f>IF(#REF!&lt;&gt;"", D86, "")</f>
        <v>#REF!</v>
      </c>
    </row>
    <row r="87" spans="11:12" hidden="1" x14ac:dyDescent="0.35">
      <c r="K87" t="e">
        <f>IF(#REF!&lt;&gt;"", C87, "")</f>
        <v>#REF!</v>
      </c>
      <c r="L87" t="e">
        <f>IF(#REF!&lt;&gt;"", D87, "")</f>
        <v>#REF!</v>
      </c>
    </row>
    <row r="88" spans="11:12" hidden="1" x14ac:dyDescent="0.35">
      <c r="K88" t="e">
        <f>IF(#REF!&lt;&gt;"", C88, "")</f>
        <v>#REF!</v>
      </c>
      <c r="L88" t="e">
        <f>IF(#REF!&lt;&gt;"", D88, "")</f>
        <v>#REF!</v>
      </c>
    </row>
    <row r="89" spans="11:12" hidden="1" x14ac:dyDescent="0.35">
      <c r="K89" t="e">
        <f>IF(#REF!&lt;&gt;"", C89, "")</f>
        <v>#REF!</v>
      </c>
      <c r="L89" t="e">
        <f>IF(#REF!&lt;&gt;"", D89, "")</f>
        <v>#REF!</v>
      </c>
    </row>
    <row r="90" spans="11:12" hidden="1" x14ac:dyDescent="0.35">
      <c r="K90" t="e">
        <f>IF(#REF!&lt;&gt;"", C90, "")</f>
        <v>#REF!</v>
      </c>
      <c r="L90" t="e">
        <f>IF(#REF!&lt;&gt;"", D90, "")</f>
        <v>#REF!</v>
      </c>
    </row>
    <row r="91" spans="11:12" hidden="1" x14ac:dyDescent="0.35">
      <c r="K91" t="e">
        <f>IF(#REF!&lt;&gt;"", C91, "")</f>
        <v>#REF!</v>
      </c>
      <c r="L91" t="e">
        <f>IF(#REF!&lt;&gt;"", D91, "")</f>
        <v>#REF!</v>
      </c>
    </row>
    <row r="92" spans="11:12" hidden="1" x14ac:dyDescent="0.35">
      <c r="K92" t="e">
        <f>IF(#REF!&lt;&gt;"", C92, "")</f>
        <v>#REF!</v>
      </c>
      <c r="L92" t="e">
        <f>IF(#REF!&lt;&gt;"", D92, "")</f>
        <v>#REF!</v>
      </c>
    </row>
    <row r="93" spans="11:12" hidden="1" x14ac:dyDescent="0.35">
      <c r="K93" t="e">
        <f>IF(#REF!&lt;&gt;"", C93, "")</f>
        <v>#REF!</v>
      </c>
      <c r="L93" t="e">
        <f>IF(#REF!&lt;&gt;"", D93, "")</f>
        <v>#REF!</v>
      </c>
    </row>
    <row r="94" spans="11:12" hidden="1" x14ac:dyDescent="0.35">
      <c r="K94" t="e">
        <f>IF(#REF!&lt;&gt;"", C94, "")</f>
        <v>#REF!</v>
      </c>
      <c r="L94" t="e">
        <f>IF(#REF!&lt;&gt;"", D94, "")</f>
        <v>#REF!</v>
      </c>
    </row>
    <row r="95" spans="11:12" hidden="1" x14ac:dyDescent="0.35">
      <c r="K95" t="e">
        <f>IF(#REF!&lt;&gt;"", C95, "")</f>
        <v>#REF!</v>
      </c>
      <c r="L95" t="e">
        <f>IF(#REF!&lt;&gt;"", D95, "")</f>
        <v>#REF!</v>
      </c>
    </row>
    <row r="96" spans="11:12" hidden="1" x14ac:dyDescent="0.35">
      <c r="K96" t="e">
        <f>IF(#REF!&lt;&gt;"", C96, "")</f>
        <v>#REF!</v>
      </c>
      <c r="L96" t="e">
        <f>IF(#REF!&lt;&gt;"", D96, "")</f>
        <v>#REF!</v>
      </c>
    </row>
    <row r="97" spans="11:12" hidden="1" x14ac:dyDescent="0.35">
      <c r="K97" t="e">
        <f>IF(#REF!&lt;&gt;"", C97, "")</f>
        <v>#REF!</v>
      </c>
      <c r="L97" t="e">
        <f>IF(#REF!&lt;&gt;"", D97, "")</f>
        <v>#REF!</v>
      </c>
    </row>
    <row r="98" spans="11:12" hidden="1" x14ac:dyDescent="0.35">
      <c r="K98" t="e">
        <f>IF(#REF!&lt;&gt;"", C98, "")</f>
        <v>#REF!</v>
      </c>
      <c r="L98" t="e">
        <f>IF(#REF!&lt;&gt;"", D98, "")</f>
        <v>#REF!</v>
      </c>
    </row>
    <row r="99" spans="11:12" hidden="1" x14ac:dyDescent="0.35">
      <c r="K99" t="e">
        <f>IF(#REF!&lt;&gt;"", C99, "")</f>
        <v>#REF!</v>
      </c>
      <c r="L99" t="e">
        <f>IF(#REF!&lt;&gt;"", D99, "")</f>
        <v>#REF!</v>
      </c>
    </row>
    <row r="100" spans="11:12" hidden="1" x14ac:dyDescent="0.35">
      <c r="K100" t="e">
        <f>IF(#REF!&lt;&gt;"", C100, "")</f>
        <v>#REF!</v>
      </c>
      <c r="L100" t="e">
        <f>IF(#REF!&lt;&gt;"", D100, "")</f>
        <v>#REF!</v>
      </c>
    </row>
    <row r="101" spans="11:12" hidden="1" x14ac:dyDescent="0.35">
      <c r="K101" t="e">
        <f>IF(#REF!&lt;&gt;"", C101, "")</f>
        <v>#REF!</v>
      </c>
      <c r="L101" t="e">
        <f>IF(#REF!&lt;&gt;"", D101, "")</f>
        <v>#REF!</v>
      </c>
    </row>
    <row r="102" spans="11:12" hidden="1" x14ac:dyDescent="0.35">
      <c r="K102" t="e">
        <f>IF(#REF!&lt;&gt;"", C102, "")</f>
        <v>#REF!</v>
      </c>
      <c r="L102" t="e">
        <f>IF(#REF!&lt;&gt;"", D102, "")</f>
        <v>#REF!</v>
      </c>
    </row>
    <row r="103" spans="11:12" hidden="1" x14ac:dyDescent="0.35">
      <c r="K103" t="e">
        <f>IF(#REF!&lt;&gt;"", C103, "")</f>
        <v>#REF!</v>
      </c>
      <c r="L103" t="e">
        <f>IF(#REF!&lt;&gt;"", D103, "")</f>
        <v>#REF!</v>
      </c>
    </row>
    <row r="104" spans="11:12" hidden="1" x14ac:dyDescent="0.35">
      <c r="K104" t="e">
        <f>IF(#REF!&lt;&gt;"", C104, "")</f>
        <v>#REF!</v>
      </c>
      <c r="L104" t="e">
        <f>IF(#REF!&lt;&gt;"", D104, "")</f>
        <v>#REF!</v>
      </c>
    </row>
    <row r="105" spans="11:12" hidden="1" x14ac:dyDescent="0.35">
      <c r="K105" t="e">
        <f>IF(#REF!&lt;&gt;"", C105, "")</f>
        <v>#REF!</v>
      </c>
      <c r="L105" t="e">
        <f>IF(#REF!&lt;&gt;"", D105, "")</f>
        <v>#REF!</v>
      </c>
    </row>
    <row r="106" spans="11:12" hidden="1" x14ac:dyDescent="0.35">
      <c r="K106" t="e">
        <f>IF(#REF!&lt;&gt;"", C106, "")</f>
        <v>#REF!</v>
      </c>
      <c r="L106" t="e">
        <f>IF(#REF!&lt;&gt;"", D106, "")</f>
        <v>#REF!</v>
      </c>
    </row>
    <row r="107" spans="11:12" hidden="1" x14ac:dyDescent="0.35">
      <c r="K107" t="e">
        <f>IF(#REF!&lt;&gt;"", C107, "")</f>
        <v>#REF!</v>
      </c>
      <c r="L107" t="e">
        <f>IF(#REF!&lt;&gt;"", D107, "")</f>
        <v>#REF!</v>
      </c>
    </row>
    <row r="108" spans="11:12" hidden="1" x14ac:dyDescent="0.35">
      <c r="K108" t="e">
        <f>IF(#REF!&lt;&gt;"", C108, "")</f>
        <v>#REF!</v>
      </c>
      <c r="L108" t="e">
        <f>IF(#REF!&lt;&gt;"", D108, "")</f>
        <v>#REF!</v>
      </c>
    </row>
    <row r="109" spans="11:12" hidden="1" x14ac:dyDescent="0.35">
      <c r="K109" t="e">
        <f>IF(#REF!&lt;&gt;"", C109, "")</f>
        <v>#REF!</v>
      </c>
      <c r="L109" t="e">
        <f>IF(#REF!&lt;&gt;"", D109, "")</f>
        <v>#REF!</v>
      </c>
    </row>
    <row r="110" spans="11:12" hidden="1" x14ac:dyDescent="0.35">
      <c r="K110" t="e">
        <f>IF(#REF!&lt;&gt;"", C110, "")</f>
        <v>#REF!</v>
      </c>
      <c r="L110" t="e">
        <f>IF(#REF!&lt;&gt;"", D110, "")</f>
        <v>#REF!</v>
      </c>
    </row>
    <row r="111" spans="11:12" hidden="1" x14ac:dyDescent="0.35">
      <c r="K111" t="e">
        <f>IF(#REF!&lt;&gt;"", C111, "")</f>
        <v>#REF!</v>
      </c>
      <c r="L111" t="e">
        <f>IF(#REF!&lt;&gt;"", D111, "")</f>
        <v>#REF!</v>
      </c>
    </row>
    <row r="112" spans="11:12" hidden="1" x14ac:dyDescent="0.35">
      <c r="K112" t="e">
        <f>IF(#REF!&lt;&gt;"", C112, "")</f>
        <v>#REF!</v>
      </c>
      <c r="L112" t="e">
        <f>IF(#REF!&lt;&gt;"", D112, "")</f>
        <v>#REF!</v>
      </c>
    </row>
    <row r="113" spans="11:12" hidden="1" x14ac:dyDescent="0.35">
      <c r="K113" t="e">
        <f>IF(#REF!&lt;&gt;"", C113, "")</f>
        <v>#REF!</v>
      </c>
      <c r="L113" t="e">
        <f>IF(#REF!&lt;&gt;"", D113, "")</f>
        <v>#REF!</v>
      </c>
    </row>
    <row r="114" spans="11:12" hidden="1" x14ac:dyDescent="0.35">
      <c r="K114" t="e">
        <f>IF(#REF!&lt;&gt;"", C114, "")</f>
        <v>#REF!</v>
      </c>
      <c r="L114" t="e">
        <f>IF(#REF!&lt;&gt;"", D114, "")</f>
        <v>#REF!</v>
      </c>
    </row>
    <row r="115" spans="11:12" hidden="1" x14ac:dyDescent="0.35">
      <c r="K115" t="e">
        <f>IF(#REF!&lt;&gt;"", C115, "")</f>
        <v>#REF!</v>
      </c>
      <c r="L115" t="e">
        <f>IF(#REF!&lt;&gt;"", D115, "")</f>
        <v>#REF!</v>
      </c>
    </row>
    <row r="116" spans="11:12" hidden="1" x14ac:dyDescent="0.35">
      <c r="K116" t="e">
        <f>IF(#REF!&lt;&gt;"", C116, "")</f>
        <v>#REF!</v>
      </c>
      <c r="L116" t="e">
        <f>IF(#REF!&lt;&gt;"", D116, "")</f>
        <v>#REF!</v>
      </c>
    </row>
    <row r="117" spans="11:12" hidden="1" x14ac:dyDescent="0.35">
      <c r="K117" t="e">
        <f>IF(#REF!&lt;&gt;"", C117, "")</f>
        <v>#REF!</v>
      </c>
      <c r="L117" t="e">
        <f>IF(#REF!&lt;&gt;"", D117, "")</f>
        <v>#REF!</v>
      </c>
    </row>
    <row r="118" spans="11:12" hidden="1" x14ac:dyDescent="0.35">
      <c r="K118" t="e">
        <f>IF(#REF!&lt;&gt;"", C118, "")</f>
        <v>#REF!</v>
      </c>
      <c r="L118" t="e">
        <f>IF(#REF!&lt;&gt;"", D118, "")</f>
        <v>#REF!</v>
      </c>
    </row>
    <row r="119" spans="11:12" hidden="1" x14ac:dyDescent="0.35">
      <c r="K119" t="e">
        <f>IF(#REF!&lt;&gt;"", C119, "")</f>
        <v>#REF!</v>
      </c>
      <c r="L119" t="e">
        <f>IF(#REF!&lt;&gt;"", D119, "")</f>
        <v>#REF!</v>
      </c>
    </row>
    <row r="120" spans="11:12" hidden="1" x14ac:dyDescent="0.35">
      <c r="K120" t="e">
        <f>IF(#REF!&lt;&gt;"", C120, "")</f>
        <v>#REF!</v>
      </c>
      <c r="L120" t="e">
        <f>IF(#REF!&lt;&gt;"", D120, "")</f>
        <v>#REF!</v>
      </c>
    </row>
    <row r="121" spans="11:12" hidden="1" x14ac:dyDescent="0.35">
      <c r="K121" t="e">
        <f>IF(#REF!&lt;&gt;"", C121, "")</f>
        <v>#REF!</v>
      </c>
      <c r="L121" t="e">
        <f>IF(#REF!&lt;&gt;"", D121, "")</f>
        <v>#REF!</v>
      </c>
    </row>
    <row r="122" spans="11:12" hidden="1" x14ac:dyDescent="0.35">
      <c r="K122" t="e">
        <f>IF(#REF!&lt;&gt;"", C122, "")</f>
        <v>#REF!</v>
      </c>
      <c r="L122" t="e">
        <f>IF(#REF!&lt;&gt;"", D122, "")</f>
        <v>#REF!</v>
      </c>
    </row>
    <row r="123" spans="11:12" hidden="1" x14ac:dyDescent="0.35">
      <c r="K123" t="e">
        <f>IF(#REF!&lt;&gt;"", C123, "")</f>
        <v>#REF!</v>
      </c>
      <c r="L123" t="e">
        <f>IF(#REF!&lt;&gt;"", D123, "")</f>
        <v>#REF!</v>
      </c>
    </row>
    <row r="124" spans="11:12" hidden="1" x14ac:dyDescent="0.35">
      <c r="K124" t="e">
        <f>IF(#REF!&lt;&gt;"", C124, "")</f>
        <v>#REF!</v>
      </c>
      <c r="L124" t="e">
        <f>IF(#REF!&lt;&gt;"", D124, "")</f>
        <v>#REF!</v>
      </c>
    </row>
    <row r="125" spans="11:12" hidden="1" x14ac:dyDescent="0.35">
      <c r="K125" t="e">
        <f>IF(#REF!&lt;&gt;"", C125, "")</f>
        <v>#REF!</v>
      </c>
      <c r="L125" t="e">
        <f>IF(#REF!&lt;&gt;"", D125, "")</f>
        <v>#REF!</v>
      </c>
    </row>
    <row r="126" spans="11:12" hidden="1" x14ac:dyDescent="0.35">
      <c r="K126" t="e">
        <f>IF(#REF!&lt;&gt;"", C126, "")</f>
        <v>#REF!</v>
      </c>
      <c r="L126" t="e">
        <f>IF(#REF!&lt;&gt;"", D126, "")</f>
        <v>#REF!</v>
      </c>
    </row>
    <row r="127" spans="11:12" hidden="1" x14ac:dyDescent="0.35">
      <c r="K127" t="e">
        <f>IF(#REF!&lt;&gt;"", C127, "")</f>
        <v>#REF!</v>
      </c>
      <c r="L127" t="e">
        <f>IF(#REF!&lt;&gt;"", D127, "")</f>
        <v>#REF!</v>
      </c>
    </row>
    <row r="128" spans="11:12" hidden="1" x14ac:dyDescent="0.35">
      <c r="K128" t="e">
        <f>IF(#REF!&lt;&gt;"", C128, "")</f>
        <v>#REF!</v>
      </c>
      <c r="L128" t="e">
        <f>IF(#REF!&lt;&gt;"", D128, "")</f>
        <v>#REF!</v>
      </c>
    </row>
    <row r="129" spans="11:12" hidden="1" x14ac:dyDescent="0.35">
      <c r="K129" t="e">
        <f>IF(#REF!&lt;&gt;"", C129, "")</f>
        <v>#REF!</v>
      </c>
      <c r="L129" t="e">
        <f>IF(#REF!&lt;&gt;"", D129, "")</f>
        <v>#REF!</v>
      </c>
    </row>
    <row r="130" spans="11:12" hidden="1" x14ac:dyDescent="0.35">
      <c r="K130" t="e">
        <f>IF(#REF!&lt;&gt;"", C130, "")</f>
        <v>#REF!</v>
      </c>
      <c r="L130" t="e">
        <f>IF(#REF!&lt;&gt;"", D130, "")</f>
        <v>#REF!</v>
      </c>
    </row>
    <row r="131" spans="11:12" hidden="1" x14ac:dyDescent="0.35">
      <c r="K131" t="e">
        <f>IF(#REF!&lt;&gt;"", C131, "")</f>
        <v>#REF!</v>
      </c>
      <c r="L131" t="e">
        <f>IF(#REF!&lt;&gt;"", D131, "")</f>
        <v>#REF!</v>
      </c>
    </row>
    <row r="132" spans="11:12" hidden="1" x14ac:dyDescent="0.35">
      <c r="K132" t="e">
        <f>IF(#REF!&lt;&gt;"", C132, "")</f>
        <v>#REF!</v>
      </c>
      <c r="L132" t="e">
        <f>IF(#REF!&lt;&gt;"", D132, "")</f>
        <v>#REF!</v>
      </c>
    </row>
    <row r="133" spans="11:12" hidden="1" x14ac:dyDescent="0.35">
      <c r="K133" t="e">
        <f>IF(#REF!&lt;&gt;"", C133, "")</f>
        <v>#REF!</v>
      </c>
      <c r="L133" t="e">
        <f>IF(#REF!&lt;&gt;"", D133, "")</f>
        <v>#REF!</v>
      </c>
    </row>
    <row r="134" spans="11:12" hidden="1" x14ac:dyDescent="0.35">
      <c r="K134" t="e">
        <f>IF(#REF!&lt;&gt;"", C134, "")</f>
        <v>#REF!</v>
      </c>
      <c r="L134" t="e">
        <f>IF(#REF!&lt;&gt;"", D134, "")</f>
        <v>#REF!</v>
      </c>
    </row>
    <row r="135" spans="11:12" hidden="1" x14ac:dyDescent="0.35">
      <c r="K135" t="e">
        <f>IF(#REF!&lt;&gt;"", C135, "")</f>
        <v>#REF!</v>
      </c>
      <c r="L135" t="e">
        <f>IF(#REF!&lt;&gt;"", D135, "")</f>
        <v>#REF!</v>
      </c>
    </row>
    <row r="136" spans="11:12" hidden="1" x14ac:dyDescent="0.35">
      <c r="K136" t="e">
        <f>IF(#REF!&lt;&gt;"", C136, "")</f>
        <v>#REF!</v>
      </c>
      <c r="L136" t="e">
        <f>IF(#REF!&lt;&gt;"", D136, "")</f>
        <v>#REF!</v>
      </c>
    </row>
    <row r="137" spans="11:12" hidden="1" x14ac:dyDescent="0.35">
      <c r="K137" t="e">
        <f>IF(#REF!&lt;&gt;"", C137, "")</f>
        <v>#REF!</v>
      </c>
      <c r="L137" t="e">
        <f>IF(#REF!&lt;&gt;"", D137, "")</f>
        <v>#REF!</v>
      </c>
    </row>
    <row r="138" spans="11:12" hidden="1" x14ac:dyDescent="0.35">
      <c r="K138" t="e">
        <f>IF(#REF!&lt;&gt;"", C138, "")</f>
        <v>#REF!</v>
      </c>
      <c r="L138" t="e">
        <f>IF(#REF!&lt;&gt;"", D138, "")</f>
        <v>#REF!</v>
      </c>
    </row>
    <row r="139" spans="11:12" hidden="1" x14ac:dyDescent="0.35">
      <c r="K139" t="e">
        <f>IF(#REF!&lt;&gt;"", C139, "")</f>
        <v>#REF!</v>
      </c>
      <c r="L139" t="e">
        <f>IF(#REF!&lt;&gt;"", D139, "")</f>
        <v>#REF!</v>
      </c>
    </row>
    <row r="140" spans="11:12" hidden="1" x14ac:dyDescent="0.35">
      <c r="K140" t="e">
        <f>IF(#REF!&lt;&gt;"", C140, "")</f>
        <v>#REF!</v>
      </c>
      <c r="L140" t="e">
        <f>IF(#REF!&lt;&gt;"", D140, "")</f>
        <v>#REF!</v>
      </c>
    </row>
    <row r="141" spans="11:12" hidden="1" x14ac:dyDescent="0.35">
      <c r="K141" t="e">
        <f>IF(#REF!&lt;&gt;"", C141, "")</f>
        <v>#REF!</v>
      </c>
      <c r="L141" t="e">
        <f>IF(#REF!&lt;&gt;"", D141, "")</f>
        <v>#REF!</v>
      </c>
    </row>
    <row r="142" spans="11:12" hidden="1" x14ac:dyDescent="0.35">
      <c r="K142" t="e">
        <f>IF(#REF!&lt;&gt;"", C142, "")</f>
        <v>#REF!</v>
      </c>
      <c r="L142" t="e">
        <f>IF(#REF!&lt;&gt;"", D142, "")</f>
        <v>#REF!</v>
      </c>
    </row>
    <row r="143" spans="11:12" hidden="1" x14ac:dyDescent="0.35">
      <c r="K143" t="e">
        <f>IF(#REF!&lt;&gt;"", C143, "")</f>
        <v>#REF!</v>
      </c>
      <c r="L143" t="e">
        <f>IF(#REF!&lt;&gt;"", D143, "")</f>
        <v>#REF!</v>
      </c>
    </row>
    <row r="144" spans="11:12" hidden="1" x14ac:dyDescent="0.35">
      <c r="K144" t="e">
        <f>IF(#REF!&lt;&gt;"", C144, "")</f>
        <v>#REF!</v>
      </c>
      <c r="L144" t="e">
        <f>IF(#REF!&lt;&gt;"", D144, "")</f>
        <v>#REF!</v>
      </c>
    </row>
    <row r="145" spans="11:12" hidden="1" x14ac:dyDescent="0.35">
      <c r="K145" t="e">
        <f>IF(#REF!&lt;&gt;"", C145, "")</f>
        <v>#REF!</v>
      </c>
      <c r="L145" t="e">
        <f>IF(#REF!&lt;&gt;"", D145, "")</f>
        <v>#REF!</v>
      </c>
    </row>
    <row r="146" spans="11:12" hidden="1" x14ac:dyDescent="0.35">
      <c r="K146" t="e">
        <f>IF(#REF!&lt;&gt;"", C146, "")</f>
        <v>#REF!</v>
      </c>
      <c r="L146" t="e">
        <f>IF(#REF!&lt;&gt;"", D146, "")</f>
        <v>#REF!</v>
      </c>
    </row>
    <row r="147" spans="11:12" hidden="1" x14ac:dyDescent="0.35">
      <c r="K147" t="e">
        <f>IF(#REF!&lt;&gt;"", C147, "")</f>
        <v>#REF!</v>
      </c>
      <c r="L147" t="e">
        <f>IF(#REF!&lt;&gt;"", D147, "")</f>
        <v>#REF!</v>
      </c>
    </row>
    <row r="148" spans="11:12" hidden="1" x14ac:dyDescent="0.35">
      <c r="K148" t="e">
        <f>IF(#REF!&lt;&gt;"", C148, "")</f>
        <v>#REF!</v>
      </c>
      <c r="L148" t="e">
        <f>IF(#REF!&lt;&gt;"", D148, "")</f>
        <v>#REF!</v>
      </c>
    </row>
    <row r="149" spans="11:12" hidden="1" x14ac:dyDescent="0.35">
      <c r="K149" t="e">
        <f>IF(#REF!&lt;&gt;"", C149, "")</f>
        <v>#REF!</v>
      </c>
      <c r="L149" t="e">
        <f>IF(#REF!&lt;&gt;"", D149, "")</f>
        <v>#REF!</v>
      </c>
    </row>
    <row r="150" spans="11:12" hidden="1" x14ac:dyDescent="0.35">
      <c r="K150" t="e">
        <f>IF(#REF!&lt;&gt;"", C150, "")</f>
        <v>#REF!</v>
      </c>
      <c r="L150" t="e">
        <f>IF(#REF!&lt;&gt;"", D150, "")</f>
        <v>#REF!</v>
      </c>
    </row>
    <row r="151" spans="11:12" hidden="1" x14ac:dyDescent="0.35">
      <c r="K151" t="e">
        <f>IF(#REF!&lt;&gt;"", C151, "")</f>
        <v>#REF!</v>
      </c>
      <c r="L151" t="e">
        <f>IF(#REF!&lt;&gt;"", D151, "")</f>
        <v>#REF!</v>
      </c>
    </row>
    <row r="152" spans="11:12" hidden="1" x14ac:dyDescent="0.35">
      <c r="K152" t="e">
        <f>IF(#REF!&lt;&gt;"", C152, "")</f>
        <v>#REF!</v>
      </c>
      <c r="L152" t="e">
        <f>IF(#REF!&lt;&gt;"", D152, "")</f>
        <v>#REF!</v>
      </c>
    </row>
    <row r="153" spans="11:12" hidden="1" x14ac:dyDescent="0.35">
      <c r="K153" t="e">
        <f>IF(#REF!&lt;&gt;"", C153, "")</f>
        <v>#REF!</v>
      </c>
      <c r="L153" t="e">
        <f>IF(#REF!&lt;&gt;"", D153, "")</f>
        <v>#REF!</v>
      </c>
    </row>
    <row r="154" spans="11:12" hidden="1" x14ac:dyDescent="0.35">
      <c r="K154" t="e">
        <f>IF(#REF!&lt;&gt;"", C154, "")</f>
        <v>#REF!</v>
      </c>
      <c r="L154" t="e">
        <f>IF(#REF!&lt;&gt;"", D154, "")</f>
        <v>#REF!</v>
      </c>
    </row>
    <row r="155" spans="11:12" hidden="1" x14ac:dyDescent="0.35">
      <c r="K155" t="e">
        <f>IF(#REF!&lt;&gt;"", C155, "")</f>
        <v>#REF!</v>
      </c>
      <c r="L155" t="e">
        <f>IF(#REF!&lt;&gt;"", D155, "")</f>
        <v>#REF!</v>
      </c>
    </row>
    <row r="156" spans="11:12" hidden="1" x14ac:dyDescent="0.35">
      <c r="K156" t="e">
        <f>IF(#REF!&lt;&gt;"", C156, "")</f>
        <v>#REF!</v>
      </c>
      <c r="L156" t="e">
        <f>IF(#REF!&lt;&gt;"", D156, "")</f>
        <v>#REF!</v>
      </c>
    </row>
    <row r="157" spans="11:12" hidden="1" x14ac:dyDescent="0.35">
      <c r="K157" t="e">
        <f>IF(#REF!&lt;&gt;"", C157, "")</f>
        <v>#REF!</v>
      </c>
      <c r="L157" t="e">
        <f>IF(#REF!&lt;&gt;"", D157, "")</f>
        <v>#REF!</v>
      </c>
    </row>
    <row r="158" spans="11:12" hidden="1" x14ac:dyDescent="0.35">
      <c r="K158" t="e">
        <f>IF(#REF!&lt;&gt;"", C158, "")</f>
        <v>#REF!</v>
      </c>
      <c r="L158" t="e">
        <f>IF(#REF!&lt;&gt;"", D158, "")</f>
        <v>#REF!</v>
      </c>
    </row>
    <row r="159" spans="11:12" hidden="1" x14ac:dyDescent="0.35">
      <c r="K159" t="e">
        <f>IF(#REF!&lt;&gt;"", C159, "")</f>
        <v>#REF!</v>
      </c>
      <c r="L159" t="e">
        <f>IF(#REF!&lt;&gt;"", D159, "")</f>
        <v>#REF!</v>
      </c>
    </row>
    <row r="160" spans="11:12" hidden="1" x14ac:dyDescent="0.35">
      <c r="K160" t="e">
        <f>IF(#REF!&lt;&gt;"", C160, "")</f>
        <v>#REF!</v>
      </c>
      <c r="L160" t="e">
        <f>IF(#REF!&lt;&gt;"", D160, "")</f>
        <v>#REF!</v>
      </c>
    </row>
    <row r="161" spans="11:12" hidden="1" x14ac:dyDescent="0.35">
      <c r="K161" t="e">
        <f>IF(#REF!&lt;&gt;"", C161, "")</f>
        <v>#REF!</v>
      </c>
      <c r="L161" t="e">
        <f>IF(#REF!&lt;&gt;"", D161, "")</f>
        <v>#REF!</v>
      </c>
    </row>
    <row r="162" spans="11:12" hidden="1" x14ac:dyDescent="0.35">
      <c r="K162" t="e">
        <f>IF(#REF!&lt;&gt;"", C162, "")</f>
        <v>#REF!</v>
      </c>
      <c r="L162" t="e">
        <f>IF(#REF!&lt;&gt;"", D162, "")</f>
        <v>#REF!</v>
      </c>
    </row>
    <row r="163" spans="11:12" hidden="1" x14ac:dyDescent="0.35">
      <c r="K163" t="e">
        <f>IF(#REF!&lt;&gt;"", C163, "")</f>
        <v>#REF!</v>
      </c>
      <c r="L163" t="e">
        <f>IF(#REF!&lt;&gt;"", D163, "")</f>
        <v>#REF!</v>
      </c>
    </row>
    <row r="164" spans="11:12" hidden="1" x14ac:dyDescent="0.35">
      <c r="K164" t="e">
        <f>IF(#REF!&lt;&gt;"", C164, "")</f>
        <v>#REF!</v>
      </c>
      <c r="L164" t="e">
        <f>IF(#REF!&lt;&gt;"", D164, "")</f>
        <v>#REF!</v>
      </c>
    </row>
    <row r="165" spans="11:12" hidden="1" x14ac:dyDescent="0.35">
      <c r="K165" t="e">
        <f>IF(#REF!&lt;&gt;"", C165, "")</f>
        <v>#REF!</v>
      </c>
      <c r="L165" t="e">
        <f>IF(#REF!&lt;&gt;"", D165, "")</f>
        <v>#REF!</v>
      </c>
    </row>
    <row r="166" spans="11:12" hidden="1" x14ac:dyDescent="0.35">
      <c r="K166" t="e">
        <f>IF(#REF!&lt;&gt;"", C166, "")</f>
        <v>#REF!</v>
      </c>
      <c r="L166" t="e">
        <f>IF(#REF!&lt;&gt;"", D166, "")</f>
        <v>#REF!</v>
      </c>
    </row>
    <row r="167" spans="11:12" hidden="1" x14ac:dyDescent="0.35">
      <c r="K167" t="e">
        <f>IF(#REF!&lt;&gt;"", C167, "")</f>
        <v>#REF!</v>
      </c>
      <c r="L167" t="e">
        <f>IF(#REF!&lt;&gt;"", D167, "")</f>
        <v>#REF!</v>
      </c>
    </row>
    <row r="168" spans="11:12" hidden="1" x14ac:dyDescent="0.35">
      <c r="K168" t="e">
        <f>IF(#REF!&lt;&gt;"", C168, "")</f>
        <v>#REF!</v>
      </c>
      <c r="L168" t="e">
        <f>IF(#REF!&lt;&gt;"", D168, "")</f>
        <v>#REF!</v>
      </c>
    </row>
    <row r="169" spans="11:12" hidden="1" x14ac:dyDescent="0.35">
      <c r="K169" t="e">
        <f>IF(#REF!&lt;&gt;"", C169, "")</f>
        <v>#REF!</v>
      </c>
      <c r="L169" t="e">
        <f>IF(#REF!&lt;&gt;"", D169, "")</f>
        <v>#REF!</v>
      </c>
    </row>
    <row r="170" spans="11:12" hidden="1" x14ac:dyDescent="0.35">
      <c r="K170" t="e">
        <f>IF(#REF!&lt;&gt;"", C170, "")</f>
        <v>#REF!</v>
      </c>
      <c r="L170" t="e">
        <f>IF(#REF!&lt;&gt;"", D170, "")</f>
        <v>#REF!</v>
      </c>
    </row>
    <row r="171" spans="11:12" hidden="1" x14ac:dyDescent="0.35">
      <c r="K171" t="e">
        <f>IF(#REF!&lt;&gt;"", C171, "")</f>
        <v>#REF!</v>
      </c>
      <c r="L171" t="e">
        <f>IF(#REF!&lt;&gt;"", D171, "")</f>
        <v>#REF!</v>
      </c>
    </row>
    <row r="172" spans="11:12" hidden="1" x14ac:dyDescent="0.35">
      <c r="K172" t="e">
        <f>IF(#REF!&lt;&gt;"", C172, "")</f>
        <v>#REF!</v>
      </c>
      <c r="L172" t="e">
        <f>IF(#REF!&lt;&gt;"", D172, "")</f>
        <v>#REF!</v>
      </c>
    </row>
    <row r="173" spans="11:12" hidden="1" x14ac:dyDescent="0.35">
      <c r="K173" t="e">
        <f>IF(#REF!&lt;&gt;"", C173, "")</f>
        <v>#REF!</v>
      </c>
      <c r="L173" t="e">
        <f>IF(#REF!&lt;&gt;"", D173, "")</f>
        <v>#REF!</v>
      </c>
    </row>
    <row r="174" spans="11:12" hidden="1" x14ac:dyDescent="0.35">
      <c r="K174" t="e">
        <f>IF(#REF!&lt;&gt;"", C174, "")</f>
        <v>#REF!</v>
      </c>
      <c r="L174" t="e">
        <f>IF(#REF!&lt;&gt;"", D174, "")</f>
        <v>#REF!</v>
      </c>
    </row>
    <row r="175" spans="11:12" hidden="1" x14ac:dyDescent="0.35">
      <c r="K175" t="e">
        <f>IF(#REF!&lt;&gt;"", C175, "")</f>
        <v>#REF!</v>
      </c>
      <c r="L175" t="e">
        <f>IF(#REF!&lt;&gt;"", D175, "")</f>
        <v>#REF!</v>
      </c>
    </row>
    <row r="176" spans="11:12" hidden="1" x14ac:dyDescent="0.35">
      <c r="K176" t="e">
        <f>IF(#REF!&lt;&gt;"", C176, "")</f>
        <v>#REF!</v>
      </c>
      <c r="L176" t="e">
        <f>IF(#REF!&lt;&gt;"", D176, "")</f>
        <v>#REF!</v>
      </c>
    </row>
    <row r="177" spans="11:12" hidden="1" x14ac:dyDescent="0.35">
      <c r="K177" t="e">
        <f>IF(#REF!&lt;&gt;"", C177, "")</f>
        <v>#REF!</v>
      </c>
      <c r="L177" t="e">
        <f>IF(#REF!&lt;&gt;"", D177, "")</f>
        <v>#REF!</v>
      </c>
    </row>
    <row r="178" spans="11:12" hidden="1" x14ac:dyDescent="0.35">
      <c r="K178" t="e">
        <f>IF(#REF!&lt;&gt;"", C178, "")</f>
        <v>#REF!</v>
      </c>
      <c r="L178" t="e">
        <f>IF(#REF!&lt;&gt;"", D178, "")</f>
        <v>#REF!</v>
      </c>
    </row>
    <row r="179" spans="11:12" hidden="1" x14ac:dyDescent="0.35">
      <c r="K179" t="e">
        <f>IF(#REF!&lt;&gt;"", C179, "")</f>
        <v>#REF!</v>
      </c>
      <c r="L179" t="e">
        <f>IF(#REF!&lt;&gt;"", D179, "")</f>
        <v>#REF!</v>
      </c>
    </row>
    <row r="180" spans="11:12" hidden="1" x14ac:dyDescent="0.35">
      <c r="K180" t="e">
        <f>IF(#REF!&lt;&gt;"", C180, "")</f>
        <v>#REF!</v>
      </c>
      <c r="L180" t="e">
        <f>IF(#REF!&lt;&gt;"", D180, "")</f>
        <v>#REF!</v>
      </c>
    </row>
    <row r="181" spans="11:12" hidden="1" x14ac:dyDescent="0.35">
      <c r="K181" t="e">
        <f>IF(#REF!&lt;&gt;"", C181, "")</f>
        <v>#REF!</v>
      </c>
      <c r="L181" t="e">
        <f>IF(#REF!&lt;&gt;"", D181, "")</f>
        <v>#REF!</v>
      </c>
    </row>
    <row r="182" spans="11:12" hidden="1" x14ac:dyDescent="0.35">
      <c r="K182" t="e">
        <f>IF(#REF!&lt;&gt;"", C182, "")</f>
        <v>#REF!</v>
      </c>
      <c r="L182" t="e">
        <f>IF(#REF!&lt;&gt;"", D182, "")</f>
        <v>#REF!</v>
      </c>
    </row>
    <row r="183" spans="11:12" hidden="1" x14ac:dyDescent="0.35">
      <c r="K183" t="e">
        <f>IF(#REF!&lt;&gt;"", C183, "")</f>
        <v>#REF!</v>
      </c>
      <c r="L183" t="e">
        <f>IF(#REF!&lt;&gt;"", D183, "")</f>
        <v>#REF!</v>
      </c>
    </row>
    <row r="184" spans="11:12" hidden="1" x14ac:dyDescent="0.35">
      <c r="K184" t="e">
        <f>IF(#REF!&lt;&gt;"", C184, "")</f>
        <v>#REF!</v>
      </c>
      <c r="L184" t="e">
        <f>IF(#REF!&lt;&gt;"", D184, "")</f>
        <v>#REF!</v>
      </c>
    </row>
    <row r="185" spans="11:12" hidden="1" x14ac:dyDescent="0.35">
      <c r="K185" t="e">
        <f>IF(#REF!&lt;&gt;"", C185, "")</f>
        <v>#REF!</v>
      </c>
      <c r="L185" t="e">
        <f>IF(#REF!&lt;&gt;"", D185, "")</f>
        <v>#REF!</v>
      </c>
    </row>
    <row r="186" spans="11:12" hidden="1" x14ac:dyDescent="0.35">
      <c r="K186" t="e">
        <f>IF(#REF!&lt;&gt;"", C186, "")</f>
        <v>#REF!</v>
      </c>
      <c r="L186" t="e">
        <f>IF(#REF!&lt;&gt;"", D186, "")</f>
        <v>#REF!</v>
      </c>
    </row>
    <row r="187" spans="11:12" hidden="1" x14ac:dyDescent="0.35">
      <c r="K187" t="e">
        <f>IF(#REF!&lt;&gt;"", C187, "")</f>
        <v>#REF!</v>
      </c>
      <c r="L187" t="e">
        <f>IF(#REF!&lt;&gt;"", D187, "")</f>
        <v>#REF!</v>
      </c>
    </row>
    <row r="188" spans="11:12" hidden="1" x14ac:dyDescent="0.35">
      <c r="K188" t="e">
        <f>IF(#REF!&lt;&gt;"", C188, "")</f>
        <v>#REF!</v>
      </c>
      <c r="L188" t="e">
        <f>IF(#REF!&lt;&gt;"", D188, "")</f>
        <v>#REF!</v>
      </c>
    </row>
    <row r="189" spans="11:12" hidden="1" x14ac:dyDescent="0.35">
      <c r="K189" t="e">
        <f>IF(#REF!&lt;&gt;"", C189, "")</f>
        <v>#REF!</v>
      </c>
      <c r="L189" t="e">
        <f>IF(#REF!&lt;&gt;"", D189, "")</f>
        <v>#REF!</v>
      </c>
    </row>
    <row r="190" spans="11:12" hidden="1" x14ac:dyDescent="0.35">
      <c r="K190" t="e">
        <f>IF(#REF!&lt;&gt;"", C190, "")</f>
        <v>#REF!</v>
      </c>
      <c r="L190" t="e">
        <f>IF(#REF!&lt;&gt;"", D190, "")</f>
        <v>#REF!</v>
      </c>
    </row>
    <row r="191" spans="11:12" hidden="1" x14ac:dyDescent="0.35">
      <c r="K191" t="e">
        <f>IF(#REF!&lt;&gt;"", C191, "")</f>
        <v>#REF!</v>
      </c>
      <c r="L191" t="e">
        <f>IF(#REF!&lt;&gt;"", D191, "")</f>
        <v>#REF!</v>
      </c>
    </row>
    <row r="192" spans="11:12" hidden="1" x14ac:dyDescent="0.35">
      <c r="K192" t="e">
        <f>IF(#REF!&lt;&gt;"", C192, "")</f>
        <v>#REF!</v>
      </c>
      <c r="L192" t="e">
        <f>IF(#REF!&lt;&gt;"", D192, "")</f>
        <v>#REF!</v>
      </c>
    </row>
    <row r="193" spans="11:13" hidden="1" x14ac:dyDescent="0.35">
      <c r="K193" t="e">
        <f>IF(#REF!&lt;&gt;"", C193, "")</f>
        <v>#REF!</v>
      </c>
      <c r="L193" t="e">
        <f>IF(#REF!&lt;&gt;"", D193, "")</f>
        <v>#REF!</v>
      </c>
    </row>
    <row r="194" spans="11:13" hidden="1" x14ac:dyDescent="0.35">
      <c r="K194" t="e">
        <f>IF(#REF!&lt;&gt;"", C194, "")</f>
        <v>#REF!</v>
      </c>
      <c r="L194" t="e">
        <f>IF(#REF!&lt;&gt;"", D194, "")</f>
        <v>#REF!</v>
      </c>
    </row>
    <row r="195" spans="11:13" hidden="1" x14ac:dyDescent="0.35">
      <c r="K195" t="e">
        <f>IF(#REF!&lt;&gt;"", C195, "")</f>
        <v>#REF!</v>
      </c>
      <c r="L195" t="e">
        <f>IF(#REF!&lt;&gt;"", D195, "")</f>
        <v>#REF!</v>
      </c>
    </row>
    <row r="196" spans="11:13" hidden="1" x14ac:dyDescent="0.35">
      <c r="K196" t="e">
        <f>IF(#REF!&lt;&gt;"", C196, "")</f>
        <v>#REF!</v>
      </c>
      <c r="L196" t="e">
        <f>IF(#REF!&lt;&gt;"", D196, "")</f>
        <v>#REF!</v>
      </c>
    </row>
    <row r="197" spans="11:13" hidden="1" x14ac:dyDescent="0.35">
      <c r="K197" t="e">
        <f>IF(#REF!&lt;&gt;"", C197, "")</f>
        <v>#REF!</v>
      </c>
      <c r="L197" t="e">
        <f>IF(#REF!&lt;&gt;"", D197, "")</f>
        <v>#REF!</v>
      </c>
    </row>
    <row r="198" spans="11:13" hidden="1" x14ac:dyDescent="0.35">
      <c r="K198" t="e">
        <f>IF(#REF!&lt;&gt;"", C198, "")</f>
        <v>#REF!</v>
      </c>
      <c r="L198" t="e">
        <f>IF(#REF!&lt;&gt;"", D198, "")</f>
        <v>#REF!</v>
      </c>
    </row>
    <row r="199" spans="11:13" hidden="1" x14ac:dyDescent="0.35">
      <c r="K199" t="e">
        <f>IF(#REF!&lt;&gt;"", C199, "")</f>
        <v>#REF!</v>
      </c>
      <c r="L199" t="e">
        <f>IF(#REF!&lt;&gt;"", D199, "")</f>
        <v>#REF!</v>
      </c>
    </row>
    <row r="200" spans="11:13" hidden="1" x14ac:dyDescent="0.35">
      <c r="K200" t="e">
        <f>IF(#REF!&lt;&gt;"", C200, "")</f>
        <v>#REF!</v>
      </c>
      <c r="L200" t="e">
        <f>IF(#REF!&lt;&gt;"", D200, "")</f>
        <v>#REF!</v>
      </c>
    </row>
    <row r="201" spans="11:13" x14ac:dyDescent="0.35">
      <c r="K201" t="str">
        <f>IF(A201&lt;&gt;0, B201, "")</f>
        <v/>
      </c>
      <c r="L201" t="str">
        <f>IF(A201&lt;&gt;"", C201, "")</f>
        <v/>
      </c>
      <c r="M201" t="str">
        <f>IF(B201&lt;&gt;"", A201, "")</f>
        <v/>
      </c>
    </row>
  </sheetData>
  <autoFilter ref="K1:K200" xr:uid="{C2FD64BE-3487-4274-B06C-542EA0DB46CF}">
    <filterColumn colId="0">
      <customFilters>
        <customFilter operator="notEqual" val=" "/>
      </customFilters>
    </filterColumn>
  </autoFilter>
  <conditionalFormatting sqref="K1:O1">
    <cfRule type="expression" dxfId="4" priority="1">
      <formula>$A2&gt;0</formula>
    </cfRule>
  </conditionalFormatting>
  <conditionalFormatting sqref="K2:O3 K4:M4 O4 K5:O201">
    <cfRule type="expression" dxfId="3" priority="3">
      <formula>$A2&gt;0</formula>
    </cfRule>
  </conditionalFormatting>
  <pageMargins left="0.7" right="0.7" top="0.75" bottom="0.75" header="0.3" footer="0.3"/>
  <pageSetup paperSize="9" scale="85"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EF1FE5-C3F3-4B3C-91A8-1574FC2C8DF3}">
  <dimension ref="A1:F122"/>
  <sheetViews>
    <sheetView topLeftCell="A32" zoomScaleNormal="100" workbookViewId="0">
      <selection activeCell="A38" sqref="A38"/>
    </sheetView>
  </sheetViews>
  <sheetFormatPr defaultColWidth="8.7265625" defaultRowHeight="13.5" x14ac:dyDescent="0.25"/>
  <cols>
    <col min="1" max="1" width="26.81640625" style="9" bestFit="1" customWidth="1"/>
    <col min="2" max="2" width="17.1796875" style="9" customWidth="1"/>
    <col min="3" max="3" width="14.54296875" style="9" customWidth="1"/>
    <col min="4" max="4" width="9.81640625" style="9" bestFit="1" customWidth="1"/>
    <col min="5" max="5" width="10.7265625" style="9" customWidth="1"/>
    <col min="6" max="8" width="8.7265625" style="9"/>
    <col min="9" max="13" width="15.54296875" style="9" customWidth="1"/>
    <col min="14" max="16384" width="8.7265625" style="9"/>
  </cols>
  <sheetData>
    <row r="1" spans="1:5" ht="24" x14ac:dyDescent="0.4">
      <c r="A1" s="30" t="s">
        <v>139</v>
      </c>
      <c r="B1" s="29"/>
    </row>
    <row r="2" spans="1:5" ht="17" x14ac:dyDescent="0.3">
      <c r="B2" s="28"/>
    </row>
    <row r="3" spans="1:5" s="26" customFormat="1" ht="14" x14ac:dyDescent="0.3">
      <c r="B3" s="31" t="s">
        <v>119</v>
      </c>
      <c r="C3" s="31" t="s">
        <v>120</v>
      </c>
      <c r="D3" s="32" t="s">
        <v>121</v>
      </c>
      <c r="E3" s="32" t="s">
        <v>122</v>
      </c>
    </row>
    <row r="4" spans="1:5" x14ac:dyDescent="0.25">
      <c r="B4" s="33">
        <f>COUNTA(tbl_Fact_Sales[Product_Code])</f>
        <v>88</v>
      </c>
      <c r="C4" s="34">
        <f>COUNTIF(tbl_Fact_Sales[Recount_Divergence], "Acceptable") / COUNTA(tbl_Fact_Sales[Product_Code])</f>
        <v>0.63636363636363635</v>
      </c>
      <c r="D4" s="34">
        <f>COUNTIF(tbl_Fact_Sales[Recount_Divergence], "Check") / COUNTA(tbl_Fact_Sales[Product_Code])</f>
        <v>0.25</v>
      </c>
      <c r="E4" s="35">
        <f>COUNTIF(tbl_Fact_Sales[Recount_Divergence], "Problem") / COUNTA(tbl_Fact_Sales[Product_Code])</f>
        <v>0.11363636363636363</v>
      </c>
    </row>
    <row r="5" spans="1:5" x14ac:dyDescent="0.25">
      <c r="B5" s="27"/>
      <c r="C5" s="27"/>
    </row>
    <row r="6" spans="1:5" ht="24" x14ac:dyDescent="0.4">
      <c r="A6" s="30" t="s">
        <v>140</v>
      </c>
      <c r="B6" s="29"/>
      <c r="C6" s="27"/>
    </row>
    <row r="7" spans="1:5" x14ac:dyDescent="0.25">
      <c r="A7" s="27"/>
      <c r="B7" s="27"/>
    </row>
    <row r="8" spans="1:5" ht="14" x14ac:dyDescent="0.3">
      <c r="B8" s="31" t="s">
        <v>129</v>
      </c>
      <c r="C8" s="31" t="s">
        <v>133</v>
      </c>
      <c r="D8" s="26"/>
    </row>
    <row r="9" spans="1:5" x14ac:dyDescent="0.25">
      <c r="B9" s="36" t="s">
        <v>132</v>
      </c>
      <c r="C9" s="37">
        <f>C4</f>
        <v>0.63636363636363635</v>
      </c>
    </row>
    <row r="10" spans="1:5" x14ac:dyDescent="0.25">
      <c r="B10" s="38" t="s">
        <v>134</v>
      </c>
      <c r="C10" s="39">
        <f>D4</f>
        <v>0.25</v>
      </c>
    </row>
    <row r="11" spans="1:5" x14ac:dyDescent="0.25">
      <c r="B11" s="36" t="s">
        <v>135</v>
      </c>
      <c r="C11" s="37">
        <f>E4</f>
        <v>0.11363636363636363</v>
      </c>
    </row>
    <row r="36" spans="1:4" ht="17" x14ac:dyDescent="0.3">
      <c r="A36" s="29" t="s">
        <v>141</v>
      </c>
    </row>
    <row r="37" spans="1:4" ht="14" x14ac:dyDescent="0.25">
      <c r="A37" s="41" t="s">
        <v>136</v>
      </c>
      <c r="B37" s="42" t="s">
        <v>137</v>
      </c>
      <c r="C37" s="42" t="s">
        <v>138</v>
      </c>
      <c r="D37" s="43" t="s">
        <v>129</v>
      </c>
    </row>
    <row r="38" spans="1:4" ht="14.5" x14ac:dyDescent="0.35">
      <c r="A38" s="44" t="str">
        <f>TRIM(_xlfn.XLOOKUP(tbl_Fact_Sales[[#This Row],[Product_Code]], tbl_Fact_Sales[Product_Code], tbl_Fact_Sales[Helper1]) &amp; " " &amp; _xlfn.XLOOKUP(tbl_Fact_Sales[[#This Row],[Product_Code]], tbl_Fact_Sales[Product_Code], tbl_Fact_Sales[Size_Clean]))</f>
        <v>JUST JUICE 330ML</v>
      </c>
      <c r="B38" s="40">
        <f>_xlfn.XLOOKUP(tbl_Fact_Sales[[#This Row],[Product_Code]], tbl_Fact_Sales[Product_Code], tbl_Fact_Sales[Suggested_Order])</f>
        <v>0.26190476190476186</v>
      </c>
      <c r="C38" s="40">
        <f>_xlfn.XLOOKUP(tbl_Fact_Sales[[#This Row],[Product_Code]], tbl_Fact_Sales[Product_Code], tbl_Fact_Sales[Days_of_Cover])</f>
        <v>8.6153846153846168</v>
      </c>
      <c r="D38" s="45" t="str">
        <f>_xlfn.XLOOKUP(tbl_Fact_Sales[[#This Row],[Product_Code]], tbl_Fact_Sales[Product_Code], tbl_Fact_Sales[Recount_Divergence])</f>
        <v>Acceptable</v>
      </c>
    </row>
    <row r="39" spans="1:4" ht="14.5" x14ac:dyDescent="0.35">
      <c r="A39" s="44" t="str">
        <f>TRIM(_xlfn.XLOOKUP(tbl_Fact_Sales[[#This Row],[Product_Code]], tbl_Fact_Sales[Product_Code], tbl_Fact_Sales[Helper1]) &amp; " " &amp; _xlfn.XLOOKUP(tbl_Fact_Sales[[#This Row],[Product_Code]], tbl_Fact_Sales[Product_Code], tbl_Fact_Sales[Size_Clean]))</f>
        <v>M/MAID BREAKFAST 330ML</v>
      </c>
      <c r="B39" s="40">
        <f>_xlfn.XLOOKUP(tbl_Fact_Sales[[#This Row],[Product_Code]], tbl_Fact_Sales[Product_Code], tbl_Fact_Sales[Suggested_Order])</f>
        <v>3.4404761904761902</v>
      </c>
      <c r="C39" s="40">
        <f>_xlfn.XLOOKUP(tbl_Fact_Sales[[#This Row],[Product_Code]], tbl_Fact_Sales[Product_Code], tbl_Fact_Sales[Days_of_Cover])</f>
        <v>-0.2978723404255319</v>
      </c>
      <c r="D39" s="45" t="str">
        <f>_xlfn.XLOOKUP(tbl_Fact_Sales[[#This Row],[Product_Code]], tbl_Fact_Sales[Product_Code], tbl_Fact_Sales[Recount_Divergence])</f>
        <v>Acceptable</v>
      </c>
    </row>
    <row r="40" spans="1:4" x14ac:dyDescent="0.25">
      <c r="A40" s="46" t="str">
        <f>TRIM(_xlfn.XLOOKUP(tbl_Fact_Sales[[#This Row],[Product_Code]], tbl_Fact_Sales[Product_Code], tbl_Fact_Sales[Helper1]) &amp; " " &amp; _xlfn.XLOOKUP(tbl_Fact_Sales[[#This Row],[Product_Code]], tbl_Fact_Sales[Product_Code], tbl_Fact_Sales[Size_Clean]))</f>
        <v>M/MAID F/JCE 330ML</v>
      </c>
      <c r="B40" s="40">
        <f>_xlfn.XLOOKUP(tbl_Fact_Sales[[#This Row],[Product_Code]], tbl_Fact_Sales[Product_Code], tbl_Fact_Sales[Suggested_Order])</f>
        <v>4.2678571428571432</v>
      </c>
      <c r="C40" s="40">
        <f>_xlfn.XLOOKUP(tbl_Fact_Sales[[#This Row],[Product_Code]], tbl_Fact_Sales[Product_Code], tbl_Fact_Sales[Days_of_Cover])</f>
        <v>2.9240506329113924</v>
      </c>
      <c r="D40" s="45" t="str">
        <f>_xlfn.XLOOKUP(tbl_Fact_Sales[[#This Row],[Product_Code]], tbl_Fact_Sales[Product_Code], tbl_Fact_Sales[Recount_Divergence])</f>
        <v>Acceptable</v>
      </c>
    </row>
    <row r="41" spans="1:4" x14ac:dyDescent="0.25">
      <c r="A41" s="46" t="str">
        <f>TRIM(_xlfn.XLOOKUP(tbl_Fact_Sales[[#This Row],[Product_Code]], tbl_Fact_Sales[Product_Code], tbl_Fact_Sales[Helper1]) &amp; " " &amp; _xlfn.XLOOKUP(tbl_Fact_Sales[[#This Row],[Product_Code]], tbl_Fact_Sales[Product_Code], tbl_Fact_Sales[Size_Clean]))</f>
        <v>M/MAID ORANGE 330ML</v>
      </c>
      <c r="B41" s="40">
        <f>_xlfn.XLOOKUP(tbl_Fact_Sales[[#This Row],[Product_Code]], tbl_Fact_Sales[Product_Code], tbl_Fact_Sales[Suggested_Order])</f>
        <v>2.3928571428571432</v>
      </c>
      <c r="C41" s="40">
        <f>_xlfn.XLOOKUP(tbl_Fact_Sales[[#This Row],[Product_Code]], tbl_Fact_Sales[Product_Code], tbl_Fact_Sales[Days_of_Cover])</f>
        <v>1.1351351351351351</v>
      </c>
      <c r="D41" s="45" t="str">
        <f>_xlfn.XLOOKUP(tbl_Fact_Sales[[#This Row],[Product_Code]], tbl_Fact_Sales[Product_Code], tbl_Fact_Sales[Recount_Divergence])</f>
        <v>Acceptable</v>
      </c>
    </row>
    <row r="42" spans="1:4" x14ac:dyDescent="0.25">
      <c r="A42" s="46" t="str">
        <f>TRIM(_xlfn.XLOOKUP(tbl_Fact_Sales[[#This Row],[Product_Code]], tbl_Fact_Sales[Product_Code], tbl_Fact_Sales[Helper1]) &amp; " " &amp; _xlfn.XLOOKUP(tbl_Fact_Sales[[#This Row],[Product_Code]], tbl_Fact_Sales[Product_Code], tbl_Fact_Sales[Size_Clean]))</f>
        <v>PLAY ENERGY 250ML</v>
      </c>
      <c r="B42" s="40">
        <f>_xlfn.XLOOKUP(tbl_Fact_Sales[[#This Row],[Product_Code]], tbl_Fact_Sales[Product_Code], tbl_Fact_Sales[Suggested_Order])</f>
        <v>21.160714285714285</v>
      </c>
      <c r="C42" s="40">
        <f>_xlfn.XLOOKUP(tbl_Fact_Sales[[#This Row],[Product_Code]], tbl_Fact_Sales[Product_Code], tbl_Fact_Sales[Days_of_Cover])</f>
        <v>-4.0859728506787327</v>
      </c>
      <c r="D42" s="45" t="str">
        <f>_xlfn.XLOOKUP(tbl_Fact_Sales[[#This Row],[Product_Code]], tbl_Fact_Sales[Product_Code], tbl_Fact_Sales[Recount_Divergence])</f>
        <v>Check</v>
      </c>
    </row>
    <row r="43" spans="1:4" x14ac:dyDescent="0.25">
      <c r="A43" s="46" t="str">
        <f>TRIM(_xlfn.XLOOKUP(tbl_Fact_Sales[[#This Row],[Product_Code]], tbl_Fact_Sales[Product_Code], tbl_Fact_Sales[Helper1]) &amp; " " &amp; _xlfn.XLOOKUP(tbl_Fact_Sales[[#This Row],[Product_Code]], tbl_Fact_Sales[Product_Code], tbl_Fact_Sales[Size_Clean]))</f>
        <v>PLAY ENERGY 440ML</v>
      </c>
      <c r="B43" s="40">
        <f>_xlfn.XLOOKUP(tbl_Fact_Sales[[#This Row],[Product_Code]], tbl_Fact_Sales[Product_Code], tbl_Fact_Sales[Suggested_Order])</f>
        <v>4.2857142857142856</v>
      </c>
      <c r="C43" s="40">
        <f>_xlfn.XLOOKUP(tbl_Fact_Sales[[#This Row],[Product_Code]], tbl_Fact_Sales[Product_Code], tbl_Fact_Sales[Days_of_Cover])</f>
        <v>3.8181818181818179</v>
      </c>
      <c r="D43" s="45" t="str">
        <f>_xlfn.XLOOKUP(tbl_Fact_Sales[[#This Row],[Product_Code]], tbl_Fact_Sales[Product_Code], tbl_Fact_Sales[Recount_Divergence])</f>
        <v>Acceptable</v>
      </c>
    </row>
    <row r="44" spans="1:4" x14ac:dyDescent="0.25">
      <c r="A44" s="46" t="str">
        <f>TRIM(_xlfn.XLOOKUP(tbl_Fact_Sales[[#This Row],[Product_Code]], tbl_Fact_Sales[Product_Code], tbl_Fact_Sales[Helper1]) &amp; " " &amp; _xlfn.XLOOKUP(tbl_Fact_Sales[[#This Row],[Product_Code]], tbl_Fact_Sales[Product_Code], tbl_Fact_Sales[Size_Clean]))</f>
        <v>POWERADE ISLAND 500ML</v>
      </c>
      <c r="B44" s="40">
        <f>_xlfn.XLOOKUP(tbl_Fact_Sales[[#This Row],[Product_Code]], tbl_Fact_Sales[Product_Code], tbl_Fact_Sales[Suggested_Order])</f>
        <v>4.4642857142857135</v>
      </c>
      <c r="C44" s="40">
        <f>_xlfn.XLOOKUP(tbl_Fact_Sales[[#This Row],[Product_Code]], tbl_Fact_Sales[Product_Code], tbl_Fact_Sales[Days_of_Cover])</f>
        <v>4.0212765957446805</v>
      </c>
      <c r="D44" s="45" t="str">
        <f>_xlfn.XLOOKUP(tbl_Fact_Sales[[#This Row],[Product_Code]], tbl_Fact_Sales[Product_Code], tbl_Fact_Sales[Recount_Divergence])</f>
        <v>Acceptable</v>
      </c>
    </row>
    <row r="45" spans="1:4" x14ac:dyDescent="0.25">
      <c r="A45" s="46" t="str">
        <f>TRIM(_xlfn.XLOOKUP(tbl_Fact_Sales[[#This Row],[Product_Code]], tbl_Fact_Sales[Product_Code], tbl_Fact_Sales[Helper1]) &amp; " " &amp; _xlfn.XLOOKUP(tbl_Fact_Sales[[#This Row],[Product_Code]], tbl_Fact_Sales[Product_Code], tbl_Fact_Sales[Size_Clean]))</f>
        <v>POWERADE JAGGED 500ML</v>
      </c>
      <c r="B45" s="40">
        <f>_xlfn.XLOOKUP(tbl_Fact_Sales[[#This Row],[Product_Code]], tbl_Fact_Sales[Product_Code], tbl_Fact_Sales[Suggested_Order])</f>
        <v>11.190476190476192</v>
      </c>
      <c r="C45" s="40">
        <f>_xlfn.XLOOKUP(tbl_Fact_Sales[[#This Row],[Product_Code]], tbl_Fact_Sales[Product_Code], tbl_Fact_Sales[Days_of_Cover])</f>
        <v>0.67469879518072284</v>
      </c>
      <c r="D45" s="45" t="str">
        <f>_xlfn.XLOOKUP(tbl_Fact_Sales[[#This Row],[Product_Code]], tbl_Fact_Sales[Product_Code], tbl_Fact_Sales[Recount_Divergence])</f>
        <v>Check</v>
      </c>
    </row>
    <row r="46" spans="1:4" x14ac:dyDescent="0.25">
      <c r="A46" s="46" t="str">
        <f>TRIM(_xlfn.XLOOKUP(tbl_Fact_Sales[[#This Row],[Product_Code]], tbl_Fact_Sales[Product_Code], tbl_Fact_Sales[Helper1]) &amp; " " &amp; _xlfn.XLOOKUP(tbl_Fact_Sales[[#This Row],[Product_Code]], tbl_Fact_Sales[Product_Code], tbl_Fact_Sales[Size_Clean]))</f>
        <v>POWERADE M/BLAST 500ML</v>
      </c>
      <c r="B46" s="40">
        <f>_xlfn.XLOOKUP(tbl_Fact_Sales[[#This Row],[Product_Code]], tbl_Fact_Sales[Product_Code], tbl_Fact_Sales[Suggested_Order])</f>
        <v>6.5714285714285712</v>
      </c>
      <c r="C46" s="40">
        <f>_xlfn.XLOOKUP(tbl_Fact_Sales[[#This Row],[Product_Code]], tbl_Fact_Sales[Product_Code], tbl_Fact_Sales[Days_of_Cover])</f>
        <v>2.8</v>
      </c>
      <c r="D46" s="45" t="str">
        <f>_xlfn.XLOOKUP(tbl_Fact_Sales[[#This Row],[Product_Code]], tbl_Fact_Sales[Product_Code], tbl_Fact_Sales[Recount_Divergence])</f>
        <v>Acceptable</v>
      </c>
    </row>
    <row r="47" spans="1:4" x14ac:dyDescent="0.25">
      <c r="A47" s="46" t="str">
        <f>TRIM(_xlfn.XLOOKUP(tbl_Fact_Sales[[#This Row],[Product_Code]], tbl_Fact_Sales[Product_Code], tbl_Fact_Sales[Helper1]) &amp; " " &amp; _xlfn.XLOOKUP(tbl_Fact_Sales[[#This Row],[Product_Code]], tbl_Fact_Sales[Product_Code], tbl_Fact_Sales[Size_Clean]))</f>
        <v>POWERADE NAARTJIE 500ML</v>
      </c>
      <c r="B47" s="40">
        <f>_xlfn.XLOOKUP(tbl_Fact_Sales[[#This Row],[Product_Code]], tbl_Fact_Sales[Product_Code], tbl_Fact_Sales[Suggested_Order])</f>
        <v>6.9880952380952372</v>
      </c>
      <c r="C47" s="40">
        <f>_xlfn.XLOOKUP(tbl_Fact_Sales[[#This Row],[Product_Code]], tbl_Fact_Sales[Product_Code], tbl_Fact_Sales[Days_of_Cover])</f>
        <v>3.238805970149254</v>
      </c>
      <c r="D47" s="45" t="str">
        <f>_xlfn.XLOOKUP(tbl_Fact_Sales[[#This Row],[Product_Code]], tbl_Fact_Sales[Product_Code], tbl_Fact_Sales[Recount_Divergence])</f>
        <v>Acceptable</v>
      </c>
    </row>
    <row r="48" spans="1:4" x14ac:dyDescent="0.25">
      <c r="A48" s="46" t="str">
        <f>TRIM(_xlfn.XLOOKUP(tbl_Fact_Sales[[#This Row],[Product_Code]], tbl_Fact_Sales[Product_Code], tbl_Fact_Sales[Helper1]) &amp; " " &amp; _xlfn.XLOOKUP(tbl_Fact_Sales[[#This Row],[Product_Code]], tbl_Fact_Sales[Product_Code], tbl_Fact_Sales[Size_Clean]))</f>
        <v>POWERADE ORANGE 500ML</v>
      </c>
      <c r="B48" s="40">
        <f>_xlfn.XLOOKUP(tbl_Fact_Sales[[#This Row],[Product_Code]], tbl_Fact_Sales[Product_Code], tbl_Fact_Sales[Suggested_Order])</f>
        <v>14.404761904761907</v>
      </c>
      <c r="C48" s="40">
        <f>_xlfn.XLOOKUP(tbl_Fact_Sales[[#This Row],[Product_Code]], tbl_Fact_Sales[Product_Code], tbl_Fact_Sales[Days_of_Cover])</f>
        <v>-0.73684210526315796</v>
      </c>
      <c r="D48" s="45" t="str">
        <f>_xlfn.XLOOKUP(tbl_Fact_Sales[[#This Row],[Product_Code]], tbl_Fact_Sales[Product_Code], tbl_Fact_Sales[Recount_Divergence])</f>
        <v>Check</v>
      </c>
    </row>
    <row r="49" spans="1:4" x14ac:dyDescent="0.25">
      <c r="A49" s="46" t="str">
        <f>TRIM(_xlfn.XLOOKUP(tbl_Fact_Sales[[#This Row],[Product_Code]], tbl_Fact_Sales[Product_Code], tbl_Fact_Sales[Helper1]) &amp; " " &amp; _xlfn.XLOOKUP(tbl_Fact_Sales[[#This Row],[Product_Code]], tbl_Fact_Sales[Product_Code], tbl_Fact_Sales[Size_Clean]))</f>
        <v>SCHWEPPES DRY 330ML</v>
      </c>
      <c r="B49" s="40">
        <f>_xlfn.XLOOKUP(tbl_Fact_Sales[[#This Row],[Product_Code]], tbl_Fact_Sales[Product_Code], tbl_Fact_Sales[Suggested_Order])</f>
        <v>5.6607142857142856</v>
      </c>
      <c r="C49" s="40">
        <f>_xlfn.XLOOKUP(tbl_Fact_Sales[[#This Row],[Product_Code]], tbl_Fact_Sales[Product_Code], tbl_Fact_Sales[Days_of_Cover])</f>
        <v>0.25925925925925924</v>
      </c>
      <c r="D49" s="45" t="str">
        <f>_xlfn.XLOOKUP(tbl_Fact_Sales[[#This Row],[Product_Code]], tbl_Fact_Sales[Product_Code], tbl_Fact_Sales[Recount_Divergence])</f>
        <v>Acceptable</v>
      </c>
    </row>
    <row r="50" spans="1:4" x14ac:dyDescent="0.25">
      <c r="A50" s="46" t="str">
        <f>TRIM(_xlfn.XLOOKUP(tbl_Fact_Sales[[#This Row],[Product_Code]], tbl_Fact_Sales[Product_Code], tbl_Fact_Sales[Helper1]) &amp; " " &amp; _xlfn.XLOOKUP(tbl_Fact_Sales[[#This Row],[Product_Code]], tbl_Fact_Sales[Product_Code], tbl_Fact_Sales[Size_Clean]))</f>
        <v>SCHWEPPES GINGER 200ML</v>
      </c>
      <c r="B50" s="40">
        <f>_xlfn.XLOOKUP(tbl_Fact_Sales[[#This Row],[Product_Code]], tbl_Fact_Sales[Product_Code], tbl_Fact_Sales[Suggested_Order])</f>
        <v>0</v>
      </c>
      <c r="C50" s="40">
        <f>_xlfn.XLOOKUP(tbl_Fact_Sales[[#This Row],[Product_Code]], tbl_Fact_Sales[Product_Code], tbl_Fact_Sales[Days_of_Cover])</f>
        <v>-14.451612903225804</v>
      </c>
      <c r="D50" s="45" t="str">
        <f>_xlfn.XLOOKUP(tbl_Fact_Sales[[#This Row],[Product_Code]], tbl_Fact_Sales[Product_Code], tbl_Fact_Sales[Recount_Divergence])</f>
        <v>Acceptable</v>
      </c>
    </row>
    <row r="51" spans="1:4" x14ac:dyDescent="0.25">
      <c r="A51" s="46" t="str">
        <f>TRIM(_xlfn.XLOOKUP(tbl_Fact_Sales[[#This Row],[Product_Code]], tbl_Fact_Sales[Product_Code], tbl_Fact_Sales[Helper1]) &amp; " " &amp; _xlfn.XLOOKUP(tbl_Fact_Sales[[#This Row],[Product_Code]], tbl_Fact_Sales[Product_Code], tbl_Fact_Sales[Size_Clean]))</f>
        <v>SCHWEPPES GINGER 1L</v>
      </c>
      <c r="B51" s="40">
        <f>_xlfn.XLOOKUP(tbl_Fact_Sales[[#This Row],[Product_Code]], tbl_Fact_Sales[Product_Code], tbl_Fact_Sales[Suggested_Order])</f>
        <v>4.2857142857142856</v>
      </c>
      <c r="C51" s="40">
        <f>_xlfn.XLOOKUP(tbl_Fact_Sales[[#This Row],[Product_Code]], tbl_Fact_Sales[Product_Code], tbl_Fact_Sales[Days_of_Cover])</f>
        <v>4.9411764705882355</v>
      </c>
      <c r="D51" s="45" t="str">
        <f>_xlfn.XLOOKUP(tbl_Fact_Sales[[#This Row],[Product_Code]], tbl_Fact_Sales[Product_Code], tbl_Fact_Sales[Recount_Divergence])</f>
        <v>Acceptable</v>
      </c>
    </row>
    <row r="52" spans="1:4" x14ac:dyDescent="0.25">
      <c r="A52" s="46" t="str">
        <f>TRIM(_xlfn.XLOOKUP(tbl_Fact_Sales[[#This Row],[Product_Code]], tbl_Fact_Sales[Product_Code], tbl_Fact_Sales[Helper1]) &amp; " " &amp; _xlfn.XLOOKUP(tbl_Fact_Sales[[#This Row],[Product_Code]], tbl_Fact_Sales[Product_Code], tbl_Fact_Sales[Size_Clean]))</f>
        <v>SCHWEPPES LEMONADE 200ML</v>
      </c>
      <c r="B52" s="40">
        <f>_xlfn.XLOOKUP(tbl_Fact_Sales[[#This Row],[Product_Code]], tbl_Fact_Sales[Product_Code], tbl_Fact_Sales[Suggested_Order])</f>
        <v>0</v>
      </c>
      <c r="C52" s="40">
        <f>_xlfn.XLOOKUP(tbl_Fact_Sales[[#This Row],[Product_Code]], tbl_Fact_Sales[Product_Code], tbl_Fact_Sales[Days_of_Cover])</f>
        <v>-9.1095890410958908</v>
      </c>
      <c r="D52" s="45" t="str">
        <f>_xlfn.XLOOKUP(tbl_Fact_Sales[[#This Row],[Product_Code]], tbl_Fact_Sales[Product_Code], tbl_Fact_Sales[Recount_Divergence])</f>
        <v>Acceptable</v>
      </c>
    </row>
    <row r="53" spans="1:4" x14ac:dyDescent="0.25">
      <c r="A53" s="46" t="str">
        <f>TRIM(_xlfn.XLOOKUP(tbl_Fact_Sales[[#This Row],[Product_Code]], tbl_Fact_Sales[Product_Code], tbl_Fact_Sales[Helper1]) &amp; " " &amp; _xlfn.XLOOKUP(tbl_Fact_Sales[[#This Row],[Product_Code]], tbl_Fact_Sales[Product_Code], tbl_Fact_Sales[Size_Clean]))</f>
        <v>SCHWEPPES SODA 1L</v>
      </c>
      <c r="B53" s="40">
        <f>_xlfn.XLOOKUP(tbl_Fact_Sales[[#This Row],[Product_Code]], tbl_Fact_Sales[Product_Code], tbl_Fact_Sales[Suggested_Order])</f>
        <v>7.0000000000000018</v>
      </c>
      <c r="C53" s="40">
        <f>_xlfn.XLOOKUP(tbl_Fact_Sales[[#This Row],[Product_Code]], tbl_Fact_Sales[Product_Code], tbl_Fact_Sales[Days_of_Cover])</f>
        <v>1.4999999999999998</v>
      </c>
      <c r="D53" s="45" t="str">
        <f>_xlfn.XLOOKUP(tbl_Fact_Sales[[#This Row],[Product_Code]], tbl_Fact_Sales[Product_Code], tbl_Fact_Sales[Recount_Divergence])</f>
        <v>Acceptable</v>
      </c>
    </row>
    <row r="54" spans="1:4" x14ac:dyDescent="0.25">
      <c r="A54" s="46" t="str">
        <f>TRIM(_xlfn.XLOOKUP(tbl_Fact_Sales[[#This Row],[Product_Code]], tbl_Fact_Sales[Product_Code], tbl_Fact_Sales[Helper1]) &amp; " " &amp; _xlfn.XLOOKUP(tbl_Fact_Sales[[#This Row],[Product_Code]], tbl_Fact_Sales[Product_Code], tbl_Fact_Sales[Size_Clean]))</f>
        <v>SCHWEPPES SODA 200ML</v>
      </c>
      <c r="B54" s="40">
        <f>_xlfn.XLOOKUP(tbl_Fact_Sales[[#This Row],[Product_Code]], tbl_Fact_Sales[Product_Code], tbl_Fact_Sales[Suggested_Order])</f>
        <v>0</v>
      </c>
      <c r="C54" s="40">
        <f>_xlfn.XLOOKUP(tbl_Fact_Sales[[#This Row],[Product_Code]], tbl_Fact_Sales[Product_Code], tbl_Fact_Sales[Days_of_Cover])</f>
        <v>-8.4875000000000007</v>
      </c>
      <c r="D54" s="45" t="str">
        <f>_xlfn.XLOOKUP(tbl_Fact_Sales[[#This Row],[Product_Code]], tbl_Fact_Sales[Product_Code], tbl_Fact_Sales[Recount_Divergence])</f>
        <v>Acceptable</v>
      </c>
    </row>
    <row r="55" spans="1:4" x14ac:dyDescent="0.25">
      <c r="A55" s="46" t="str">
        <f>TRIM(_xlfn.XLOOKUP(tbl_Fact_Sales[[#This Row],[Product_Code]], tbl_Fact_Sales[Product_Code], tbl_Fact_Sales[Helper1]) &amp; " " &amp; _xlfn.XLOOKUP(tbl_Fact_Sales[[#This Row],[Product_Code]], tbl_Fact_Sales[Product_Code], tbl_Fact_Sales[Size_Clean]))</f>
        <v>SCHWEPPES TONIC 1L</v>
      </c>
      <c r="B55" s="40">
        <f>_xlfn.XLOOKUP(tbl_Fact_Sales[[#This Row],[Product_Code]], tbl_Fact_Sales[Product_Code], tbl_Fact_Sales[Suggested_Order])</f>
        <v>3.6428571428571432</v>
      </c>
      <c r="C55" s="40">
        <f>_xlfn.XLOOKUP(tbl_Fact_Sales[[#This Row],[Product_Code]], tbl_Fact_Sales[Product_Code], tbl_Fact_Sales[Days_of_Cover])</f>
        <v>5.88</v>
      </c>
      <c r="D55" s="45" t="str">
        <f>_xlfn.XLOOKUP(tbl_Fact_Sales[[#This Row],[Product_Code]], tbl_Fact_Sales[Product_Code], tbl_Fact_Sales[Recount_Divergence])</f>
        <v>Acceptable</v>
      </c>
    </row>
    <row r="56" spans="1:4" x14ac:dyDescent="0.25">
      <c r="A56" s="46" t="str">
        <f>TRIM(_xlfn.XLOOKUP(tbl_Fact_Sales[[#This Row],[Product_Code]], tbl_Fact_Sales[Product_Code], tbl_Fact_Sales[Helper1]) &amp; " " &amp; _xlfn.XLOOKUP(tbl_Fact_Sales[[#This Row],[Product_Code]], tbl_Fact_Sales[Product_Code], tbl_Fact_Sales[Size_Clean]))</f>
        <v>SCHWEPPES TONIC 200ML</v>
      </c>
      <c r="B56" s="40">
        <f>_xlfn.XLOOKUP(tbl_Fact_Sales[[#This Row],[Product_Code]], tbl_Fact_Sales[Product_Code], tbl_Fact_Sales[Suggested_Order])</f>
        <v>0</v>
      </c>
      <c r="C56" s="40">
        <f>_xlfn.XLOOKUP(tbl_Fact_Sales[[#This Row],[Product_Code]], tbl_Fact_Sales[Product_Code], tbl_Fact_Sales[Days_of_Cover])</f>
        <v>-9.4305555555555571</v>
      </c>
      <c r="D56" s="45" t="str">
        <f>_xlfn.XLOOKUP(tbl_Fact_Sales[[#This Row],[Product_Code]], tbl_Fact_Sales[Product_Code], tbl_Fact_Sales[Recount_Divergence])</f>
        <v>Acceptable</v>
      </c>
    </row>
    <row r="57" spans="1:4" x14ac:dyDescent="0.25">
      <c r="A57" s="46" t="str">
        <f>TRIM(_xlfn.XLOOKUP(tbl_Fact_Sales[[#This Row],[Product_Code]], tbl_Fact_Sales[Product_Code], tbl_Fact_Sales[Helper1]) &amp; " " &amp; _xlfn.XLOOKUP(tbl_Fact_Sales[[#This Row],[Product_Code]], tbl_Fact_Sales[Product_Code], tbl_Fact_Sales[Size_Clean]))</f>
        <v>SODA WATER 2L</v>
      </c>
      <c r="B57" s="40">
        <f>_xlfn.XLOOKUP(tbl_Fact_Sales[[#This Row],[Product_Code]], tbl_Fact_Sales[Product_Code], tbl_Fact_Sales[Suggested_Order])</f>
        <v>0</v>
      </c>
      <c r="C57" s="40">
        <f>_xlfn.XLOOKUP(tbl_Fact_Sales[[#This Row],[Product_Code]], tbl_Fact_Sales[Product_Code], tbl_Fact_Sales[Days_of_Cover])</f>
        <v>79.333333333333343</v>
      </c>
      <c r="D57" s="45" t="str">
        <f>_xlfn.XLOOKUP(tbl_Fact_Sales[[#This Row],[Product_Code]], tbl_Fact_Sales[Product_Code], tbl_Fact_Sales[Recount_Divergence])</f>
        <v>Acceptable</v>
      </c>
    </row>
    <row r="58" spans="1:4" x14ac:dyDescent="0.25">
      <c r="A58" s="46" t="str">
        <f>TRIM(_xlfn.XLOOKUP(tbl_Fact_Sales[[#This Row],[Product_Code]], tbl_Fact_Sales[Product_Code], tbl_Fact_Sales[Helper1]) &amp; " " &amp; _xlfn.XLOOKUP(tbl_Fact_Sales[[#This Row],[Product_Code]], tbl_Fact_Sales[Product_Code], tbl_Fact_Sales[Size_Clean]))</f>
        <v>SPARLETTA BLACKCURRANT 2L</v>
      </c>
      <c r="B58" s="40">
        <f>_xlfn.XLOOKUP(tbl_Fact_Sales[[#This Row],[Product_Code]], tbl_Fact_Sales[Product_Code], tbl_Fact_Sales[Suggested_Order])</f>
        <v>0</v>
      </c>
      <c r="C58" s="40">
        <f>_xlfn.XLOOKUP(tbl_Fact_Sales[[#This Row],[Product_Code]], tbl_Fact_Sales[Product_Code], tbl_Fact_Sales[Days_of_Cover])</f>
        <v>-9.5175438596491233</v>
      </c>
      <c r="D58" s="45" t="str">
        <f>_xlfn.XLOOKUP(tbl_Fact_Sales[[#This Row],[Product_Code]], tbl_Fact_Sales[Product_Code], tbl_Fact_Sales[Recount_Divergence])</f>
        <v>Problem</v>
      </c>
    </row>
    <row r="59" spans="1:4" x14ac:dyDescent="0.25">
      <c r="A59" s="46" t="str">
        <f>TRIM(_xlfn.XLOOKUP(tbl_Fact_Sales[[#This Row],[Product_Code]], tbl_Fact_Sales[Product_Code], tbl_Fact_Sales[Helper1]) &amp; " " &amp; _xlfn.XLOOKUP(tbl_Fact_Sales[[#This Row],[Product_Code]], tbl_Fact_Sales[Product_Code], tbl_Fact_Sales[Size_Clean]))</f>
        <v>SPARLETTA CREAM 2L</v>
      </c>
      <c r="B59" s="40">
        <f>_xlfn.XLOOKUP(tbl_Fact_Sales[[#This Row],[Product_Code]], tbl_Fact_Sales[Product_Code], tbl_Fact_Sales[Suggested_Order])</f>
        <v>0</v>
      </c>
      <c r="C59" s="40">
        <f>_xlfn.XLOOKUP(tbl_Fact_Sales[[#This Row],[Product_Code]], tbl_Fact_Sales[Product_Code], tbl_Fact_Sales[Days_of_Cover])</f>
        <v>-11.384020618556701</v>
      </c>
      <c r="D59" s="45" t="str">
        <f>_xlfn.XLOOKUP(tbl_Fact_Sales[[#This Row],[Product_Code]], tbl_Fact_Sales[Product_Code], tbl_Fact_Sales[Recount_Divergence])</f>
        <v>Problem</v>
      </c>
    </row>
    <row r="60" spans="1:4" x14ac:dyDescent="0.25">
      <c r="A60" s="46" t="str">
        <f>TRIM(_xlfn.XLOOKUP(tbl_Fact_Sales[[#This Row],[Product_Code]], tbl_Fact_Sales[Product_Code], tbl_Fact_Sales[Helper1]) &amp; " " &amp; _xlfn.XLOOKUP(tbl_Fact_Sales[[#This Row],[Product_Code]], tbl_Fact_Sales[Product_Code], tbl_Fact_Sales[Size_Clean]))</f>
        <v>SPARLETTA CREME 500ML</v>
      </c>
      <c r="B60" s="40">
        <f>_xlfn.XLOOKUP(tbl_Fact_Sales[[#This Row],[Product_Code]], tbl_Fact_Sales[Product_Code], tbl_Fact_Sales[Suggested_Order])</f>
        <v>4.1428571428571423</v>
      </c>
      <c r="C60" s="40">
        <f>_xlfn.XLOOKUP(tbl_Fact_Sales[[#This Row],[Product_Code]], tbl_Fact_Sales[Product_Code], tbl_Fact_Sales[Days_of_Cover])</f>
        <v>6.5625</v>
      </c>
      <c r="D60" s="45" t="str">
        <f>_xlfn.XLOOKUP(tbl_Fact_Sales[[#This Row],[Product_Code]], tbl_Fact_Sales[Product_Code], tbl_Fact_Sales[Recount_Divergence])</f>
        <v>Acceptable</v>
      </c>
    </row>
    <row r="61" spans="1:4" x14ac:dyDescent="0.25">
      <c r="A61" s="46" t="str">
        <f>TRIM(_xlfn.XLOOKUP(tbl_Fact_Sales[[#This Row],[Product_Code]], tbl_Fact_Sales[Product_Code], tbl_Fact_Sales[Helper1]) &amp; " " &amp; _xlfn.XLOOKUP(tbl_Fact_Sales[[#This Row],[Product_Code]], tbl_Fact_Sales[Product_Code], tbl_Fact_Sales[Size_Clean]))</f>
        <v>SPARLETTA CREME 330ML</v>
      </c>
      <c r="B61" s="40">
        <f>_xlfn.XLOOKUP(tbl_Fact_Sales[[#This Row],[Product_Code]], tbl_Fact_Sales[Product_Code], tbl_Fact_Sales[Suggested_Order])</f>
        <v>0.72619047619047616</v>
      </c>
      <c r="C61" s="40">
        <f>_xlfn.XLOOKUP(tbl_Fact_Sales[[#This Row],[Product_Code]], tbl_Fact_Sales[Product_Code], tbl_Fact_Sales[Days_of_Cover])</f>
        <v>6.6956521739130421</v>
      </c>
      <c r="D61" s="45" t="str">
        <f>_xlfn.XLOOKUP(tbl_Fact_Sales[[#This Row],[Product_Code]], tbl_Fact_Sales[Product_Code], tbl_Fact_Sales[Recount_Divergence])</f>
        <v>Acceptable</v>
      </c>
    </row>
    <row r="62" spans="1:4" x14ac:dyDescent="0.25">
      <c r="A62" s="46" t="str">
        <f>TRIM(_xlfn.XLOOKUP(tbl_Fact_Sales[[#This Row],[Product_Code]], tbl_Fact_Sales[Product_Code], tbl_Fact_Sales[Helper1]) &amp; " " &amp; _xlfn.XLOOKUP(tbl_Fact_Sales[[#This Row],[Product_Code]], tbl_Fact_Sales[Product_Code], tbl_Fact_Sales[Size_Clean]))</f>
        <v>SPARLETTA IRON 330ML</v>
      </c>
      <c r="B62" s="40">
        <f>_xlfn.XLOOKUP(tbl_Fact_Sales[[#This Row],[Product_Code]], tbl_Fact_Sales[Product_Code], tbl_Fact_Sales[Suggested_Order])</f>
        <v>3.0059523809523814</v>
      </c>
      <c r="C62" s="40">
        <f>_xlfn.XLOOKUP(tbl_Fact_Sales[[#This Row],[Product_Code]], tbl_Fact_Sales[Product_Code], tbl_Fact_Sales[Days_of_Cover])</f>
        <v>4.3484848484848486</v>
      </c>
      <c r="D62" s="45" t="str">
        <f>_xlfn.XLOOKUP(tbl_Fact_Sales[[#This Row],[Product_Code]], tbl_Fact_Sales[Product_Code], tbl_Fact_Sales[Recount_Divergence])</f>
        <v>Acceptable</v>
      </c>
    </row>
    <row r="63" spans="1:4" x14ac:dyDescent="0.25">
      <c r="A63" s="46" t="str">
        <f>TRIM(_xlfn.XLOOKUP(tbl_Fact_Sales[[#This Row],[Product_Code]], tbl_Fact_Sales[Product_Code], tbl_Fact_Sales[Helper1]) &amp; " " &amp; _xlfn.XLOOKUP(tbl_Fact_Sales[[#This Row],[Product_Code]], tbl_Fact_Sales[Product_Code], tbl_Fact_Sales[Size_Clean]))</f>
        <v>SPARLETTA PINE 2L</v>
      </c>
      <c r="B63" s="40">
        <f>_xlfn.XLOOKUP(tbl_Fact_Sales[[#This Row],[Product_Code]], tbl_Fact_Sales[Product_Code], tbl_Fact_Sales[Suggested_Order])</f>
        <v>112.4047619047619</v>
      </c>
      <c r="C63" s="40">
        <f>_xlfn.XLOOKUP(tbl_Fact_Sales[[#This Row],[Product_Code]], tbl_Fact_Sales[Product_Code], tbl_Fact_Sales[Days_of_Cover])</f>
        <v>1.7766497461928932E-2</v>
      </c>
      <c r="D63" s="45" t="str">
        <f>_xlfn.XLOOKUP(tbl_Fact_Sales[[#This Row],[Product_Code]], tbl_Fact_Sales[Product_Code], tbl_Fact_Sales[Recount_Divergence])</f>
        <v>Problem</v>
      </c>
    </row>
    <row r="64" spans="1:4" x14ac:dyDescent="0.25">
      <c r="A64" s="46" t="str">
        <f>TRIM(_xlfn.XLOOKUP(tbl_Fact_Sales[[#This Row],[Product_Code]], tbl_Fact_Sales[Product_Code], tbl_Fact_Sales[Helper1]) &amp; " " &amp; _xlfn.XLOOKUP(tbl_Fact_Sales[[#This Row],[Product_Code]], tbl_Fact_Sales[Product_Code], tbl_Fact_Sales[Size_Clean]))</f>
        <v>SPARLETTA APPLE 2L</v>
      </c>
      <c r="B64" s="40">
        <f>_xlfn.XLOOKUP(tbl_Fact_Sales[[#This Row],[Product_Code]], tbl_Fact_Sales[Product_Code], tbl_Fact_Sales[Suggested_Order])</f>
        <v>0</v>
      </c>
      <c r="C64" s="40">
        <f>_xlfn.XLOOKUP(tbl_Fact_Sales[[#This Row],[Product_Code]], tbl_Fact_Sales[Product_Code], tbl_Fact_Sales[Days_of_Cover])</f>
        <v>-11.046575342465752</v>
      </c>
      <c r="D64" s="45" t="str">
        <f>_xlfn.XLOOKUP(tbl_Fact_Sales[[#This Row],[Product_Code]], tbl_Fact_Sales[Product_Code], tbl_Fact_Sales[Recount_Divergence])</f>
        <v>Problem</v>
      </c>
    </row>
    <row r="65" spans="1:4" x14ac:dyDescent="0.25">
      <c r="A65" s="46" t="str">
        <f>TRIM(_xlfn.XLOOKUP(tbl_Fact_Sales[[#This Row],[Product_Code]], tbl_Fact_Sales[Product_Code], tbl_Fact_Sales[Helper1]) &amp; " " &amp; _xlfn.XLOOKUP(tbl_Fact_Sales[[#This Row],[Product_Code]], tbl_Fact_Sales[Product_Code], tbl_Fact_Sales[Size_Clean]))</f>
        <v>SPARLETTA SPARBERRY 2L</v>
      </c>
      <c r="B65" s="40">
        <f>_xlfn.XLOOKUP(tbl_Fact_Sales[[#This Row],[Product_Code]], tbl_Fact_Sales[Product_Code], tbl_Fact_Sales[Suggested_Order])</f>
        <v>0</v>
      </c>
      <c r="C65" s="40">
        <f>_xlfn.XLOOKUP(tbl_Fact_Sales[[#This Row],[Product_Code]], tbl_Fact_Sales[Product_Code], tbl_Fact_Sales[Days_of_Cover])</f>
        <v>-8.4102564102564106</v>
      </c>
      <c r="D65" s="45" t="str">
        <f>_xlfn.XLOOKUP(tbl_Fact_Sales[[#This Row],[Product_Code]], tbl_Fact_Sales[Product_Code], tbl_Fact_Sales[Recount_Divergence])</f>
        <v>Problem</v>
      </c>
    </row>
    <row r="66" spans="1:4" x14ac:dyDescent="0.25">
      <c r="A66" s="46" t="str">
        <f>TRIM(_xlfn.XLOOKUP(tbl_Fact_Sales[[#This Row],[Product_Code]], tbl_Fact_Sales[Product_Code], tbl_Fact_Sales[Helper1]) &amp; " " &amp; _xlfn.XLOOKUP(tbl_Fact_Sales[[#This Row],[Product_Code]], tbl_Fact_Sales[Product_Code], tbl_Fact_Sales[Size_Clean]))</f>
        <v>SPARLETTA SPARBERRY 330ML</v>
      </c>
      <c r="B66" s="40">
        <f>_xlfn.XLOOKUP(tbl_Fact_Sales[[#This Row],[Product_Code]], tbl_Fact_Sales[Product_Code], tbl_Fact_Sales[Suggested_Order])</f>
        <v>0</v>
      </c>
      <c r="C66" s="40">
        <f>_xlfn.XLOOKUP(tbl_Fact_Sales[[#This Row],[Product_Code]], tbl_Fact_Sales[Product_Code], tbl_Fact_Sales[Days_of_Cover])</f>
        <v>-15.5</v>
      </c>
      <c r="D66" s="45" t="str">
        <f>_xlfn.XLOOKUP(tbl_Fact_Sales[[#This Row],[Product_Code]], tbl_Fact_Sales[Product_Code], tbl_Fact_Sales[Recount_Divergence])</f>
        <v>Acceptable</v>
      </c>
    </row>
    <row r="67" spans="1:4" x14ac:dyDescent="0.25">
      <c r="A67" s="46" t="str">
        <f>TRIM(_xlfn.XLOOKUP(tbl_Fact_Sales[[#This Row],[Product_Code]], tbl_Fact_Sales[Product_Code], tbl_Fact_Sales[Helper1]) &amp; " " &amp; _xlfn.XLOOKUP(tbl_Fact_Sales[[#This Row],[Product_Code]], tbl_Fact_Sales[Product_Code], tbl_Fact_Sales[Size_Clean]))</f>
        <v>STONEY GINGER 330ML</v>
      </c>
      <c r="B67" s="40">
        <f>_xlfn.XLOOKUP(tbl_Fact_Sales[[#This Row],[Product_Code]], tbl_Fact_Sales[Product_Code], tbl_Fact_Sales[Suggested_Order])</f>
        <v>9.7023809523809526</v>
      </c>
      <c r="C67" s="40">
        <f>_xlfn.XLOOKUP(tbl_Fact_Sales[[#This Row],[Product_Code]], tbl_Fact_Sales[Product_Code], tbl_Fact_Sales[Days_of_Cover])</f>
        <v>0.10218978102189781</v>
      </c>
      <c r="D67" s="45" t="str">
        <f>_xlfn.XLOOKUP(tbl_Fact_Sales[[#This Row],[Product_Code]], tbl_Fact_Sales[Product_Code], tbl_Fact_Sales[Recount_Divergence])</f>
        <v>Acceptable</v>
      </c>
    </row>
    <row r="68" spans="1:4" x14ac:dyDescent="0.25">
      <c r="A68" s="46" t="str">
        <f>TRIM(_xlfn.XLOOKUP(tbl_Fact_Sales[[#This Row],[Product_Code]], tbl_Fact_Sales[Product_Code], tbl_Fact_Sales[Helper1]) &amp; " " &amp; _xlfn.XLOOKUP(tbl_Fact_Sales[[#This Row],[Product_Code]], tbl_Fact_Sales[Product_Code], tbl_Fact_Sales[Size_Clean]))</f>
        <v>SPRITE 1L</v>
      </c>
      <c r="B68" s="40">
        <f>_xlfn.XLOOKUP(tbl_Fact_Sales[[#This Row],[Product_Code]], tbl_Fact_Sales[Product_Code], tbl_Fact_Sales[Suggested_Order])</f>
        <v>0</v>
      </c>
      <c r="C68" s="40">
        <f>_xlfn.XLOOKUP(tbl_Fact_Sales[[#This Row],[Product_Code]], tbl_Fact_Sales[Product_Code], tbl_Fact_Sales[Days_of_Cover])</f>
        <v>19.962962962962962</v>
      </c>
      <c r="D68" s="45" t="str">
        <f>_xlfn.XLOOKUP(tbl_Fact_Sales[[#This Row],[Product_Code]], tbl_Fact_Sales[Product_Code], tbl_Fact_Sales[Recount_Divergence])</f>
        <v>Acceptable</v>
      </c>
    </row>
    <row r="69" spans="1:4" x14ac:dyDescent="0.25">
      <c r="A69" s="46" t="str">
        <f>TRIM(_xlfn.XLOOKUP(tbl_Fact_Sales[[#This Row],[Product_Code]], tbl_Fact_Sales[Product_Code], tbl_Fact_Sales[Helper1]) &amp; " " &amp; _xlfn.XLOOKUP(tbl_Fact_Sales[[#This Row],[Product_Code]], tbl_Fact_Sales[Product_Code], tbl_Fact_Sales[Size_Clean]))</f>
        <v>SPRITE 330ML</v>
      </c>
      <c r="B69" s="40">
        <f>_xlfn.XLOOKUP(tbl_Fact_Sales[[#This Row],[Product_Code]], tbl_Fact_Sales[Product_Code], tbl_Fact_Sales[Suggested_Order])</f>
        <v>10.660714285714286</v>
      </c>
      <c r="C69" s="40">
        <f>_xlfn.XLOOKUP(tbl_Fact_Sales[[#This Row],[Product_Code]], tbl_Fact_Sales[Product_Code], tbl_Fact_Sales[Days_of_Cover])</f>
        <v>-1.0729927007299269</v>
      </c>
      <c r="D69" s="45" t="str">
        <f>_xlfn.XLOOKUP(tbl_Fact_Sales[[#This Row],[Product_Code]], tbl_Fact_Sales[Product_Code], tbl_Fact_Sales[Recount_Divergence])</f>
        <v>Check</v>
      </c>
    </row>
    <row r="70" spans="1:4" x14ac:dyDescent="0.25">
      <c r="A70" s="46" t="str">
        <f>TRIM(_xlfn.XLOOKUP(tbl_Fact_Sales[[#This Row],[Product_Code]], tbl_Fact_Sales[Product_Code], tbl_Fact_Sales[Helper1]) &amp; " " &amp; _xlfn.XLOOKUP(tbl_Fact_Sales[[#This Row],[Product_Code]], tbl_Fact_Sales[Product_Code], tbl_Fact_Sales[Size_Clean]))</f>
        <v>SPRITE 2L</v>
      </c>
      <c r="B70" s="40">
        <f>_xlfn.XLOOKUP(tbl_Fact_Sales[[#This Row],[Product_Code]], tbl_Fact_Sales[Product_Code], tbl_Fact_Sales[Suggested_Order])</f>
        <v>12.595238095238093</v>
      </c>
      <c r="C70" s="40">
        <f>_xlfn.XLOOKUP(tbl_Fact_Sales[[#This Row],[Product_Code]], tbl_Fact_Sales[Product_Code], tbl_Fact_Sales[Days_of_Cover])</f>
        <v>0.74468085106382975</v>
      </c>
      <c r="D70" s="45" t="str">
        <f>_xlfn.XLOOKUP(tbl_Fact_Sales[[#This Row],[Product_Code]], tbl_Fact_Sales[Product_Code], tbl_Fact_Sales[Recount_Divergence])</f>
        <v>Check</v>
      </c>
    </row>
    <row r="71" spans="1:4" x14ac:dyDescent="0.25">
      <c r="A71" s="46" t="str">
        <f>TRIM(_xlfn.XLOOKUP(tbl_Fact_Sales[[#This Row],[Product_Code]], tbl_Fact_Sales[Product_Code], tbl_Fact_Sales[Helper1]) &amp; " " &amp; _xlfn.XLOOKUP(tbl_Fact_Sales[[#This Row],[Product_Code]], tbl_Fact_Sales[Product_Code], tbl_Fact_Sales[Size_Clean]))</f>
        <v>SPRITE 500ML</v>
      </c>
      <c r="B71" s="40">
        <f>_xlfn.XLOOKUP(tbl_Fact_Sales[[#This Row],[Product_Code]], tbl_Fact_Sales[Product_Code], tbl_Fact_Sales[Suggested_Order])</f>
        <v>5.3809523809523778</v>
      </c>
      <c r="C71" s="40">
        <f>_xlfn.XLOOKUP(tbl_Fact_Sales[[#This Row],[Product_Code]], tbl_Fact_Sales[Product_Code], tbl_Fact_Sales[Days_of_Cover])</f>
        <v>7.2916666666666679</v>
      </c>
      <c r="D71" s="45" t="str">
        <f>_xlfn.XLOOKUP(tbl_Fact_Sales[[#This Row],[Product_Code]], tbl_Fact_Sales[Product_Code], tbl_Fact_Sales[Recount_Divergence])</f>
        <v>Acceptable</v>
      </c>
    </row>
    <row r="72" spans="1:4" x14ac:dyDescent="0.25">
      <c r="A72" s="46" t="str">
        <f>TRIM(_xlfn.XLOOKUP(tbl_Fact_Sales[[#This Row],[Product_Code]], tbl_Fact_Sales[Product_Code], tbl_Fact_Sales[Helper1]) &amp; " " &amp; _xlfn.XLOOKUP(tbl_Fact_Sales[[#This Row],[Product_Code]], tbl_Fact_Sales[Product_Code], tbl_Fact_Sales[Size_Clean]))</f>
        <v>SPRITE 330ML</v>
      </c>
      <c r="B72" s="40">
        <f>_xlfn.XLOOKUP(tbl_Fact_Sales[[#This Row],[Product_Code]], tbl_Fact_Sales[Product_Code], tbl_Fact_Sales[Suggested_Order])</f>
        <v>20.619047619047617</v>
      </c>
      <c r="C72" s="40">
        <f>_xlfn.XLOOKUP(tbl_Fact_Sales[[#This Row],[Product_Code]], tbl_Fact_Sales[Product_Code], tbl_Fact_Sales[Days_of_Cover])</f>
        <v>-5.9481865284974091</v>
      </c>
      <c r="D72" s="45" t="str">
        <f>_xlfn.XLOOKUP(tbl_Fact_Sales[[#This Row],[Product_Code]], tbl_Fact_Sales[Product_Code], tbl_Fact_Sales[Recount_Divergence])</f>
        <v>Check</v>
      </c>
    </row>
    <row r="73" spans="1:4" x14ac:dyDescent="0.25">
      <c r="A73" s="46" t="str">
        <f>TRIM(_xlfn.XLOOKUP(tbl_Fact_Sales[[#This Row],[Product_Code]], tbl_Fact_Sales[Product_Code], tbl_Fact_Sales[Helper1]) &amp; " " &amp; _xlfn.XLOOKUP(tbl_Fact_Sales[[#This Row],[Product_Code]], tbl_Fact_Sales[Product_Code], tbl_Fact_Sales[Size_Clean]))</f>
        <v>SPRITE ZERO 2L</v>
      </c>
      <c r="B73" s="40">
        <f>_xlfn.XLOOKUP(tbl_Fact_Sales[[#This Row],[Product_Code]], tbl_Fact_Sales[Product_Code], tbl_Fact_Sales[Suggested_Order])</f>
        <v>0</v>
      </c>
      <c r="C73" s="40">
        <f>_xlfn.XLOOKUP(tbl_Fact_Sales[[#This Row],[Product_Code]], tbl_Fact_Sales[Product_Code], tbl_Fact_Sales[Days_of_Cover])</f>
        <v>-33.185185185185183</v>
      </c>
      <c r="D73" s="45" t="str">
        <f>_xlfn.XLOOKUP(tbl_Fact_Sales[[#This Row],[Product_Code]], tbl_Fact_Sales[Product_Code], tbl_Fact_Sales[Recount_Divergence])</f>
        <v>Check</v>
      </c>
    </row>
    <row r="74" spans="1:4" x14ac:dyDescent="0.25">
      <c r="A74" s="46" t="str">
        <f>TRIM(_xlfn.XLOOKUP(tbl_Fact_Sales[[#This Row],[Product_Code]], tbl_Fact_Sales[Product_Code], tbl_Fact_Sales[Helper1]) &amp; " " &amp; _xlfn.XLOOKUP(tbl_Fact_Sales[[#This Row],[Product_Code]], tbl_Fact_Sales[Product_Code], tbl_Fact_Sales[Size_Clean]))</f>
        <v>SPRITE ZERO 330ML</v>
      </c>
      <c r="B74" s="40">
        <f>_xlfn.XLOOKUP(tbl_Fact_Sales[[#This Row],[Product_Code]], tbl_Fact_Sales[Product_Code], tbl_Fact_Sales[Suggested_Order])</f>
        <v>0</v>
      </c>
      <c r="C74" s="40">
        <f>_xlfn.XLOOKUP(tbl_Fact_Sales[[#This Row],[Product_Code]], tbl_Fact_Sales[Product_Code], tbl_Fact_Sales[Days_of_Cover])</f>
        <v>-15.633333333333333</v>
      </c>
      <c r="D74" s="45" t="str">
        <f>_xlfn.XLOOKUP(tbl_Fact_Sales[[#This Row],[Product_Code]], tbl_Fact_Sales[Product_Code], tbl_Fact_Sales[Recount_Divergence])</f>
        <v>Acceptable</v>
      </c>
    </row>
    <row r="75" spans="1:4" x14ac:dyDescent="0.25">
      <c r="A75" s="46" t="str">
        <f>TRIM(_xlfn.XLOOKUP(tbl_Fact_Sales[[#This Row],[Product_Code]], tbl_Fact_Sales[Product_Code], tbl_Fact_Sales[Helper1]) &amp; " " &amp; _xlfn.XLOOKUP(tbl_Fact_Sales[[#This Row],[Product_Code]], tbl_Fact_Sales[Product_Code], tbl_Fact_Sales[Size_Clean]))</f>
        <v>SPRITE ZERO 500ML</v>
      </c>
      <c r="B75" s="40">
        <f>_xlfn.XLOOKUP(tbl_Fact_Sales[[#This Row],[Product_Code]], tbl_Fact_Sales[Product_Code], tbl_Fact_Sales[Suggested_Order])</f>
        <v>0</v>
      </c>
      <c r="C75" s="40">
        <f>_xlfn.XLOOKUP(tbl_Fact_Sales[[#This Row],[Product_Code]], tbl_Fact_Sales[Product_Code], tbl_Fact_Sales[Days_of_Cover])</f>
        <v>-27.439999999999998</v>
      </c>
      <c r="D75" s="45" t="str">
        <f>_xlfn.XLOOKUP(tbl_Fact_Sales[[#This Row],[Product_Code]], tbl_Fact_Sales[Product_Code], tbl_Fact_Sales[Recount_Divergence])</f>
        <v>Check</v>
      </c>
    </row>
    <row r="76" spans="1:4" x14ac:dyDescent="0.25">
      <c r="A76" s="46" t="str">
        <f>TRIM(_xlfn.XLOOKUP(tbl_Fact_Sales[[#This Row],[Product_Code]], tbl_Fact_Sales[Product_Code], tbl_Fact_Sales[Helper1]) &amp; " " &amp; _xlfn.XLOOKUP(tbl_Fact_Sales[[#This Row],[Product_Code]], tbl_Fact_Sales[Product_Code], tbl_Fact_Sales[Size_Clean]))</f>
        <v>STONEY GINGER 1L</v>
      </c>
      <c r="B76" s="40">
        <f>_xlfn.XLOOKUP(tbl_Fact_Sales[[#This Row],[Product_Code]], tbl_Fact_Sales[Product_Code], tbl_Fact_Sales[Suggested_Order])</f>
        <v>0</v>
      </c>
      <c r="C76" s="40">
        <f>_xlfn.XLOOKUP(tbl_Fact_Sales[[#This Row],[Product_Code]], tbl_Fact_Sales[Product_Code], tbl_Fact_Sales[Days_of_Cover])</f>
        <v>-25.083333333333336</v>
      </c>
      <c r="D76" s="45" t="str">
        <f>_xlfn.XLOOKUP(tbl_Fact_Sales[[#This Row],[Product_Code]], tbl_Fact_Sales[Product_Code], tbl_Fact_Sales[Recount_Divergence])</f>
        <v>Check</v>
      </c>
    </row>
    <row r="77" spans="1:4" x14ac:dyDescent="0.25">
      <c r="A77" s="46" t="str">
        <f>TRIM(_xlfn.XLOOKUP(tbl_Fact_Sales[[#This Row],[Product_Code]], tbl_Fact_Sales[Product_Code], tbl_Fact_Sales[Helper1]) &amp; " " &amp; _xlfn.XLOOKUP(tbl_Fact_Sales[[#This Row],[Product_Code]], tbl_Fact_Sales[Product_Code], tbl_Fact_Sales[Size_Clean]))</f>
        <v>STONEY GINGER 500ML</v>
      </c>
      <c r="B77" s="40">
        <f>_xlfn.XLOOKUP(tbl_Fact_Sales[[#This Row],[Product_Code]], tbl_Fact_Sales[Product_Code], tbl_Fact_Sales[Suggested_Order])</f>
        <v>0</v>
      </c>
      <c r="C77" s="40">
        <f>_xlfn.XLOOKUP(tbl_Fact_Sales[[#This Row],[Product_Code]], tbl_Fact_Sales[Product_Code], tbl_Fact_Sales[Days_of_Cover])</f>
        <v>25.415384615384617</v>
      </c>
      <c r="D77" s="45" t="str">
        <f>_xlfn.XLOOKUP(tbl_Fact_Sales[[#This Row],[Product_Code]], tbl_Fact_Sales[Product_Code], tbl_Fact_Sales[Recount_Divergence])</f>
        <v>Check</v>
      </c>
    </row>
    <row r="78" spans="1:4" x14ac:dyDescent="0.25">
      <c r="A78" s="46" t="str">
        <f>TRIM(_xlfn.XLOOKUP(tbl_Fact_Sales[[#This Row],[Product_Code]], tbl_Fact_Sales[Product_Code], tbl_Fact_Sales[Helper1]) &amp; " " &amp; _xlfn.XLOOKUP(tbl_Fact_Sales[[#This Row],[Product_Code]], tbl_Fact_Sales[Product_Code], tbl_Fact_Sales[Size_Clean]))</f>
        <v>STONEY GINGER 2L</v>
      </c>
      <c r="B78" s="40">
        <f>_xlfn.XLOOKUP(tbl_Fact_Sales[[#This Row],[Product_Code]], tbl_Fact_Sales[Product_Code], tbl_Fact_Sales[Suggested_Order])</f>
        <v>10.976190476190478</v>
      </c>
      <c r="C78" s="40">
        <f>_xlfn.XLOOKUP(tbl_Fact_Sales[[#This Row],[Product_Code]], tbl_Fact_Sales[Product_Code], tbl_Fact_Sales[Days_of_Cover])</f>
        <v>0.17948717948717946</v>
      </c>
      <c r="D78" s="45" t="str">
        <f>_xlfn.XLOOKUP(tbl_Fact_Sales[[#This Row],[Product_Code]], tbl_Fact_Sales[Product_Code], tbl_Fact_Sales[Recount_Divergence])</f>
        <v>Check</v>
      </c>
    </row>
    <row r="79" spans="1:4" x14ac:dyDescent="0.25">
      <c r="A79" s="46" t="str">
        <f>TRIM(_xlfn.XLOOKUP(tbl_Fact_Sales[[#This Row],[Product_Code]], tbl_Fact_Sales[Product_Code], tbl_Fact_Sales[Helper1]) &amp; " " &amp; _xlfn.XLOOKUP(tbl_Fact_Sales[[#This Row],[Product_Code]], tbl_Fact_Sales[Product_Code], tbl_Fact_Sales[Size_Clean]))</f>
        <v>STONEY GINGER 330ML</v>
      </c>
      <c r="B79" s="40">
        <f>_xlfn.XLOOKUP(tbl_Fact_Sales[[#This Row],[Product_Code]], tbl_Fact_Sales[Product_Code], tbl_Fact_Sales[Suggested_Order])</f>
        <v>0</v>
      </c>
      <c r="C79" s="40" t="e">
        <f>_xlfn.XLOOKUP(tbl_Fact_Sales[[#This Row],[Product_Code]], tbl_Fact_Sales[Product_Code], tbl_Fact_Sales[Days_of_Cover])</f>
        <v>#DIV/0!</v>
      </c>
      <c r="D79" s="45" t="str">
        <f>_xlfn.XLOOKUP(tbl_Fact_Sales[[#This Row],[Product_Code]], tbl_Fact_Sales[Product_Code], tbl_Fact_Sales[Recount_Divergence])</f>
        <v>Acceptable</v>
      </c>
    </row>
    <row r="80" spans="1:4" x14ac:dyDescent="0.25">
      <c r="A80" s="46" t="str">
        <f>TRIM(_xlfn.XLOOKUP(tbl_Fact_Sales[[#This Row],[Product_Code]], tbl_Fact_Sales[Product_Code], tbl_Fact_Sales[Helper1]) &amp; " " &amp; _xlfn.XLOOKUP(tbl_Fact_Sales[[#This Row],[Product_Code]], tbl_Fact_Sales[Product_Code], tbl_Fact_Sales[Size_Clean]))</f>
        <v>STONEY GINGER 330ML</v>
      </c>
      <c r="B80" s="40">
        <f>_xlfn.XLOOKUP(tbl_Fact_Sales[[#This Row],[Product_Code]], tbl_Fact_Sales[Product_Code], tbl_Fact_Sales[Suggested_Order])</f>
        <v>0.47023809523809518</v>
      </c>
      <c r="C80" s="40">
        <f>_xlfn.XLOOKUP(tbl_Fact_Sales[[#This Row],[Product_Code]], tbl_Fact_Sales[Product_Code], tbl_Fact_Sales[Days_of_Cover])</f>
        <v>-1.1666666666666667</v>
      </c>
      <c r="D80" s="45" t="str">
        <f>_xlfn.XLOOKUP(tbl_Fact_Sales[[#This Row],[Product_Code]], tbl_Fact_Sales[Product_Code], tbl_Fact_Sales[Recount_Divergence])</f>
        <v>Acceptable</v>
      </c>
    </row>
    <row r="81" spans="1:4" x14ac:dyDescent="0.25">
      <c r="A81" s="46" t="str">
        <f>TRIM(_xlfn.XLOOKUP(tbl_Fact_Sales[[#This Row],[Product_Code]], tbl_Fact_Sales[Product_Code], tbl_Fact_Sales[Helper1]) &amp; " " &amp; _xlfn.XLOOKUP(tbl_Fact_Sales[[#This Row],[Product_Code]], tbl_Fact_Sales[Product_Code], tbl_Fact_Sales[Size_Clean]))</f>
        <v>TAB 330ML</v>
      </c>
      <c r="B81" s="40">
        <f>_xlfn.XLOOKUP(tbl_Fact_Sales[[#This Row],[Product_Code]], tbl_Fact_Sales[Product_Code], tbl_Fact_Sales[Suggested_Order])</f>
        <v>0</v>
      </c>
      <c r="C81" s="40">
        <f>_xlfn.XLOOKUP(tbl_Fact_Sales[[#This Row],[Product_Code]], tbl_Fact_Sales[Product_Code], tbl_Fact_Sales[Days_of_Cover])</f>
        <v>-26.055555555555557</v>
      </c>
      <c r="D81" s="45" t="str">
        <f>_xlfn.XLOOKUP(tbl_Fact_Sales[[#This Row],[Product_Code]], tbl_Fact_Sales[Product_Code], tbl_Fact_Sales[Recount_Divergence])</f>
        <v>Acceptable</v>
      </c>
    </row>
    <row r="82" spans="1:4" x14ac:dyDescent="0.25">
      <c r="A82" s="46" t="str">
        <f>TRIM(_xlfn.XLOOKUP(tbl_Fact_Sales[[#This Row],[Product_Code]], tbl_Fact_Sales[Product_Code], tbl_Fact_Sales[Helper1]) &amp; " " &amp; _xlfn.XLOOKUP(tbl_Fact_Sales[[#This Row],[Product_Code]], tbl_Fact_Sales[Product_Code], tbl_Fact_Sales[Size_Clean]))</f>
        <v>TAB 2L</v>
      </c>
      <c r="B82" s="40">
        <f>_xlfn.XLOOKUP(tbl_Fact_Sales[[#This Row],[Product_Code]], tbl_Fact_Sales[Product_Code], tbl_Fact_Sales[Suggested_Order])</f>
        <v>0</v>
      </c>
      <c r="C82" s="40">
        <f>_xlfn.XLOOKUP(tbl_Fact_Sales[[#This Row],[Product_Code]], tbl_Fact_Sales[Product_Code], tbl_Fact_Sales[Days_of_Cover])</f>
        <v>41.999999999999993</v>
      </c>
      <c r="D82" s="45" t="str">
        <f>_xlfn.XLOOKUP(tbl_Fact_Sales[[#This Row],[Product_Code]], tbl_Fact_Sales[Product_Code], tbl_Fact_Sales[Recount_Divergence])</f>
        <v>Acceptable</v>
      </c>
    </row>
    <row r="83" spans="1:4" x14ac:dyDescent="0.25">
      <c r="A83" s="46" t="str">
        <f>TRIM(_xlfn.XLOOKUP(tbl_Fact_Sales[[#This Row],[Product_Code]], tbl_Fact_Sales[Product_Code], tbl_Fact_Sales[Helper1]) &amp; " " &amp; _xlfn.XLOOKUP(tbl_Fact_Sales[[#This Row],[Product_Code]], tbl_Fact_Sales[Product_Code], tbl_Fact_Sales[Size_Clean]))</f>
        <v>TWIST GRANADILLA 2L</v>
      </c>
      <c r="B83" s="40">
        <f>_xlfn.XLOOKUP(tbl_Fact_Sales[[#This Row],[Product_Code]], tbl_Fact_Sales[Product_Code], tbl_Fact_Sales[Suggested_Order])</f>
        <v>0</v>
      </c>
      <c r="C83" s="40">
        <f>_xlfn.XLOOKUP(tbl_Fact_Sales[[#This Row],[Product_Code]], tbl_Fact_Sales[Product_Code], tbl_Fact_Sales[Days_of_Cover])</f>
        <v>-11.688073394495412</v>
      </c>
      <c r="D83" s="45" t="str">
        <f>_xlfn.XLOOKUP(tbl_Fact_Sales[[#This Row],[Product_Code]], tbl_Fact_Sales[Product_Code], tbl_Fact_Sales[Recount_Divergence])</f>
        <v>Problem</v>
      </c>
    </row>
    <row r="84" spans="1:4" x14ac:dyDescent="0.25">
      <c r="A84" s="46" t="str">
        <f>TRIM(_xlfn.XLOOKUP(tbl_Fact_Sales[[#This Row],[Product_Code]], tbl_Fact_Sales[Product_Code], tbl_Fact_Sales[Helper1]) &amp; " " &amp; _xlfn.XLOOKUP(tbl_Fact_Sales[[#This Row],[Product_Code]], tbl_Fact_Sales[Product_Code], tbl_Fact_Sales[Size_Clean]))</f>
        <v>TWIST GRANADILLA 330ML</v>
      </c>
      <c r="B84" s="40">
        <f>_xlfn.XLOOKUP(tbl_Fact_Sales[[#This Row],[Product_Code]], tbl_Fact_Sales[Product_Code], tbl_Fact_Sales[Suggested_Order])</f>
        <v>0</v>
      </c>
      <c r="C84" s="40">
        <f>_xlfn.XLOOKUP(tbl_Fact_Sales[[#This Row],[Product_Code]], tbl_Fact_Sales[Product_Code], tbl_Fact_Sales[Days_of_Cover])</f>
        <v>20.066666666666666</v>
      </c>
      <c r="D84" s="45" t="str">
        <f>_xlfn.XLOOKUP(tbl_Fact_Sales[[#This Row],[Product_Code]], tbl_Fact_Sales[Product_Code], tbl_Fact_Sales[Recount_Divergence])</f>
        <v>Acceptable</v>
      </c>
    </row>
    <row r="85" spans="1:4" x14ac:dyDescent="0.25">
      <c r="A85" s="46" t="str">
        <f>TRIM(_xlfn.XLOOKUP(tbl_Fact_Sales[[#This Row],[Product_Code]], tbl_Fact_Sales[Product_Code], tbl_Fact_Sales[Helper1]) &amp; " " &amp; _xlfn.XLOOKUP(tbl_Fact_Sales[[#This Row],[Product_Code]], tbl_Fact_Sales[Product_Code], tbl_Fact_Sales[Size_Clean]))</f>
        <v>TWIST LEMON 330ML</v>
      </c>
      <c r="B85" s="40">
        <f>_xlfn.XLOOKUP(tbl_Fact_Sales[[#This Row],[Product_Code]], tbl_Fact_Sales[Product_Code], tbl_Fact_Sales[Suggested_Order])</f>
        <v>0</v>
      </c>
      <c r="C85" s="40">
        <f>_xlfn.XLOOKUP(tbl_Fact_Sales[[#This Row],[Product_Code]], tbl_Fact_Sales[Product_Code], tbl_Fact_Sales[Days_of_Cover])</f>
        <v>-14.666666666666666</v>
      </c>
      <c r="D85" s="45" t="str">
        <f>_xlfn.XLOOKUP(tbl_Fact_Sales[[#This Row],[Product_Code]], tbl_Fact_Sales[Product_Code], tbl_Fact_Sales[Recount_Divergence])</f>
        <v>Acceptable</v>
      </c>
    </row>
    <row r="86" spans="1:4" x14ac:dyDescent="0.25">
      <c r="A86" s="46" t="str">
        <f>TRIM(_xlfn.XLOOKUP(tbl_Fact_Sales[[#This Row],[Product_Code]], tbl_Fact_Sales[Product_Code], tbl_Fact_Sales[Helper1]) &amp; " " &amp; _xlfn.XLOOKUP(tbl_Fact_Sales[[#This Row],[Product_Code]], tbl_Fact_Sales[Product_Code], tbl_Fact_Sales[Size_Clean]))</f>
        <v>TWIST LEMON 2L</v>
      </c>
      <c r="B86" s="40">
        <f>_xlfn.XLOOKUP(tbl_Fact_Sales[[#This Row],[Product_Code]], tbl_Fact_Sales[Product_Code], tbl_Fact_Sales[Suggested_Order])</f>
        <v>17.380952380952383</v>
      </c>
      <c r="C86" s="40">
        <f>_xlfn.XLOOKUP(tbl_Fact_Sales[[#This Row],[Product_Code]], tbl_Fact_Sales[Product_Code], tbl_Fact_Sales[Days_of_Cover])</f>
        <v>5.813559322033897</v>
      </c>
      <c r="D86" s="45" t="str">
        <f>_xlfn.XLOOKUP(tbl_Fact_Sales[[#This Row],[Product_Code]], tbl_Fact_Sales[Product_Code], tbl_Fact_Sales[Recount_Divergence])</f>
        <v>Check</v>
      </c>
    </row>
    <row r="87" spans="1:4" x14ac:dyDescent="0.25">
      <c r="A87" s="46" t="str">
        <f>TRIM(_xlfn.XLOOKUP(tbl_Fact_Sales[[#This Row],[Product_Code]], tbl_Fact_Sales[Product_Code], tbl_Fact_Sales[Helper1]) &amp; " " &amp; _xlfn.XLOOKUP(tbl_Fact_Sales[[#This Row],[Product_Code]], tbl_Fact_Sales[Product_Code], tbl_Fact_Sales[Size_Clean]))</f>
        <v>TWIST LEMON 500ML</v>
      </c>
      <c r="B87" s="40">
        <f>_xlfn.XLOOKUP(tbl_Fact_Sales[[#This Row],[Product_Code]], tbl_Fact_Sales[Product_Code], tbl_Fact_Sales[Suggested_Order])</f>
        <v>17.226190476190474</v>
      </c>
      <c r="C87" s="40">
        <f>_xlfn.XLOOKUP(tbl_Fact_Sales[[#This Row],[Product_Code]], tbl_Fact_Sales[Product_Code], tbl_Fact_Sales[Days_of_Cover])</f>
        <v>-5.8333333333333327E-2</v>
      </c>
      <c r="D87" s="45" t="str">
        <f>_xlfn.XLOOKUP(tbl_Fact_Sales[[#This Row],[Product_Code]], tbl_Fact_Sales[Product_Code], tbl_Fact_Sales[Recount_Divergence])</f>
        <v>Check</v>
      </c>
    </row>
    <row r="88" spans="1:4" x14ac:dyDescent="0.25">
      <c r="A88" s="47" t="str">
        <f>TRIM(_xlfn.XLOOKUP(tbl_Fact_Sales[[#This Row],[Product_Code]], tbl_Fact_Sales[Product_Code], tbl_Fact_Sales[Helper1]) &amp; " " &amp; _xlfn.XLOOKUP(tbl_Fact_Sales[[#This Row],[Product_Code]], tbl_Fact_Sales[Product_Code], tbl_Fact_Sales[Size_Clean]))</f>
        <v>VALPRE MINERAL 1.5L</v>
      </c>
      <c r="B88" s="48">
        <f>_xlfn.XLOOKUP(tbl_Fact_Sales[[#This Row],[Product_Code]], tbl_Fact_Sales[Product_Code], tbl_Fact_Sales[Suggested_Order])</f>
        <v>8.7738095238095219</v>
      </c>
      <c r="C88" s="48">
        <f>_xlfn.XLOOKUP(tbl_Fact_Sales[[#This Row],[Product_Code]], tbl_Fact_Sales[Product_Code], tbl_Fact_Sales[Days_of_Cover])</f>
        <v>1.3188405797101448</v>
      </c>
      <c r="D88" s="49" t="str">
        <f>_xlfn.XLOOKUP(tbl_Fact_Sales[[#This Row],[Product_Code]], tbl_Fact_Sales[Product_Code], tbl_Fact_Sales[Recount_Divergence])</f>
        <v>Acceptable</v>
      </c>
    </row>
    <row r="90" spans="1:4" ht="24" x14ac:dyDescent="0.4">
      <c r="A90" s="30" t="s">
        <v>142</v>
      </c>
    </row>
    <row r="92" spans="1:4" ht="14" x14ac:dyDescent="0.25">
      <c r="B92" s="31" t="s">
        <v>129</v>
      </c>
      <c r="C92" s="31" t="s">
        <v>130</v>
      </c>
      <c r="D92" s="32" t="s">
        <v>131</v>
      </c>
    </row>
    <row r="93" spans="1:4" x14ac:dyDescent="0.25">
      <c r="B93" s="36" t="s">
        <v>132</v>
      </c>
      <c r="C93" s="35">
        <f>COUNTIF(tbl_Fact_Sales[Divergence],"Acceptable") / COUNTA(tbl_Fact_Sales[Product_Code])</f>
        <v>0.27272727272727271</v>
      </c>
      <c r="D93" s="35">
        <f>COUNTIF(tbl_Fact_Sales[Recount_Divergence],"Acceptable") / COUNTA(tbl_Fact_Sales[Product_Code])</f>
        <v>0.63636363636363635</v>
      </c>
    </row>
    <row r="94" spans="1:4" x14ac:dyDescent="0.25">
      <c r="B94" s="38" t="s">
        <v>134</v>
      </c>
      <c r="C94" s="50">
        <f>COUNTIF(tbl_Fact_Sales[Divergence],"Check") / COUNTA(tbl_Fact_Sales[Product_Code])</f>
        <v>0.42045454545454547</v>
      </c>
      <c r="D94" s="50">
        <f>COUNTIF(tbl_Fact_Sales[Recount_Divergence],"Check") / COUNTA(tbl_Fact_Sales[Product_Code])</f>
        <v>0.25</v>
      </c>
    </row>
    <row r="95" spans="1:4" x14ac:dyDescent="0.25">
      <c r="B95" s="36" t="s">
        <v>135</v>
      </c>
      <c r="C95" s="35">
        <f>COUNTIF(tbl_Fact_Sales[Divergence],"Problem") / COUNTA(tbl_Fact_Sales[Product_Code])</f>
        <v>0.30681818181818182</v>
      </c>
      <c r="D95" s="35">
        <f>COUNTIF(tbl_Fact_Sales[Recount_Divergence],"Problem") / COUNTA(tbl_Fact_Sales[Product_Code])</f>
        <v>0.11363636363636363</v>
      </c>
    </row>
    <row r="116" spans="1:6" ht="14.5" x14ac:dyDescent="0.35">
      <c r="A116"/>
    </row>
    <row r="118" spans="1:6" ht="17.5" x14ac:dyDescent="0.35">
      <c r="A118" s="59" t="s">
        <v>143</v>
      </c>
      <c r="B118" s="59"/>
      <c r="C118" s="59"/>
      <c r="D118" s="59"/>
      <c r="E118" s="59"/>
      <c r="F118" s="59"/>
    </row>
    <row r="120" spans="1:6" ht="19.5" x14ac:dyDescent="0.35">
      <c r="A120" s="61" t="s">
        <v>144</v>
      </c>
      <c r="B120" s="61"/>
      <c r="C120" s="61"/>
      <c r="D120" s="61"/>
      <c r="E120" s="61"/>
      <c r="F120" s="61"/>
    </row>
    <row r="122" spans="1:6" ht="22" x14ac:dyDescent="0.4">
      <c r="A122" s="60">
        <f>D93-C93</f>
        <v>0.36363636363636365</v>
      </c>
      <c r="B122" s="60"/>
      <c r="C122" s="60"/>
      <c r="D122" s="60"/>
      <c r="E122" s="60"/>
      <c r="F122" s="60"/>
    </row>
  </sheetData>
  <mergeCells count="3">
    <mergeCell ref="A118:F118"/>
    <mergeCell ref="A122:F122"/>
    <mergeCell ref="A120:F120"/>
  </mergeCells>
  <conditionalFormatting sqref="D38:D88">
    <cfRule type="containsText" dxfId="2" priority="1" operator="containsText" text="Problem">
      <formula>NOT(ISERROR(SEARCH("Problem",D38)))</formula>
    </cfRule>
    <cfRule type="containsText" dxfId="1" priority="2" operator="containsText" text="Check">
      <formula>NOT(ISERROR(SEARCH("Check",D38)))</formula>
    </cfRule>
    <cfRule type="containsText" dxfId="0" priority="3" operator="containsText" text="Acceptable">
      <formula>NOT(ISERROR(SEARCH("Acceptable",D38)))</formula>
    </cfRule>
  </conditionalFormatting>
  <pageMargins left="0.7" right="0.7" top="0.75" bottom="0.75" header="0.3" footer="0.3"/>
  <pageSetup paperSize="9" scale="97" orientation="portrait" r:id="rId1"/>
  <rowBreaks count="2" manualBreakCount="2">
    <brk id="35" max="16383" man="1"/>
    <brk id="88" max="16383" man="1"/>
  </rowBreaks>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E4C36A-FF96-4D6C-87C3-1924C30AB2B4}">
  <dimension ref="A1:B14"/>
  <sheetViews>
    <sheetView workbookViewId="0">
      <selection activeCell="A6" sqref="A6"/>
    </sheetView>
  </sheetViews>
  <sheetFormatPr defaultRowHeight="14.5" x14ac:dyDescent="0.35"/>
  <cols>
    <col min="1" max="1" width="12" customWidth="1"/>
    <col min="2" max="2" width="15.81640625" customWidth="1"/>
  </cols>
  <sheetData>
    <row r="1" spans="1:2" x14ac:dyDescent="0.35">
      <c r="A1" s="3" t="s">
        <v>10</v>
      </c>
      <c r="B1" s="3" t="s">
        <v>66</v>
      </c>
    </row>
    <row r="2" spans="1:2" x14ac:dyDescent="0.35">
      <c r="A2" s="1" t="s">
        <v>64</v>
      </c>
      <c r="B2" s="1">
        <v>6</v>
      </c>
    </row>
    <row r="3" spans="1:2" x14ac:dyDescent="0.35">
      <c r="A3" s="2" t="s">
        <v>14</v>
      </c>
      <c r="B3" s="2">
        <v>6</v>
      </c>
    </row>
    <row r="4" spans="1:2" x14ac:dyDescent="0.35">
      <c r="A4" s="1" t="s">
        <v>56</v>
      </c>
      <c r="B4" s="1">
        <v>12</v>
      </c>
    </row>
    <row r="5" spans="1:2" x14ac:dyDescent="0.35">
      <c r="A5" s="1" t="s">
        <v>32</v>
      </c>
      <c r="B5" s="1">
        <v>12</v>
      </c>
    </row>
    <row r="6" spans="1:2" x14ac:dyDescent="0.35">
      <c r="A6" s="2" t="s">
        <v>23</v>
      </c>
      <c r="B6" s="2">
        <v>12</v>
      </c>
    </row>
    <row r="7" spans="1:2" x14ac:dyDescent="0.35">
      <c r="A7" s="1" t="s">
        <v>59</v>
      </c>
      <c r="B7" s="1">
        <v>12</v>
      </c>
    </row>
    <row r="8" spans="1:2" x14ac:dyDescent="0.35">
      <c r="A8" s="2" t="s">
        <v>19</v>
      </c>
      <c r="B8" s="2">
        <v>12</v>
      </c>
    </row>
    <row r="9" spans="1:2" x14ac:dyDescent="0.35">
      <c r="A9" s="1" t="s">
        <v>49</v>
      </c>
      <c r="B9" s="1">
        <v>24</v>
      </c>
    </row>
    <row r="10" spans="1:2" x14ac:dyDescent="0.35">
      <c r="A10" s="2" t="s">
        <v>27</v>
      </c>
      <c r="B10" s="2">
        <v>24</v>
      </c>
    </row>
    <row r="11" spans="1:2" x14ac:dyDescent="0.35">
      <c r="A11" s="1" t="s">
        <v>65</v>
      </c>
      <c r="B11" s="1">
        <v>24</v>
      </c>
    </row>
    <row r="12" spans="1:2" x14ac:dyDescent="0.35">
      <c r="A12" s="2" t="s">
        <v>36</v>
      </c>
      <c r="B12" s="2">
        <v>24</v>
      </c>
    </row>
    <row r="13" spans="1:2" x14ac:dyDescent="0.35">
      <c r="A13" s="1" t="s">
        <v>61</v>
      </c>
      <c r="B13" s="1">
        <v>24</v>
      </c>
    </row>
    <row r="14" spans="1:2" x14ac:dyDescent="0.35">
      <c r="A14" s="1" t="s">
        <v>24</v>
      </c>
      <c r="B14" s="1">
        <v>24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B16D797-DB8C-4937-9273-EA1A9BA95FD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DashBoard</vt:lpstr>
      <vt:lpstr>FMCG_Raw_Sales</vt:lpstr>
      <vt:lpstr>Recount_List</vt:lpstr>
      <vt:lpstr>DashBoard_Data</vt:lpstr>
      <vt:lpstr>Size_Map</vt:lpstr>
      <vt:lpstr>Recount_List!Print_Area</vt:lpstr>
      <vt:lpstr>rng_Recount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Keith Coetzee</dc:creator>
  <cp:lastModifiedBy>Keith Coetzee</cp:lastModifiedBy>
  <cp:lastPrinted>2026-06-22T13:14:46Z</cp:lastPrinted>
  <dcterms:created xsi:type="dcterms:W3CDTF">2026-06-19T17:01:46Z</dcterms:created>
  <dcterms:modified xsi:type="dcterms:W3CDTF">2026-06-25T17:55:18Z</dcterms:modified>
</cp:coreProperties>
</file>